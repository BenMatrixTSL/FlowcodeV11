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matrixts-my.sharepoint.com/personal/martin_whitlock_matrixtsl_com/Documents/Matrix Shared Folder/"/>
    </mc:Choice>
  </mc:AlternateContent>
  <xr:revisionPtr revIDLastSave="3278" documentId="13_ncr:1_{95E5D8F5-6FC5-4523-B8A8-DED0B2F6896D}" xr6:coauthVersionLast="47" xr6:coauthVersionMax="47" xr10:uidLastSave="{B3FF82A0-0101-4C01-AA12-4CAE128A53C4}"/>
  <bookViews>
    <workbookView minimized="1" xWindow="-22545" yWindow="3000" windowWidth="21600" windowHeight="11385" firstSheet="3" activeTab="3" xr2:uid="{00000000-000D-0000-FFFF-FFFF00000000}"/>
  </bookViews>
  <sheets>
    <sheet name="Components &amp; Wiki v1" sheetId="1" r:id="rId1"/>
    <sheet name="Components Usage" sheetId="5" r:id="rId2"/>
    <sheet name="Component Testing" sheetId="4" r:id="rId3"/>
    <sheet name="Components Data Source" sheetId="3" r:id="rId4"/>
  </sheets>
  <definedNames>
    <definedName name="_xlnm._FilterDatabase" localSheetId="0" hidden="1">'Components &amp; Wiki v1'!$A$1:$AJ$674</definedName>
    <definedName name="_xlnm._FilterDatabase" localSheetId="3" hidden="1">'Components Data Source'!$A$1:$M$621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71" i="1" l="1"/>
  <c r="B491" i="1"/>
  <c r="M1" i="1"/>
  <c r="N471" i="1"/>
  <c r="N497" i="1"/>
  <c r="D418" i="1"/>
  <c r="N72" i="1"/>
  <c r="N546" i="1"/>
  <c r="N516" i="1"/>
  <c r="N514" i="1"/>
  <c r="N321" i="1"/>
  <c r="N498" i="1"/>
  <c r="N439" i="1"/>
  <c r="N342" i="1"/>
  <c r="N196" i="1"/>
  <c r="N114" i="1"/>
  <c r="N195" i="1"/>
  <c r="N192" i="1"/>
  <c r="N191" i="1"/>
  <c r="N190" i="1"/>
  <c r="N187" i="1"/>
  <c r="N185" i="1"/>
  <c r="N184" i="1"/>
  <c r="N182" i="1"/>
  <c r="N180" i="1"/>
  <c r="N178" i="1"/>
  <c r="N177" i="1"/>
  <c r="N176" i="1"/>
  <c r="N173" i="1"/>
  <c r="N172" i="1"/>
  <c r="N170" i="1"/>
  <c r="N163" i="1"/>
  <c r="N162" i="1"/>
  <c r="N161" i="1"/>
  <c r="N160" i="1"/>
  <c r="N158" i="1"/>
  <c r="N157" i="1"/>
  <c r="N154" i="1"/>
  <c r="N153" i="1"/>
  <c r="N152" i="1"/>
  <c r="N145" i="1"/>
  <c r="N135" i="1"/>
  <c r="N119" i="1"/>
  <c r="N117" i="1"/>
  <c r="N108" i="1"/>
  <c r="N103" i="1"/>
  <c r="N102" i="1"/>
  <c r="N101" i="1"/>
  <c r="N91" i="1"/>
  <c r="N89" i="1"/>
  <c r="N82" i="1"/>
  <c r="N83" i="1"/>
  <c r="N81" i="1"/>
  <c r="N78" i="1"/>
  <c r="N77" i="1"/>
  <c r="N76" i="1"/>
  <c r="N75" i="1"/>
  <c r="N74" i="1"/>
  <c r="N69" i="1"/>
  <c r="N19" i="1"/>
  <c r="N20" i="1"/>
  <c r="O1" i="1"/>
  <c r="N67" i="1"/>
  <c r="N57" i="1"/>
  <c r="N48" i="1"/>
  <c r="N40" i="1"/>
  <c r="N8" i="1"/>
  <c r="N7" i="1"/>
  <c r="N449" i="1"/>
  <c r="N337" i="1"/>
  <c r="N269" i="1"/>
  <c r="N267" i="1"/>
  <c r="N266" i="1"/>
  <c r="N265" i="1"/>
  <c r="N264" i="1"/>
  <c r="N263" i="1"/>
  <c r="N262" i="1"/>
  <c r="N260" i="1"/>
  <c r="N259" i="1"/>
  <c r="N254" i="1"/>
  <c r="N251" i="1"/>
  <c r="N248" i="1"/>
  <c r="N247" i="1"/>
  <c r="N245" i="1"/>
  <c r="N244" i="1"/>
  <c r="N242" i="1"/>
  <c r="N241" i="1"/>
  <c r="N232" i="1"/>
  <c r="N224" i="1"/>
  <c r="N223" i="1"/>
  <c r="N222" i="1"/>
  <c r="N213" i="1"/>
  <c r="N189" i="1"/>
  <c r="N179" i="1"/>
  <c r="N175" i="1"/>
  <c r="N171" i="1"/>
  <c r="N169" i="1"/>
  <c r="N168" i="1"/>
  <c r="N167" i="1"/>
  <c r="N166" i="1"/>
  <c r="N164" i="1"/>
  <c r="N159" i="1"/>
  <c r="N155" i="1"/>
  <c r="N151" i="1"/>
  <c r="N150" i="1"/>
  <c r="N149" i="1"/>
  <c r="N148" i="1"/>
  <c r="N147" i="1"/>
  <c r="N146" i="1"/>
  <c r="N144" i="1"/>
  <c r="N143" i="1"/>
  <c r="N142" i="1"/>
  <c r="N141" i="1"/>
  <c r="N140" i="1"/>
  <c r="N139" i="1"/>
  <c r="N137" i="1"/>
  <c r="N133" i="1"/>
  <c r="N132" i="1"/>
  <c r="N131" i="1"/>
  <c r="N130" i="1"/>
  <c r="N129" i="1"/>
  <c r="N127" i="1"/>
  <c r="N126" i="1"/>
  <c r="N125" i="1"/>
  <c r="N124" i="1"/>
  <c r="N121" i="1"/>
  <c r="N120" i="1"/>
  <c r="N118" i="1"/>
  <c r="N116" i="1"/>
  <c r="N115" i="1"/>
  <c r="N113" i="1"/>
  <c r="N111" i="1"/>
  <c r="N110" i="1"/>
  <c r="N106" i="1"/>
  <c r="N107" i="1"/>
  <c r="N105" i="1"/>
  <c r="N100" i="1"/>
  <c r="N99" i="1"/>
  <c r="N98" i="1"/>
  <c r="N97" i="1"/>
  <c r="N96" i="1"/>
  <c r="N95" i="1"/>
  <c r="N94" i="1"/>
  <c r="N93" i="1"/>
  <c r="N92" i="1"/>
  <c r="N90" i="1"/>
  <c r="N87" i="1"/>
  <c r="N86" i="1"/>
  <c r="N85" i="1"/>
  <c r="N84" i="1"/>
  <c r="N80" i="1"/>
  <c r="N79" i="1"/>
  <c r="N70" i="1"/>
  <c r="N68" i="1"/>
  <c r="N66" i="1"/>
  <c r="N65" i="1"/>
  <c r="N64" i="1"/>
  <c r="N63" i="1"/>
  <c r="N62" i="1"/>
  <c r="N61" i="1"/>
  <c r="N60" i="1"/>
  <c r="N59" i="1"/>
  <c r="N58" i="1"/>
  <c r="N55" i="1"/>
  <c r="N54" i="1"/>
  <c r="N51" i="1"/>
  <c r="N50" i="1"/>
  <c r="N47" i="1"/>
  <c r="N46" i="1"/>
  <c r="N41" i="1"/>
  <c r="N39" i="1"/>
  <c r="N37" i="1"/>
  <c r="N35" i="1"/>
  <c r="N33" i="1"/>
  <c r="N32" i="1"/>
  <c r="N31" i="1"/>
  <c r="N18" i="1"/>
  <c r="N17" i="1"/>
  <c r="N16" i="1"/>
  <c r="N15" i="1"/>
  <c r="N14" i="1"/>
  <c r="N13" i="1"/>
  <c r="N12" i="1"/>
  <c r="N11" i="1"/>
  <c r="N10" i="1"/>
  <c r="N9" i="1"/>
  <c r="N6" i="1"/>
  <c r="N5" i="1"/>
  <c r="N4" i="1"/>
  <c r="N558" i="1"/>
  <c r="N540" i="1"/>
  <c r="N508" i="1"/>
  <c r="N506" i="1"/>
  <c r="N390" i="1"/>
  <c r="N385" i="1"/>
  <c r="N366" i="1"/>
  <c r="N305" i="1"/>
  <c r="N302" i="1"/>
  <c r="N256" i="1"/>
  <c r="N236" i="1"/>
  <c r="N235" i="1"/>
  <c r="N156" i="1"/>
  <c r="N122" i="1"/>
  <c r="N109" i="1"/>
  <c r="N104" i="1"/>
  <c r="A620" i="1"/>
  <c r="B620" i="1"/>
  <c r="AI620" i="1" s="1"/>
  <c r="C620" i="1"/>
  <c r="D620" i="1"/>
  <c r="E620" i="1"/>
  <c r="I620" i="1"/>
  <c r="N620" i="1"/>
  <c r="A1" i="1"/>
  <c r="B1" i="1"/>
  <c r="C1" i="1"/>
  <c r="D1" i="1"/>
  <c r="I1" i="1"/>
  <c r="J1" i="1"/>
  <c r="K1" i="1"/>
  <c r="L1" i="1"/>
  <c r="N1" i="1"/>
  <c r="R1" i="1"/>
  <c r="S1" i="1"/>
  <c r="Y1" i="1"/>
  <c r="AD1" i="1"/>
  <c r="AJ1" i="1"/>
  <c r="A2" i="1"/>
  <c r="B2" i="1"/>
  <c r="AI2" i="1" s="1"/>
  <c r="C2" i="1"/>
  <c r="D2" i="1"/>
  <c r="E2" i="1"/>
  <c r="F2" i="1"/>
  <c r="G2" i="1"/>
  <c r="H2" i="1"/>
  <c r="I2" i="1"/>
  <c r="J2" i="1"/>
  <c r="K2" i="1"/>
  <c r="L2" i="1"/>
  <c r="Q2" i="1" s="1"/>
  <c r="N2" i="1"/>
  <c r="Z2" i="1"/>
  <c r="A3" i="1"/>
  <c r="B3" i="1"/>
  <c r="AI3" i="1" s="1"/>
  <c r="C3" i="1"/>
  <c r="D3" i="1"/>
  <c r="E3" i="1"/>
  <c r="F3" i="1"/>
  <c r="G3" i="1"/>
  <c r="H3" i="1"/>
  <c r="I3" i="1"/>
  <c r="J3" i="1"/>
  <c r="K3" i="1"/>
  <c r="L3" i="1"/>
  <c r="Q3" i="1" s="1"/>
  <c r="N3" i="1"/>
  <c r="Z3" i="1"/>
  <c r="A4" i="1"/>
  <c r="B4" i="1"/>
  <c r="AI4" i="1" s="1"/>
  <c r="C4" i="1"/>
  <c r="D4" i="1"/>
  <c r="E4" i="1"/>
  <c r="F4" i="1"/>
  <c r="G4" i="1"/>
  <c r="H4" i="1"/>
  <c r="I4" i="1"/>
  <c r="J4" i="1"/>
  <c r="K4" i="1"/>
  <c r="L4" i="1"/>
  <c r="Q4" i="1" s="1"/>
  <c r="Z4" i="1"/>
  <c r="A5" i="1"/>
  <c r="B5" i="1"/>
  <c r="AI5" i="1" s="1"/>
  <c r="C5" i="1"/>
  <c r="D5" i="1"/>
  <c r="E5" i="1"/>
  <c r="F5" i="1"/>
  <c r="G5" i="1"/>
  <c r="H5" i="1"/>
  <c r="I5" i="1"/>
  <c r="J5" i="1"/>
  <c r="K5" i="1"/>
  <c r="L5" i="1"/>
  <c r="Q5" i="1" s="1"/>
  <c r="Z5" i="1"/>
  <c r="A6" i="1"/>
  <c r="B6" i="1"/>
  <c r="AI6" i="1" s="1"/>
  <c r="C6" i="1"/>
  <c r="D6" i="1"/>
  <c r="E6" i="1"/>
  <c r="F6" i="1"/>
  <c r="G6" i="1"/>
  <c r="H6" i="1"/>
  <c r="I6" i="1"/>
  <c r="J6" i="1"/>
  <c r="K6" i="1"/>
  <c r="L6" i="1"/>
  <c r="Z6" i="1"/>
  <c r="A7" i="1"/>
  <c r="B7" i="1"/>
  <c r="AI7" i="1" s="1"/>
  <c r="C7" i="1"/>
  <c r="D7" i="1"/>
  <c r="E7" i="1"/>
  <c r="F7" i="1"/>
  <c r="G7" i="1"/>
  <c r="H7" i="1"/>
  <c r="I7" i="1"/>
  <c r="J7" i="1"/>
  <c r="K7" i="1"/>
  <c r="L7" i="1"/>
  <c r="Q7" i="1" s="1"/>
  <c r="Z7" i="1"/>
  <c r="A8" i="1"/>
  <c r="B8" i="1"/>
  <c r="AI8" i="1" s="1"/>
  <c r="C8" i="1"/>
  <c r="D8" i="1"/>
  <c r="E8" i="1"/>
  <c r="F8" i="1"/>
  <c r="G8" i="1"/>
  <c r="H8" i="1"/>
  <c r="I8" i="1"/>
  <c r="J8" i="1"/>
  <c r="K8" i="1"/>
  <c r="L8" i="1"/>
  <c r="Z8" i="1"/>
  <c r="A9" i="1"/>
  <c r="B9" i="1"/>
  <c r="AI9" i="1" s="1"/>
  <c r="C9" i="1"/>
  <c r="D9" i="1"/>
  <c r="E9" i="1"/>
  <c r="F9" i="1"/>
  <c r="G9" i="1"/>
  <c r="H9" i="1"/>
  <c r="I9" i="1"/>
  <c r="J9" i="1"/>
  <c r="K9" i="1"/>
  <c r="L9" i="1"/>
  <c r="Z9" i="1"/>
  <c r="A10" i="1"/>
  <c r="B10" i="1"/>
  <c r="AI10" i="1" s="1"/>
  <c r="C10" i="1"/>
  <c r="D10" i="1"/>
  <c r="E10" i="1"/>
  <c r="F10" i="1"/>
  <c r="G10" i="1"/>
  <c r="H10" i="1"/>
  <c r="I10" i="1"/>
  <c r="J10" i="1"/>
  <c r="K10" i="1"/>
  <c r="L10" i="1"/>
  <c r="Q10" i="1" s="1"/>
  <c r="Z10" i="1"/>
  <c r="A11" i="1"/>
  <c r="B11" i="1"/>
  <c r="AI11" i="1" s="1"/>
  <c r="C11" i="1"/>
  <c r="D11" i="1"/>
  <c r="E11" i="1"/>
  <c r="F11" i="1"/>
  <c r="G11" i="1"/>
  <c r="H11" i="1"/>
  <c r="I11" i="1"/>
  <c r="J11" i="1"/>
  <c r="K11" i="1"/>
  <c r="L11" i="1"/>
  <c r="Z11" i="1"/>
  <c r="A12" i="1"/>
  <c r="B12" i="1"/>
  <c r="AI12" i="1" s="1"/>
  <c r="C12" i="1"/>
  <c r="D12" i="1"/>
  <c r="E12" i="1"/>
  <c r="F12" i="1"/>
  <c r="G12" i="1"/>
  <c r="H12" i="1"/>
  <c r="I12" i="1"/>
  <c r="J12" i="1"/>
  <c r="K12" i="1"/>
  <c r="L12" i="1"/>
  <c r="Z12" i="1"/>
  <c r="A13" i="1"/>
  <c r="B13" i="1"/>
  <c r="AI13" i="1" s="1"/>
  <c r="C13" i="1"/>
  <c r="D13" i="1"/>
  <c r="E13" i="1"/>
  <c r="F13" i="1"/>
  <c r="G13" i="1"/>
  <c r="H13" i="1"/>
  <c r="I13" i="1"/>
  <c r="J13" i="1"/>
  <c r="K13" i="1"/>
  <c r="L13" i="1"/>
  <c r="Z13" i="1"/>
  <c r="A14" i="1"/>
  <c r="B14" i="1"/>
  <c r="AI14" i="1" s="1"/>
  <c r="C14" i="1"/>
  <c r="D14" i="1"/>
  <c r="E14" i="1"/>
  <c r="F14" i="1"/>
  <c r="G14" i="1"/>
  <c r="H14" i="1"/>
  <c r="I14" i="1"/>
  <c r="J14" i="1"/>
  <c r="K14" i="1"/>
  <c r="L14" i="1"/>
  <c r="Z14" i="1"/>
  <c r="A15" i="1"/>
  <c r="B15" i="1"/>
  <c r="AI15" i="1" s="1"/>
  <c r="C15" i="1"/>
  <c r="D15" i="1"/>
  <c r="E15" i="1"/>
  <c r="F15" i="1"/>
  <c r="G15" i="1"/>
  <c r="H15" i="1"/>
  <c r="I15" i="1"/>
  <c r="J15" i="1"/>
  <c r="K15" i="1"/>
  <c r="L15" i="1"/>
  <c r="Z15" i="1"/>
  <c r="A16" i="1"/>
  <c r="B16" i="1"/>
  <c r="AI16" i="1" s="1"/>
  <c r="C16" i="1"/>
  <c r="D16" i="1"/>
  <c r="E16" i="1"/>
  <c r="F16" i="1"/>
  <c r="G16" i="1"/>
  <c r="H16" i="1"/>
  <c r="I16" i="1"/>
  <c r="J16" i="1"/>
  <c r="K16" i="1"/>
  <c r="L16" i="1"/>
  <c r="Z16" i="1"/>
  <c r="A17" i="1"/>
  <c r="B17" i="1"/>
  <c r="AI17" i="1" s="1"/>
  <c r="C17" i="1"/>
  <c r="D17" i="1"/>
  <c r="E17" i="1"/>
  <c r="F17" i="1"/>
  <c r="G17" i="1"/>
  <c r="H17" i="1"/>
  <c r="I17" i="1"/>
  <c r="J17" i="1"/>
  <c r="K17" i="1"/>
  <c r="L17" i="1"/>
  <c r="Z17" i="1"/>
  <c r="A18" i="1"/>
  <c r="B18" i="1"/>
  <c r="AI18" i="1" s="1"/>
  <c r="C18" i="1"/>
  <c r="D18" i="1"/>
  <c r="E18" i="1"/>
  <c r="F18" i="1"/>
  <c r="G18" i="1"/>
  <c r="H18" i="1"/>
  <c r="I18" i="1"/>
  <c r="J18" i="1"/>
  <c r="K18" i="1"/>
  <c r="L18" i="1"/>
  <c r="Z18" i="1"/>
  <c r="A19" i="1"/>
  <c r="B19" i="1"/>
  <c r="AI19" i="1" s="1"/>
  <c r="C19" i="1"/>
  <c r="D19" i="1"/>
  <c r="E19" i="1"/>
  <c r="F19" i="1"/>
  <c r="G19" i="1"/>
  <c r="H19" i="1"/>
  <c r="I19" i="1"/>
  <c r="J19" i="1"/>
  <c r="K19" i="1"/>
  <c r="L19" i="1"/>
  <c r="Z19" i="1"/>
  <c r="A20" i="1"/>
  <c r="B20" i="1"/>
  <c r="AI20" i="1" s="1"/>
  <c r="C20" i="1"/>
  <c r="D20" i="1"/>
  <c r="E20" i="1"/>
  <c r="F20" i="1"/>
  <c r="G20" i="1"/>
  <c r="H20" i="1"/>
  <c r="I20" i="1"/>
  <c r="J20" i="1"/>
  <c r="K20" i="1"/>
  <c r="L20" i="1"/>
  <c r="Z20" i="1"/>
  <c r="A21" i="1"/>
  <c r="B21" i="1"/>
  <c r="AI21" i="1" s="1"/>
  <c r="C21" i="1"/>
  <c r="D21" i="1"/>
  <c r="E21" i="1"/>
  <c r="F21" i="1"/>
  <c r="G21" i="1"/>
  <c r="H21" i="1"/>
  <c r="I21" i="1"/>
  <c r="J21" i="1"/>
  <c r="K21" i="1"/>
  <c r="L21" i="1"/>
  <c r="N21" i="1"/>
  <c r="Z21" i="1"/>
  <c r="A22" i="1"/>
  <c r="B22" i="1"/>
  <c r="AI22" i="1" s="1"/>
  <c r="C22" i="1"/>
  <c r="D22" i="1"/>
  <c r="E22" i="1"/>
  <c r="F22" i="1"/>
  <c r="G22" i="1"/>
  <c r="H22" i="1"/>
  <c r="I22" i="1"/>
  <c r="J22" i="1"/>
  <c r="K22" i="1"/>
  <c r="L22" i="1"/>
  <c r="N22" i="1"/>
  <c r="Z22" i="1"/>
  <c r="A23" i="1"/>
  <c r="B23" i="1"/>
  <c r="AI23" i="1" s="1"/>
  <c r="C23" i="1"/>
  <c r="D23" i="1"/>
  <c r="E23" i="1"/>
  <c r="F23" i="1"/>
  <c r="G23" i="1"/>
  <c r="H23" i="1"/>
  <c r="I23" i="1"/>
  <c r="J23" i="1"/>
  <c r="K23" i="1"/>
  <c r="L23" i="1"/>
  <c r="N23" i="1"/>
  <c r="Z23" i="1"/>
  <c r="A24" i="1"/>
  <c r="B24" i="1"/>
  <c r="AI24" i="1" s="1"/>
  <c r="C24" i="1"/>
  <c r="D24" i="1"/>
  <c r="E24" i="1"/>
  <c r="F24" i="1"/>
  <c r="G24" i="1"/>
  <c r="H24" i="1"/>
  <c r="I24" i="1"/>
  <c r="J24" i="1"/>
  <c r="K24" i="1"/>
  <c r="L24" i="1"/>
  <c r="Q24" i="1" s="1"/>
  <c r="N24" i="1"/>
  <c r="Z24" i="1"/>
  <c r="A25" i="1"/>
  <c r="B25" i="1"/>
  <c r="AI25" i="1" s="1"/>
  <c r="C25" i="1"/>
  <c r="D25" i="1"/>
  <c r="E25" i="1"/>
  <c r="F25" i="1"/>
  <c r="G25" i="1"/>
  <c r="H25" i="1"/>
  <c r="I25" i="1"/>
  <c r="J25" i="1"/>
  <c r="K25" i="1"/>
  <c r="L25" i="1"/>
  <c r="N25" i="1"/>
  <c r="Z25" i="1"/>
  <c r="A26" i="1"/>
  <c r="B26" i="1"/>
  <c r="AI26" i="1" s="1"/>
  <c r="C26" i="1"/>
  <c r="D26" i="1"/>
  <c r="E26" i="1"/>
  <c r="F26" i="1"/>
  <c r="G26" i="1"/>
  <c r="H26" i="1"/>
  <c r="I26" i="1"/>
  <c r="J26" i="1"/>
  <c r="K26" i="1"/>
  <c r="L26" i="1"/>
  <c r="Q26" i="1" s="1"/>
  <c r="N26" i="1"/>
  <c r="Z26" i="1"/>
  <c r="A27" i="1"/>
  <c r="B27" i="1"/>
  <c r="AI27" i="1" s="1"/>
  <c r="C27" i="1"/>
  <c r="D27" i="1"/>
  <c r="E27" i="1"/>
  <c r="F27" i="1"/>
  <c r="G27" i="1"/>
  <c r="H27" i="1"/>
  <c r="I27" i="1"/>
  <c r="J27" i="1"/>
  <c r="K27" i="1"/>
  <c r="L27" i="1"/>
  <c r="Q27" i="1" s="1"/>
  <c r="N27" i="1"/>
  <c r="Z27" i="1"/>
  <c r="A28" i="1"/>
  <c r="B28" i="1"/>
  <c r="AI28" i="1" s="1"/>
  <c r="C28" i="1"/>
  <c r="D28" i="1"/>
  <c r="E28" i="1"/>
  <c r="F28" i="1"/>
  <c r="G28" i="1"/>
  <c r="H28" i="1"/>
  <c r="I28" i="1"/>
  <c r="J28" i="1"/>
  <c r="K28" i="1"/>
  <c r="L28" i="1"/>
  <c r="Q28" i="1" s="1"/>
  <c r="N28" i="1"/>
  <c r="Z28" i="1"/>
  <c r="A29" i="1"/>
  <c r="B29" i="1"/>
  <c r="AI29" i="1" s="1"/>
  <c r="C29" i="1"/>
  <c r="D29" i="1"/>
  <c r="E29" i="1"/>
  <c r="F29" i="1"/>
  <c r="G29" i="1"/>
  <c r="H29" i="1"/>
  <c r="I29" i="1"/>
  <c r="J29" i="1"/>
  <c r="K29" i="1"/>
  <c r="L29" i="1"/>
  <c r="Q29" i="1" s="1"/>
  <c r="N29" i="1"/>
  <c r="Z29" i="1"/>
  <c r="A30" i="1"/>
  <c r="B30" i="1"/>
  <c r="AI30" i="1" s="1"/>
  <c r="C30" i="1"/>
  <c r="D30" i="1"/>
  <c r="E30" i="1"/>
  <c r="F30" i="1"/>
  <c r="G30" i="1"/>
  <c r="H30" i="1"/>
  <c r="I30" i="1"/>
  <c r="J30" i="1"/>
  <c r="K30" i="1"/>
  <c r="L30" i="1"/>
  <c r="Q30" i="1" s="1"/>
  <c r="N30" i="1"/>
  <c r="Z30" i="1"/>
  <c r="A31" i="1"/>
  <c r="B31" i="1"/>
  <c r="AI31" i="1" s="1"/>
  <c r="C31" i="1"/>
  <c r="D31" i="1"/>
  <c r="E31" i="1"/>
  <c r="F31" i="1"/>
  <c r="G31" i="1"/>
  <c r="H31" i="1"/>
  <c r="I31" i="1"/>
  <c r="J31" i="1"/>
  <c r="K31" i="1"/>
  <c r="L31" i="1"/>
  <c r="Q31" i="1" s="1"/>
  <c r="Z31" i="1"/>
  <c r="A32" i="1"/>
  <c r="B32" i="1"/>
  <c r="AI32" i="1" s="1"/>
  <c r="C32" i="1"/>
  <c r="D32" i="1"/>
  <c r="E32" i="1"/>
  <c r="F32" i="1"/>
  <c r="G32" i="1"/>
  <c r="H32" i="1"/>
  <c r="I32" i="1"/>
  <c r="J32" i="1"/>
  <c r="K32" i="1"/>
  <c r="L32" i="1"/>
  <c r="Q32" i="1" s="1"/>
  <c r="Z32" i="1"/>
  <c r="A33" i="1"/>
  <c r="B33" i="1"/>
  <c r="AI33" i="1" s="1"/>
  <c r="C33" i="1"/>
  <c r="D33" i="1"/>
  <c r="E33" i="1"/>
  <c r="F33" i="1"/>
  <c r="G33" i="1"/>
  <c r="H33" i="1"/>
  <c r="I33" i="1"/>
  <c r="J33" i="1"/>
  <c r="K33" i="1"/>
  <c r="L33" i="1"/>
  <c r="Q33" i="1" s="1"/>
  <c r="Z33" i="1"/>
  <c r="A34" i="1"/>
  <c r="B34" i="1"/>
  <c r="AI34" i="1" s="1"/>
  <c r="C34" i="1"/>
  <c r="D34" i="1"/>
  <c r="E34" i="1"/>
  <c r="F34" i="1"/>
  <c r="G34" i="1"/>
  <c r="H34" i="1"/>
  <c r="I34" i="1"/>
  <c r="J34" i="1"/>
  <c r="K34" i="1"/>
  <c r="L34" i="1"/>
  <c r="N34" i="1"/>
  <c r="Z34" i="1"/>
  <c r="A35" i="1"/>
  <c r="B35" i="1"/>
  <c r="AI35" i="1" s="1"/>
  <c r="C35" i="1"/>
  <c r="D35" i="1"/>
  <c r="E35" i="1"/>
  <c r="F35" i="1"/>
  <c r="G35" i="1"/>
  <c r="H35" i="1"/>
  <c r="I35" i="1"/>
  <c r="J35" i="1"/>
  <c r="K35" i="1"/>
  <c r="L35" i="1"/>
  <c r="Q35" i="1" s="1"/>
  <c r="Z35" i="1"/>
  <c r="A36" i="1"/>
  <c r="B36" i="1"/>
  <c r="AI36" i="1" s="1"/>
  <c r="C36" i="1"/>
  <c r="D36" i="1"/>
  <c r="E36" i="1"/>
  <c r="F36" i="1"/>
  <c r="G36" i="1"/>
  <c r="H36" i="1"/>
  <c r="I36" i="1"/>
  <c r="J36" i="1"/>
  <c r="K36" i="1"/>
  <c r="L36" i="1"/>
  <c r="N36" i="1"/>
  <c r="Z36" i="1"/>
  <c r="A37" i="1"/>
  <c r="B37" i="1"/>
  <c r="AI37" i="1" s="1"/>
  <c r="C37" i="1"/>
  <c r="D37" i="1"/>
  <c r="E37" i="1"/>
  <c r="F37" i="1"/>
  <c r="G37" i="1"/>
  <c r="H37" i="1"/>
  <c r="I37" i="1"/>
  <c r="J37" i="1"/>
  <c r="K37" i="1"/>
  <c r="L37" i="1"/>
  <c r="Q37" i="1" s="1"/>
  <c r="Z37" i="1"/>
  <c r="A38" i="1"/>
  <c r="B38" i="1"/>
  <c r="AI38" i="1" s="1"/>
  <c r="C38" i="1"/>
  <c r="D38" i="1"/>
  <c r="E38" i="1"/>
  <c r="F38" i="1"/>
  <c r="G38" i="1"/>
  <c r="H38" i="1"/>
  <c r="I38" i="1"/>
  <c r="J38" i="1"/>
  <c r="K38" i="1"/>
  <c r="L38" i="1"/>
  <c r="N38" i="1"/>
  <c r="Z38" i="1"/>
  <c r="A39" i="1"/>
  <c r="B39" i="1"/>
  <c r="AI39" i="1" s="1"/>
  <c r="C39" i="1"/>
  <c r="D39" i="1"/>
  <c r="E39" i="1"/>
  <c r="F39" i="1"/>
  <c r="G39" i="1"/>
  <c r="H39" i="1"/>
  <c r="I39" i="1"/>
  <c r="J39" i="1"/>
  <c r="K39" i="1"/>
  <c r="L39" i="1"/>
  <c r="Z39" i="1"/>
  <c r="A40" i="1"/>
  <c r="B40" i="1"/>
  <c r="AI40" i="1" s="1"/>
  <c r="C40" i="1"/>
  <c r="D40" i="1"/>
  <c r="E40" i="1"/>
  <c r="F40" i="1"/>
  <c r="G40" i="1"/>
  <c r="H40" i="1"/>
  <c r="I40" i="1"/>
  <c r="J40" i="1"/>
  <c r="K40" i="1"/>
  <c r="L40" i="1"/>
  <c r="Q40" i="1" s="1"/>
  <c r="Z40" i="1"/>
  <c r="A41" i="1"/>
  <c r="B41" i="1"/>
  <c r="AI41" i="1" s="1"/>
  <c r="C41" i="1"/>
  <c r="D41" i="1"/>
  <c r="E41" i="1"/>
  <c r="F41" i="1"/>
  <c r="G41" i="1"/>
  <c r="H41" i="1"/>
  <c r="I41" i="1"/>
  <c r="J41" i="1"/>
  <c r="K41" i="1"/>
  <c r="L41" i="1"/>
  <c r="Z41" i="1"/>
  <c r="A42" i="1"/>
  <c r="B42" i="1"/>
  <c r="AI42" i="1" s="1"/>
  <c r="C42" i="1"/>
  <c r="D42" i="1"/>
  <c r="E42" i="1"/>
  <c r="F42" i="1"/>
  <c r="G42" i="1"/>
  <c r="H42" i="1"/>
  <c r="I42" i="1"/>
  <c r="J42" i="1"/>
  <c r="K42" i="1"/>
  <c r="L42" i="1"/>
  <c r="Q42" i="1" s="1"/>
  <c r="N42" i="1"/>
  <c r="Z42" i="1"/>
  <c r="A43" i="1"/>
  <c r="B43" i="1"/>
  <c r="AI43" i="1" s="1"/>
  <c r="C43" i="1"/>
  <c r="D43" i="1"/>
  <c r="E43" i="1"/>
  <c r="F43" i="1"/>
  <c r="G43" i="1"/>
  <c r="H43" i="1"/>
  <c r="I43" i="1"/>
  <c r="J43" i="1"/>
  <c r="K43" i="1"/>
  <c r="L43" i="1"/>
  <c r="N43" i="1"/>
  <c r="Z43" i="1"/>
  <c r="A44" i="1"/>
  <c r="B44" i="1"/>
  <c r="AI44" i="1" s="1"/>
  <c r="C44" i="1"/>
  <c r="D44" i="1"/>
  <c r="E44" i="1"/>
  <c r="F44" i="1"/>
  <c r="G44" i="1"/>
  <c r="H44" i="1"/>
  <c r="I44" i="1"/>
  <c r="J44" i="1"/>
  <c r="K44" i="1"/>
  <c r="L44" i="1"/>
  <c r="N44" i="1"/>
  <c r="Z44" i="1"/>
  <c r="A45" i="1"/>
  <c r="B45" i="1"/>
  <c r="AI45" i="1" s="1"/>
  <c r="C45" i="1"/>
  <c r="D45" i="1"/>
  <c r="E45" i="1"/>
  <c r="F45" i="1"/>
  <c r="G45" i="1"/>
  <c r="H45" i="1"/>
  <c r="I45" i="1"/>
  <c r="J45" i="1"/>
  <c r="K45" i="1"/>
  <c r="L45" i="1"/>
  <c r="N45" i="1"/>
  <c r="Z45" i="1"/>
  <c r="A46" i="1"/>
  <c r="B46" i="1"/>
  <c r="AI46" i="1" s="1"/>
  <c r="C46" i="1"/>
  <c r="D46" i="1"/>
  <c r="E46" i="1"/>
  <c r="F46" i="1"/>
  <c r="G46" i="1"/>
  <c r="H46" i="1"/>
  <c r="I46" i="1"/>
  <c r="J46" i="1"/>
  <c r="K46" i="1"/>
  <c r="L46" i="1"/>
  <c r="Z46" i="1"/>
  <c r="A47" i="1"/>
  <c r="B47" i="1"/>
  <c r="AI47" i="1" s="1"/>
  <c r="C47" i="1"/>
  <c r="D47" i="1"/>
  <c r="E47" i="1"/>
  <c r="F47" i="1"/>
  <c r="G47" i="1"/>
  <c r="H47" i="1"/>
  <c r="I47" i="1"/>
  <c r="J47" i="1"/>
  <c r="K47" i="1"/>
  <c r="L47" i="1"/>
  <c r="Z47" i="1"/>
  <c r="A48" i="1"/>
  <c r="B48" i="1"/>
  <c r="AI48" i="1" s="1"/>
  <c r="C48" i="1"/>
  <c r="D48" i="1"/>
  <c r="E48" i="1"/>
  <c r="F48" i="1"/>
  <c r="G48" i="1"/>
  <c r="H48" i="1"/>
  <c r="I48" i="1"/>
  <c r="J48" i="1"/>
  <c r="K48" i="1"/>
  <c r="L48" i="1"/>
  <c r="Q48" i="1" s="1"/>
  <c r="Z48" i="1"/>
  <c r="A49" i="1"/>
  <c r="B49" i="1"/>
  <c r="AI49" i="1" s="1"/>
  <c r="C49" i="1"/>
  <c r="D49" i="1"/>
  <c r="E49" i="1"/>
  <c r="F49" i="1"/>
  <c r="G49" i="1"/>
  <c r="H49" i="1"/>
  <c r="I49" i="1"/>
  <c r="J49" i="1"/>
  <c r="K49" i="1"/>
  <c r="L49" i="1"/>
  <c r="N49" i="1"/>
  <c r="Z49" i="1"/>
  <c r="A50" i="1"/>
  <c r="B50" i="1"/>
  <c r="AI50" i="1" s="1"/>
  <c r="C50" i="1"/>
  <c r="D50" i="1"/>
  <c r="E50" i="1"/>
  <c r="F50" i="1"/>
  <c r="G50" i="1"/>
  <c r="H50" i="1"/>
  <c r="I50" i="1"/>
  <c r="J50" i="1"/>
  <c r="K50" i="1"/>
  <c r="L50" i="1"/>
  <c r="Q50" i="1" s="1"/>
  <c r="Z50" i="1"/>
  <c r="A51" i="1"/>
  <c r="B51" i="1"/>
  <c r="AI51" i="1" s="1"/>
  <c r="C51" i="1"/>
  <c r="D51" i="1"/>
  <c r="E51" i="1"/>
  <c r="F51" i="1"/>
  <c r="G51" i="1"/>
  <c r="H51" i="1"/>
  <c r="I51" i="1"/>
  <c r="J51" i="1"/>
  <c r="K51" i="1"/>
  <c r="L51" i="1"/>
  <c r="Q51" i="1" s="1"/>
  <c r="Z51" i="1"/>
  <c r="A52" i="1"/>
  <c r="B52" i="1"/>
  <c r="AI52" i="1" s="1"/>
  <c r="C52" i="1"/>
  <c r="D52" i="1"/>
  <c r="E52" i="1"/>
  <c r="F52" i="1"/>
  <c r="G52" i="1"/>
  <c r="H52" i="1"/>
  <c r="I52" i="1"/>
  <c r="J52" i="1"/>
  <c r="K52" i="1"/>
  <c r="L52" i="1"/>
  <c r="N52" i="1"/>
  <c r="Z52" i="1"/>
  <c r="A53" i="1"/>
  <c r="B53" i="1"/>
  <c r="AI53" i="1" s="1"/>
  <c r="C53" i="1"/>
  <c r="D53" i="1"/>
  <c r="E53" i="1"/>
  <c r="F53" i="1"/>
  <c r="G53" i="1"/>
  <c r="H53" i="1"/>
  <c r="I53" i="1"/>
  <c r="J53" i="1"/>
  <c r="K53" i="1"/>
  <c r="L53" i="1"/>
  <c r="N53" i="1"/>
  <c r="Z53" i="1"/>
  <c r="A54" i="1"/>
  <c r="B54" i="1"/>
  <c r="AI54" i="1" s="1"/>
  <c r="C54" i="1"/>
  <c r="D54" i="1"/>
  <c r="E54" i="1"/>
  <c r="F54" i="1"/>
  <c r="G54" i="1"/>
  <c r="H54" i="1"/>
  <c r="I54" i="1"/>
  <c r="J54" i="1"/>
  <c r="K54" i="1"/>
  <c r="L54" i="1"/>
  <c r="Z54" i="1"/>
  <c r="A55" i="1"/>
  <c r="B55" i="1"/>
  <c r="AI55" i="1" s="1"/>
  <c r="C55" i="1"/>
  <c r="D55" i="1"/>
  <c r="E55" i="1"/>
  <c r="F55" i="1"/>
  <c r="G55" i="1"/>
  <c r="H55" i="1"/>
  <c r="I55" i="1"/>
  <c r="J55" i="1"/>
  <c r="K55" i="1"/>
  <c r="L55" i="1"/>
  <c r="Q55" i="1" s="1"/>
  <c r="Z55" i="1"/>
  <c r="A56" i="1"/>
  <c r="B56" i="1"/>
  <c r="AI56" i="1" s="1"/>
  <c r="C56" i="1"/>
  <c r="D56" i="1"/>
  <c r="E56" i="1"/>
  <c r="F56" i="1"/>
  <c r="G56" i="1"/>
  <c r="H56" i="1"/>
  <c r="I56" i="1"/>
  <c r="J56" i="1"/>
  <c r="K56" i="1"/>
  <c r="L56" i="1"/>
  <c r="Q56" i="1" s="1"/>
  <c r="N56" i="1"/>
  <c r="Z56" i="1"/>
  <c r="A57" i="1"/>
  <c r="B57" i="1"/>
  <c r="AI57" i="1" s="1"/>
  <c r="C57" i="1"/>
  <c r="D57" i="1"/>
  <c r="E57" i="1"/>
  <c r="F57" i="1"/>
  <c r="G57" i="1"/>
  <c r="H57" i="1"/>
  <c r="I57" i="1"/>
  <c r="J57" i="1"/>
  <c r="K57" i="1"/>
  <c r="L57" i="1"/>
  <c r="Q57" i="1" s="1"/>
  <c r="Z57" i="1"/>
  <c r="A58" i="1"/>
  <c r="B58" i="1"/>
  <c r="AI58" i="1" s="1"/>
  <c r="C58" i="1"/>
  <c r="D58" i="1"/>
  <c r="E58" i="1"/>
  <c r="F58" i="1"/>
  <c r="G58" i="1"/>
  <c r="H58" i="1"/>
  <c r="I58" i="1"/>
  <c r="J58" i="1"/>
  <c r="K58" i="1"/>
  <c r="L58" i="1"/>
  <c r="Q58" i="1" s="1"/>
  <c r="Z58" i="1"/>
  <c r="A59" i="1"/>
  <c r="B59" i="1"/>
  <c r="AI59" i="1" s="1"/>
  <c r="C59" i="1"/>
  <c r="D59" i="1"/>
  <c r="E59" i="1"/>
  <c r="F59" i="1"/>
  <c r="G59" i="1"/>
  <c r="H59" i="1"/>
  <c r="I59" i="1"/>
  <c r="J59" i="1"/>
  <c r="K59" i="1"/>
  <c r="L59" i="1"/>
  <c r="Q59" i="1" s="1"/>
  <c r="Z59" i="1"/>
  <c r="A60" i="1"/>
  <c r="B60" i="1"/>
  <c r="AI60" i="1" s="1"/>
  <c r="C60" i="1"/>
  <c r="D60" i="1"/>
  <c r="E60" i="1"/>
  <c r="F60" i="1"/>
  <c r="G60" i="1"/>
  <c r="H60" i="1"/>
  <c r="I60" i="1"/>
  <c r="J60" i="1"/>
  <c r="K60" i="1"/>
  <c r="L60" i="1"/>
  <c r="Q60" i="1" s="1"/>
  <c r="Z60" i="1"/>
  <c r="A61" i="1"/>
  <c r="B61" i="1"/>
  <c r="AI61" i="1" s="1"/>
  <c r="C61" i="1"/>
  <c r="D61" i="1"/>
  <c r="E61" i="1"/>
  <c r="F61" i="1"/>
  <c r="G61" i="1"/>
  <c r="H61" i="1"/>
  <c r="I61" i="1"/>
  <c r="J61" i="1"/>
  <c r="K61" i="1"/>
  <c r="L61" i="1"/>
  <c r="Q61" i="1" s="1"/>
  <c r="Z61" i="1"/>
  <c r="A62" i="1"/>
  <c r="B62" i="1"/>
  <c r="AI62" i="1" s="1"/>
  <c r="C62" i="1"/>
  <c r="D62" i="1"/>
  <c r="E62" i="1"/>
  <c r="F62" i="1"/>
  <c r="G62" i="1"/>
  <c r="H62" i="1"/>
  <c r="I62" i="1"/>
  <c r="J62" i="1"/>
  <c r="K62" i="1"/>
  <c r="L62" i="1"/>
  <c r="Q62" i="1" s="1"/>
  <c r="Z62" i="1"/>
  <c r="A63" i="1"/>
  <c r="B63" i="1"/>
  <c r="AI63" i="1" s="1"/>
  <c r="C63" i="1"/>
  <c r="D63" i="1"/>
  <c r="E63" i="1"/>
  <c r="F63" i="1"/>
  <c r="G63" i="1"/>
  <c r="H63" i="1"/>
  <c r="I63" i="1"/>
  <c r="J63" i="1"/>
  <c r="K63" i="1"/>
  <c r="L63" i="1"/>
  <c r="Q63" i="1" s="1"/>
  <c r="Z63" i="1"/>
  <c r="A64" i="1"/>
  <c r="B64" i="1"/>
  <c r="AI64" i="1" s="1"/>
  <c r="C64" i="1"/>
  <c r="D64" i="1"/>
  <c r="E64" i="1"/>
  <c r="F64" i="1"/>
  <c r="G64" i="1"/>
  <c r="H64" i="1"/>
  <c r="I64" i="1"/>
  <c r="J64" i="1"/>
  <c r="K64" i="1"/>
  <c r="L64" i="1"/>
  <c r="Q64" i="1" s="1"/>
  <c r="Z64" i="1"/>
  <c r="A65" i="1"/>
  <c r="B65" i="1"/>
  <c r="AI65" i="1" s="1"/>
  <c r="C65" i="1"/>
  <c r="D65" i="1"/>
  <c r="E65" i="1"/>
  <c r="F65" i="1"/>
  <c r="G65" i="1"/>
  <c r="H65" i="1"/>
  <c r="I65" i="1"/>
  <c r="J65" i="1"/>
  <c r="K65" i="1"/>
  <c r="L65" i="1"/>
  <c r="Q65" i="1" s="1"/>
  <c r="Z65" i="1"/>
  <c r="A66" i="1"/>
  <c r="B66" i="1"/>
  <c r="AI66" i="1" s="1"/>
  <c r="C66" i="1"/>
  <c r="D66" i="1"/>
  <c r="E66" i="1"/>
  <c r="F66" i="1"/>
  <c r="G66" i="1"/>
  <c r="H66" i="1"/>
  <c r="I66" i="1"/>
  <c r="J66" i="1"/>
  <c r="K66" i="1"/>
  <c r="L66" i="1"/>
  <c r="Q66" i="1" s="1"/>
  <c r="Z66" i="1"/>
  <c r="A67" i="1"/>
  <c r="B67" i="1"/>
  <c r="AI67" i="1" s="1"/>
  <c r="C67" i="1"/>
  <c r="D67" i="1"/>
  <c r="E67" i="1"/>
  <c r="F67" i="1"/>
  <c r="G67" i="1"/>
  <c r="H67" i="1"/>
  <c r="I67" i="1"/>
  <c r="J67" i="1"/>
  <c r="K67" i="1"/>
  <c r="L67" i="1"/>
  <c r="Q67" i="1" s="1"/>
  <c r="Z67" i="1"/>
  <c r="A68" i="1"/>
  <c r="B68" i="1"/>
  <c r="AI68" i="1" s="1"/>
  <c r="C68" i="1"/>
  <c r="D68" i="1"/>
  <c r="E68" i="1"/>
  <c r="F68" i="1"/>
  <c r="G68" i="1"/>
  <c r="H68" i="1"/>
  <c r="I68" i="1"/>
  <c r="J68" i="1"/>
  <c r="K68" i="1"/>
  <c r="L68" i="1"/>
  <c r="Z68" i="1"/>
  <c r="A69" i="1"/>
  <c r="B69" i="1"/>
  <c r="AI69" i="1" s="1"/>
  <c r="C69" i="1"/>
  <c r="D69" i="1"/>
  <c r="E69" i="1"/>
  <c r="F69" i="1"/>
  <c r="G69" i="1"/>
  <c r="H69" i="1"/>
  <c r="I69" i="1"/>
  <c r="J69" i="1"/>
  <c r="K69" i="1"/>
  <c r="L69" i="1"/>
  <c r="Q69" i="1" s="1"/>
  <c r="Z69" i="1"/>
  <c r="A70" i="1"/>
  <c r="B70" i="1"/>
  <c r="AI70" i="1" s="1"/>
  <c r="C70" i="1"/>
  <c r="D70" i="1"/>
  <c r="E70" i="1"/>
  <c r="F70" i="1"/>
  <c r="G70" i="1"/>
  <c r="H70" i="1"/>
  <c r="I70" i="1"/>
  <c r="J70" i="1"/>
  <c r="K70" i="1"/>
  <c r="L70" i="1"/>
  <c r="Q70" i="1" s="1"/>
  <c r="Z70" i="1"/>
  <c r="A71" i="1"/>
  <c r="B71" i="1"/>
  <c r="AI71" i="1" s="1"/>
  <c r="C71" i="1"/>
  <c r="D71" i="1"/>
  <c r="E71" i="1"/>
  <c r="F71" i="1"/>
  <c r="G71" i="1"/>
  <c r="H71" i="1"/>
  <c r="I71" i="1"/>
  <c r="J71" i="1"/>
  <c r="K71" i="1"/>
  <c r="L71" i="1"/>
  <c r="Q71" i="1" s="1"/>
  <c r="N71" i="1"/>
  <c r="Z71" i="1"/>
  <c r="A72" i="1"/>
  <c r="B72" i="1"/>
  <c r="AI72" i="1" s="1"/>
  <c r="C72" i="1"/>
  <c r="D72" i="1"/>
  <c r="E72" i="1"/>
  <c r="F72" i="1"/>
  <c r="G72" i="1"/>
  <c r="H72" i="1"/>
  <c r="I72" i="1"/>
  <c r="J72" i="1"/>
  <c r="K72" i="1"/>
  <c r="L72" i="1"/>
  <c r="Q72" i="1" s="1"/>
  <c r="Z72" i="1"/>
  <c r="A73" i="1"/>
  <c r="B73" i="1"/>
  <c r="AI73" i="1" s="1"/>
  <c r="C73" i="1"/>
  <c r="D73" i="1"/>
  <c r="E73" i="1"/>
  <c r="F73" i="1"/>
  <c r="G73" i="1"/>
  <c r="H73" i="1"/>
  <c r="I73" i="1"/>
  <c r="J73" i="1"/>
  <c r="K73" i="1"/>
  <c r="L73" i="1"/>
  <c r="Q73" i="1" s="1"/>
  <c r="N73" i="1"/>
  <c r="Z73" i="1"/>
  <c r="A74" i="1"/>
  <c r="B74" i="1"/>
  <c r="AI74" i="1" s="1"/>
  <c r="C74" i="1"/>
  <c r="D74" i="1"/>
  <c r="E74" i="1"/>
  <c r="F74" i="1"/>
  <c r="G74" i="1"/>
  <c r="H74" i="1"/>
  <c r="I74" i="1"/>
  <c r="J74" i="1"/>
  <c r="K74" i="1"/>
  <c r="L74" i="1"/>
  <c r="Z74" i="1"/>
  <c r="A75" i="1"/>
  <c r="B75" i="1"/>
  <c r="AI75" i="1" s="1"/>
  <c r="C75" i="1"/>
  <c r="D75" i="1"/>
  <c r="E75" i="1"/>
  <c r="F75" i="1"/>
  <c r="G75" i="1"/>
  <c r="H75" i="1"/>
  <c r="I75" i="1"/>
  <c r="J75" i="1"/>
  <c r="K75" i="1"/>
  <c r="L75" i="1"/>
  <c r="Q75" i="1" s="1"/>
  <c r="Z75" i="1"/>
  <c r="A76" i="1"/>
  <c r="B76" i="1"/>
  <c r="AI76" i="1" s="1"/>
  <c r="C76" i="1"/>
  <c r="D76" i="1"/>
  <c r="E76" i="1"/>
  <c r="F76" i="1"/>
  <c r="G76" i="1"/>
  <c r="H76" i="1"/>
  <c r="I76" i="1"/>
  <c r="J76" i="1"/>
  <c r="K76" i="1"/>
  <c r="L76" i="1"/>
  <c r="Z76" i="1"/>
  <c r="A77" i="1"/>
  <c r="B77" i="1"/>
  <c r="AI77" i="1" s="1"/>
  <c r="C77" i="1"/>
  <c r="D77" i="1"/>
  <c r="E77" i="1"/>
  <c r="F77" i="1"/>
  <c r="G77" i="1"/>
  <c r="H77" i="1"/>
  <c r="I77" i="1"/>
  <c r="J77" i="1"/>
  <c r="K77" i="1"/>
  <c r="L77" i="1"/>
  <c r="Z77" i="1"/>
  <c r="A78" i="1"/>
  <c r="B78" i="1"/>
  <c r="AI78" i="1" s="1"/>
  <c r="C78" i="1"/>
  <c r="D78" i="1"/>
  <c r="E78" i="1"/>
  <c r="F78" i="1"/>
  <c r="G78" i="1"/>
  <c r="H78" i="1"/>
  <c r="I78" i="1"/>
  <c r="J78" i="1"/>
  <c r="K78" i="1"/>
  <c r="L78" i="1"/>
  <c r="Z78" i="1"/>
  <c r="A79" i="1"/>
  <c r="B79" i="1"/>
  <c r="AI79" i="1" s="1"/>
  <c r="C79" i="1"/>
  <c r="D79" i="1"/>
  <c r="E79" i="1"/>
  <c r="F79" i="1"/>
  <c r="G79" i="1"/>
  <c r="H79" i="1"/>
  <c r="I79" i="1"/>
  <c r="J79" i="1"/>
  <c r="K79" i="1"/>
  <c r="L79" i="1"/>
  <c r="Z79" i="1"/>
  <c r="A80" i="1"/>
  <c r="B80" i="1"/>
  <c r="AI80" i="1" s="1"/>
  <c r="C80" i="1"/>
  <c r="D80" i="1"/>
  <c r="E80" i="1"/>
  <c r="F80" i="1"/>
  <c r="G80" i="1"/>
  <c r="H80" i="1"/>
  <c r="I80" i="1"/>
  <c r="J80" i="1"/>
  <c r="K80" i="1"/>
  <c r="L80" i="1"/>
  <c r="Z80" i="1"/>
  <c r="A81" i="1"/>
  <c r="B81" i="1"/>
  <c r="AI81" i="1" s="1"/>
  <c r="C81" i="1"/>
  <c r="D81" i="1"/>
  <c r="E81" i="1"/>
  <c r="F81" i="1"/>
  <c r="G81" i="1"/>
  <c r="H81" i="1"/>
  <c r="I81" i="1"/>
  <c r="J81" i="1"/>
  <c r="K81" i="1"/>
  <c r="L81" i="1"/>
  <c r="Z81" i="1"/>
  <c r="A82" i="1"/>
  <c r="B82" i="1"/>
  <c r="AI82" i="1" s="1"/>
  <c r="C82" i="1"/>
  <c r="D82" i="1"/>
  <c r="E82" i="1"/>
  <c r="F82" i="1"/>
  <c r="G82" i="1"/>
  <c r="H82" i="1"/>
  <c r="I82" i="1"/>
  <c r="J82" i="1"/>
  <c r="K82" i="1"/>
  <c r="L82" i="1"/>
  <c r="Z82" i="1"/>
  <c r="A83" i="1"/>
  <c r="B83" i="1"/>
  <c r="AI83" i="1" s="1"/>
  <c r="C83" i="1"/>
  <c r="D83" i="1"/>
  <c r="E83" i="1"/>
  <c r="F83" i="1"/>
  <c r="G83" i="1"/>
  <c r="H83" i="1"/>
  <c r="I83" i="1"/>
  <c r="J83" i="1"/>
  <c r="K83" i="1"/>
  <c r="L83" i="1"/>
  <c r="Q83" i="1" s="1"/>
  <c r="Z83" i="1"/>
  <c r="A84" i="1"/>
  <c r="B84" i="1"/>
  <c r="AI84" i="1" s="1"/>
  <c r="C84" i="1"/>
  <c r="D84" i="1"/>
  <c r="E84" i="1"/>
  <c r="F84" i="1"/>
  <c r="G84" i="1"/>
  <c r="H84" i="1"/>
  <c r="I84" i="1"/>
  <c r="J84" i="1"/>
  <c r="K84" i="1"/>
  <c r="L84" i="1"/>
  <c r="Z84" i="1"/>
  <c r="A85" i="1"/>
  <c r="B85" i="1"/>
  <c r="AI85" i="1" s="1"/>
  <c r="C85" i="1"/>
  <c r="D85" i="1"/>
  <c r="E85" i="1"/>
  <c r="F85" i="1"/>
  <c r="G85" i="1"/>
  <c r="H85" i="1"/>
  <c r="I85" i="1"/>
  <c r="J85" i="1"/>
  <c r="K85" i="1"/>
  <c r="L85" i="1"/>
  <c r="Z85" i="1"/>
  <c r="A86" i="1"/>
  <c r="B86" i="1"/>
  <c r="AI86" i="1" s="1"/>
  <c r="C86" i="1"/>
  <c r="D86" i="1"/>
  <c r="E86" i="1"/>
  <c r="F86" i="1"/>
  <c r="G86" i="1"/>
  <c r="H86" i="1"/>
  <c r="I86" i="1"/>
  <c r="J86" i="1"/>
  <c r="K86" i="1"/>
  <c r="L86" i="1"/>
  <c r="Z86" i="1"/>
  <c r="A87" i="1"/>
  <c r="B87" i="1"/>
  <c r="AI87" i="1" s="1"/>
  <c r="C87" i="1"/>
  <c r="D87" i="1"/>
  <c r="E87" i="1"/>
  <c r="F87" i="1"/>
  <c r="G87" i="1"/>
  <c r="H87" i="1"/>
  <c r="I87" i="1"/>
  <c r="J87" i="1"/>
  <c r="K87" i="1"/>
  <c r="L87" i="1"/>
  <c r="Z87" i="1"/>
  <c r="A88" i="1"/>
  <c r="B88" i="1"/>
  <c r="AI88" i="1" s="1"/>
  <c r="C88" i="1"/>
  <c r="D88" i="1"/>
  <c r="E88" i="1"/>
  <c r="F88" i="1"/>
  <c r="G88" i="1"/>
  <c r="H88" i="1"/>
  <c r="I88" i="1"/>
  <c r="J88" i="1"/>
  <c r="K88" i="1"/>
  <c r="L88" i="1"/>
  <c r="N88" i="1"/>
  <c r="Z88" i="1"/>
  <c r="A89" i="1"/>
  <c r="B89" i="1"/>
  <c r="AI89" i="1" s="1"/>
  <c r="C89" i="1"/>
  <c r="D89" i="1"/>
  <c r="E89" i="1"/>
  <c r="F89" i="1"/>
  <c r="G89" i="1"/>
  <c r="H89" i="1"/>
  <c r="I89" i="1"/>
  <c r="J89" i="1"/>
  <c r="K89" i="1"/>
  <c r="L89" i="1"/>
  <c r="Z89" i="1"/>
  <c r="A90" i="1"/>
  <c r="B90" i="1"/>
  <c r="AI90" i="1" s="1"/>
  <c r="C90" i="1"/>
  <c r="D90" i="1"/>
  <c r="E90" i="1"/>
  <c r="F90" i="1"/>
  <c r="G90" i="1"/>
  <c r="H90" i="1"/>
  <c r="I90" i="1"/>
  <c r="J90" i="1"/>
  <c r="K90" i="1"/>
  <c r="L90" i="1"/>
  <c r="Z90" i="1"/>
  <c r="A91" i="1"/>
  <c r="B91" i="1"/>
  <c r="AI91" i="1" s="1"/>
  <c r="C91" i="1"/>
  <c r="D91" i="1"/>
  <c r="E91" i="1"/>
  <c r="F91" i="1"/>
  <c r="G91" i="1"/>
  <c r="H91" i="1"/>
  <c r="I91" i="1"/>
  <c r="J91" i="1"/>
  <c r="K91" i="1"/>
  <c r="L91" i="1"/>
  <c r="Z91" i="1"/>
  <c r="A92" i="1"/>
  <c r="B92" i="1"/>
  <c r="AI92" i="1" s="1"/>
  <c r="C92" i="1"/>
  <c r="D92" i="1"/>
  <c r="E92" i="1"/>
  <c r="F92" i="1"/>
  <c r="G92" i="1"/>
  <c r="H92" i="1"/>
  <c r="I92" i="1"/>
  <c r="J92" i="1"/>
  <c r="K92" i="1"/>
  <c r="L92" i="1"/>
  <c r="Z92" i="1"/>
  <c r="A93" i="1"/>
  <c r="B93" i="1"/>
  <c r="AI93" i="1" s="1"/>
  <c r="C93" i="1"/>
  <c r="D93" i="1"/>
  <c r="E93" i="1"/>
  <c r="F93" i="1"/>
  <c r="G93" i="1"/>
  <c r="H93" i="1"/>
  <c r="I93" i="1"/>
  <c r="J93" i="1"/>
  <c r="K93" i="1"/>
  <c r="L93" i="1"/>
  <c r="Z93" i="1"/>
  <c r="A94" i="1"/>
  <c r="B94" i="1"/>
  <c r="AI94" i="1" s="1"/>
  <c r="C94" i="1"/>
  <c r="D94" i="1"/>
  <c r="E94" i="1"/>
  <c r="F94" i="1"/>
  <c r="G94" i="1"/>
  <c r="H94" i="1"/>
  <c r="I94" i="1"/>
  <c r="J94" i="1"/>
  <c r="K94" i="1"/>
  <c r="L94" i="1"/>
  <c r="Q94" i="1" s="1"/>
  <c r="Z94" i="1"/>
  <c r="A95" i="1"/>
  <c r="B95" i="1"/>
  <c r="AI95" i="1" s="1"/>
  <c r="C95" i="1"/>
  <c r="D95" i="1"/>
  <c r="E95" i="1"/>
  <c r="F95" i="1"/>
  <c r="G95" i="1"/>
  <c r="H95" i="1"/>
  <c r="I95" i="1"/>
  <c r="J95" i="1"/>
  <c r="K95" i="1"/>
  <c r="L95" i="1"/>
  <c r="Q95" i="1" s="1"/>
  <c r="Z95" i="1"/>
  <c r="A96" i="1"/>
  <c r="B96" i="1"/>
  <c r="AI96" i="1" s="1"/>
  <c r="C96" i="1"/>
  <c r="D96" i="1"/>
  <c r="E96" i="1"/>
  <c r="F96" i="1"/>
  <c r="G96" i="1"/>
  <c r="H96" i="1"/>
  <c r="I96" i="1"/>
  <c r="J96" i="1"/>
  <c r="K96" i="1"/>
  <c r="L96" i="1"/>
  <c r="Z96" i="1"/>
  <c r="A97" i="1"/>
  <c r="B97" i="1"/>
  <c r="AI97" i="1" s="1"/>
  <c r="C97" i="1"/>
  <c r="D97" i="1"/>
  <c r="E97" i="1"/>
  <c r="F97" i="1"/>
  <c r="G97" i="1"/>
  <c r="H97" i="1"/>
  <c r="I97" i="1"/>
  <c r="J97" i="1"/>
  <c r="K97" i="1"/>
  <c r="L97" i="1"/>
  <c r="Z97" i="1"/>
  <c r="A98" i="1"/>
  <c r="B98" i="1"/>
  <c r="AI98" i="1" s="1"/>
  <c r="C98" i="1"/>
  <c r="D98" i="1"/>
  <c r="E98" i="1"/>
  <c r="F98" i="1"/>
  <c r="G98" i="1"/>
  <c r="H98" i="1"/>
  <c r="I98" i="1"/>
  <c r="J98" i="1"/>
  <c r="K98" i="1"/>
  <c r="L98" i="1"/>
  <c r="Z98" i="1"/>
  <c r="A99" i="1"/>
  <c r="B99" i="1"/>
  <c r="AI99" i="1" s="1"/>
  <c r="C99" i="1"/>
  <c r="D99" i="1"/>
  <c r="E99" i="1"/>
  <c r="F99" i="1"/>
  <c r="G99" i="1"/>
  <c r="H99" i="1"/>
  <c r="I99" i="1"/>
  <c r="J99" i="1"/>
  <c r="K99" i="1"/>
  <c r="L99" i="1"/>
  <c r="Z99" i="1"/>
  <c r="A100" i="1"/>
  <c r="B100" i="1"/>
  <c r="AI100" i="1" s="1"/>
  <c r="C100" i="1"/>
  <c r="D100" i="1"/>
  <c r="E100" i="1"/>
  <c r="F100" i="1"/>
  <c r="G100" i="1"/>
  <c r="H100" i="1"/>
  <c r="I100" i="1"/>
  <c r="J100" i="1"/>
  <c r="K100" i="1"/>
  <c r="L100" i="1"/>
  <c r="Z100" i="1"/>
  <c r="A101" i="1"/>
  <c r="B101" i="1"/>
  <c r="AI101" i="1" s="1"/>
  <c r="C101" i="1"/>
  <c r="D101" i="1"/>
  <c r="E101" i="1"/>
  <c r="F101" i="1"/>
  <c r="G101" i="1"/>
  <c r="H101" i="1"/>
  <c r="I101" i="1"/>
  <c r="J101" i="1"/>
  <c r="K101" i="1"/>
  <c r="L101" i="1"/>
  <c r="Q101" i="1" s="1"/>
  <c r="Z101" i="1"/>
  <c r="A102" i="1"/>
  <c r="B102" i="1"/>
  <c r="AI102" i="1" s="1"/>
  <c r="C102" i="1"/>
  <c r="D102" i="1"/>
  <c r="E102" i="1"/>
  <c r="F102" i="1"/>
  <c r="G102" i="1"/>
  <c r="H102" i="1"/>
  <c r="I102" i="1"/>
  <c r="J102" i="1"/>
  <c r="K102" i="1"/>
  <c r="L102" i="1"/>
  <c r="Q102" i="1" s="1"/>
  <c r="Z102" i="1"/>
  <c r="A103" i="1"/>
  <c r="B103" i="1"/>
  <c r="AI103" i="1" s="1"/>
  <c r="C103" i="1"/>
  <c r="D103" i="1"/>
  <c r="E103" i="1"/>
  <c r="F103" i="1"/>
  <c r="G103" i="1"/>
  <c r="H103" i="1"/>
  <c r="I103" i="1"/>
  <c r="J103" i="1"/>
  <c r="K103" i="1"/>
  <c r="L103" i="1"/>
  <c r="Z103" i="1"/>
  <c r="A104" i="1"/>
  <c r="B104" i="1"/>
  <c r="AI104" i="1" s="1"/>
  <c r="C104" i="1"/>
  <c r="D104" i="1"/>
  <c r="E104" i="1"/>
  <c r="F104" i="1"/>
  <c r="G104" i="1"/>
  <c r="H104" i="1"/>
  <c r="I104" i="1"/>
  <c r="J104" i="1"/>
  <c r="K104" i="1"/>
  <c r="L104" i="1"/>
  <c r="Q104" i="1" s="1"/>
  <c r="Z104" i="1"/>
  <c r="A105" i="1"/>
  <c r="B105" i="1"/>
  <c r="AI105" i="1" s="1"/>
  <c r="C105" i="1"/>
  <c r="D105" i="1"/>
  <c r="E105" i="1"/>
  <c r="F105" i="1"/>
  <c r="G105" i="1"/>
  <c r="H105" i="1"/>
  <c r="I105" i="1"/>
  <c r="J105" i="1"/>
  <c r="K105" i="1"/>
  <c r="L105" i="1"/>
  <c r="Z105" i="1"/>
  <c r="A106" i="1"/>
  <c r="B106" i="1"/>
  <c r="AI106" i="1" s="1"/>
  <c r="C106" i="1"/>
  <c r="D106" i="1"/>
  <c r="E106" i="1"/>
  <c r="F106" i="1"/>
  <c r="G106" i="1"/>
  <c r="H106" i="1"/>
  <c r="I106" i="1"/>
  <c r="J106" i="1"/>
  <c r="K106" i="1"/>
  <c r="L106" i="1"/>
  <c r="Q106" i="1" s="1"/>
  <c r="Z106" i="1"/>
  <c r="A107" i="1"/>
  <c r="B107" i="1"/>
  <c r="AI107" i="1" s="1"/>
  <c r="C107" i="1"/>
  <c r="D107" i="1"/>
  <c r="E107" i="1"/>
  <c r="F107" i="1"/>
  <c r="G107" i="1"/>
  <c r="H107" i="1"/>
  <c r="I107" i="1"/>
  <c r="J107" i="1"/>
  <c r="K107" i="1"/>
  <c r="L107" i="1"/>
  <c r="Z107" i="1"/>
  <c r="A108" i="1"/>
  <c r="B108" i="1"/>
  <c r="AI108" i="1" s="1"/>
  <c r="C108" i="1"/>
  <c r="D108" i="1"/>
  <c r="E108" i="1"/>
  <c r="F108" i="1"/>
  <c r="G108" i="1"/>
  <c r="H108" i="1"/>
  <c r="I108" i="1"/>
  <c r="J108" i="1"/>
  <c r="K108" i="1"/>
  <c r="L108" i="1"/>
  <c r="Q108" i="1" s="1"/>
  <c r="Z108" i="1"/>
  <c r="A109" i="1"/>
  <c r="B109" i="1"/>
  <c r="AI109" i="1" s="1"/>
  <c r="C109" i="1"/>
  <c r="D109" i="1"/>
  <c r="E109" i="1"/>
  <c r="F109" i="1"/>
  <c r="G109" i="1"/>
  <c r="H109" i="1"/>
  <c r="I109" i="1"/>
  <c r="J109" i="1"/>
  <c r="K109" i="1"/>
  <c r="L109" i="1"/>
  <c r="Q109" i="1" s="1"/>
  <c r="Z109" i="1"/>
  <c r="A110" i="1"/>
  <c r="B110" i="1"/>
  <c r="AI110" i="1" s="1"/>
  <c r="C110" i="1"/>
  <c r="D110" i="1"/>
  <c r="E110" i="1"/>
  <c r="F110" i="1"/>
  <c r="G110" i="1"/>
  <c r="H110" i="1"/>
  <c r="I110" i="1"/>
  <c r="J110" i="1"/>
  <c r="K110" i="1"/>
  <c r="L110" i="1"/>
  <c r="Q110" i="1" s="1"/>
  <c r="Z110" i="1"/>
  <c r="A111" i="1"/>
  <c r="B111" i="1"/>
  <c r="AI111" i="1" s="1"/>
  <c r="C111" i="1"/>
  <c r="D111" i="1"/>
  <c r="E111" i="1"/>
  <c r="F111" i="1"/>
  <c r="G111" i="1"/>
  <c r="H111" i="1"/>
  <c r="I111" i="1"/>
  <c r="J111" i="1"/>
  <c r="K111" i="1"/>
  <c r="L111" i="1"/>
  <c r="Q111" i="1" s="1"/>
  <c r="Z111" i="1"/>
  <c r="A112" i="1"/>
  <c r="B112" i="1"/>
  <c r="AI112" i="1" s="1"/>
  <c r="C112" i="1"/>
  <c r="D112" i="1"/>
  <c r="E112" i="1"/>
  <c r="F112" i="1"/>
  <c r="G112" i="1"/>
  <c r="H112" i="1"/>
  <c r="I112" i="1"/>
  <c r="J112" i="1"/>
  <c r="K112" i="1"/>
  <c r="L112" i="1"/>
  <c r="Q112" i="1" s="1"/>
  <c r="N112" i="1"/>
  <c r="Z112" i="1"/>
  <c r="A113" i="1"/>
  <c r="B113" i="1"/>
  <c r="AI113" i="1" s="1"/>
  <c r="C113" i="1"/>
  <c r="D113" i="1"/>
  <c r="E113" i="1"/>
  <c r="F113" i="1"/>
  <c r="G113" i="1"/>
  <c r="H113" i="1"/>
  <c r="I113" i="1"/>
  <c r="J113" i="1"/>
  <c r="K113" i="1"/>
  <c r="L113" i="1"/>
  <c r="Q113" i="1" s="1"/>
  <c r="Z113" i="1"/>
  <c r="A114" i="1"/>
  <c r="B114" i="1"/>
  <c r="AI114" i="1" s="1"/>
  <c r="C114" i="1"/>
  <c r="D114" i="1"/>
  <c r="E114" i="1"/>
  <c r="F114" i="1"/>
  <c r="G114" i="1"/>
  <c r="H114" i="1"/>
  <c r="I114" i="1"/>
  <c r="J114" i="1"/>
  <c r="K114" i="1"/>
  <c r="L114" i="1"/>
  <c r="Q114" i="1" s="1"/>
  <c r="Z114" i="1"/>
  <c r="A115" i="1"/>
  <c r="B115" i="1"/>
  <c r="AI115" i="1" s="1"/>
  <c r="C115" i="1"/>
  <c r="D115" i="1"/>
  <c r="E115" i="1"/>
  <c r="F115" i="1"/>
  <c r="G115" i="1"/>
  <c r="H115" i="1"/>
  <c r="I115" i="1"/>
  <c r="J115" i="1"/>
  <c r="K115" i="1"/>
  <c r="L115" i="1"/>
  <c r="Q115" i="1" s="1"/>
  <c r="Z115" i="1"/>
  <c r="A116" i="1"/>
  <c r="B116" i="1"/>
  <c r="AI116" i="1" s="1"/>
  <c r="C116" i="1"/>
  <c r="D116" i="1"/>
  <c r="E116" i="1"/>
  <c r="F116" i="1"/>
  <c r="G116" i="1"/>
  <c r="H116" i="1"/>
  <c r="I116" i="1"/>
  <c r="J116" i="1"/>
  <c r="K116" i="1"/>
  <c r="L116" i="1"/>
  <c r="Q116" i="1" s="1"/>
  <c r="Z116" i="1"/>
  <c r="A117" i="1"/>
  <c r="B117" i="1"/>
  <c r="AI117" i="1" s="1"/>
  <c r="C117" i="1"/>
  <c r="D117" i="1"/>
  <c r="E117" i="1"/>
  <c r="F117" i="1"/>
  <c r="G117" i="1"/>
  <c r="H117" i="1"/>
  <c r="I117" i="1"/>
  <c r="J117" i="1"/>
  <c r="K117" i="1"/>
  <c r="L117" i="1"/>
  <c r="Q117" i="1" s="1"/>
  <c r="Z117" i="1"/>
  <c r="A118" i="1"/>
  <c r="B118" i="1"/>
  <c r="AI118" i="1" s="1"/>
  <c r="C118" i="1"/>
  <c r="D118" i="1"/>
  <c r="E118" i="1"/>
  <c r="F118" i="1"/>
  <c r="G118" i="1"/>
  <c r="H118" i="1"/>
  <c r="I118" i="1"/>
  <c r="J118" i="1"/>
  <c r="K118" i="1"/>
  <c r="L118" i="1"/>
  <c r="Q118" i="1" s="1"/>
  <c r="Z118" i="1"/>
  <c r="A119" i="1"/>
  <c r="B119" i="1"/>
  <c r="AI119" i="1" s="1"/>
  <c r="C119" i="1"/>
  <c r="D119" i="1"/>
  <c r="E119" i="1"/>
  <c r="F119" i="1"/>
  <c r="G119" i="1"/>
  <c r="H119" i="1"/>
  <c r="I119" i="1"/>
  <c r="J119" i="1"/>
  <c r="K119" i="1"/>
  <c r="L119" i="1"/>
  <c r="Q119" i="1" s="1"/>
  <c r="Z119" i="1"/>
  <c r="A120" i="1"/>
  <c r="B120" i="1"/>
  <c r="AI120" i="1" s="1"/>
  <c r="C120" i="1"/>
  <c r="D120" i="1"/>
  <c r="E120" i="1"/>
  <c r="F120" i="1"/>
  <c r="G120" i="1"/>
  <c r="H120" i="1"/>
  <c r="I120" i="1"/>
  <c r="J120" i="1"/>
  <c r="K120" i="1"/>
  <c r="L120" i="1"/>
  <c r="Q120" i="1" s="1"/>
  <c r="Z120" i="1"/>
  <c r="A121" i="1"/>
  <c r="B121" i="1"/>
  <c r="AI121" i="1" s="1"/>
  <c r="C121" i="1"/>
  <c r="D121" i="1"/>
  <c r="E121" i="1"/>
  <c r="F121" i="1"/>
  <c r="G121" i="1"/>
  <c r="H121" i="1"/>
  <c r="I121" i="1"/>
  <c r="J121" i="1"/>
  <c r="K121" i="1"/>
  <c r="L121" i="1"/>
  <c r="Q121" i="1" s="1"/>
  <c r="Z121" i="1"/>
  <c r="A122" i="1"/>
  <c r="B122" i="1"/>
  <c r="AI122" i="1" s="1"/>
  <c r="C122" i="1"/>
  <c r="D122" i="1"/>
  <c r="E122" i="1"/>
  <c r="F122" i="1"/>
  <c r="G122" i="1"/>
  <c r="H122" i="1"/>
  <c r="I122" i="1"/>
  <c r="J122" i="1"/>
  <c r="K122" i="1"/>
  <c r="L122" i="1"/>
  <c r="Q122" i="1" s="1"/>
  <c r="Z122" i="1"/>
  <c r="A123" i="1"/>
  <c r="B123" i="1"/>
  <c r="AI123" i="1" s="1"/>
  <c r="C123" i="1"/>
  <c r="D123" i="1"/>
  <c r="E123" i="1"/>
  <c r="F123" i="1"/>
  <c r="G123" i="1"/>
  <c r="H123" i="1"/>
  <c r="I123" i="1"/>
  <c r="J123" i="1"/>
  <c r="K123" i="1"/>
  <c r="L123" i="1"/>
  <c r="N123" i="1"/>
  <c r="Z123" i="1"/>
  <c r="A124" i="1"/>
  <c r="B124" i="1"/>
  <c r="AI124" i="1" s="1"/>
  <c r="C124" i="1"/>
  <c r="D124" i="1"/>
  <c r="E124" i="1"/>
  <c r="F124" i="1"/>
  <c r="G124" i="1"/>
  <c r="H124" i="1"/>
  <c r="I124" i="1"/>
  <c r="J124" i="1"/>
  <c r="K124" i="1"/>
  <c r="L124" i="1"/>
  <c r="Q124" i="1" s="1"/>
  <c r="Z124" i="1"/>
  <c r="A125" i="1"/>
  <c r="B125" i="1"/>
  <c r="AI125" i="1" s="1"/>
  <c r="C125" i="1"/>
  <c r="D125" i="1"/>
  <c r="E125" i="1"/>
  <c r="F125" i="1"/>
  <c r="G125" i="1"/>
  <c r="H125" i="1"/>
  <c r="I125" i="1"/>
  <c r="J125" i="1"/>
  <c r="K125" i="1"/>
  <c r="L125" i="1"/>
  <c r="Q125" i="1" s="1"/>
  <c r="Z125" i="1"/>
  <c r="A126" i="1"/>
  <c r="B126" i="1"/>
  <c r="AI126" i="1" s="1"/>
  <c r="C126" i="1"/>
  <c r="D126" i="1"/>
  <c r="E126" i="1"/>
  <c r="F126" i="1"/>
  <c r="G126" i="1"/>
  <c r="H126" i="1"/>
  <c r="I126" i="1"/>
  <c r="J126" i="1"/>
  <c r="K126" i="1"/>
  <c r="L126" i="1"/>
  <c r="Q126" i="1" s="1"/>
  <c r="Z126" i="1"/>
  <c r="A127" i="1"/>
  <c r="B127" i="1"/>
  <c r="AI127" i="1" s="1"/>
  <c r="C127" i="1"/>
  <c r="D127" i="1"/>
  <c r="E127" i="1"/>
  <c r="F127" i="1"/>
  <c r="G127" i="1"/>
  <c r="H127" i="1"/>
  <c r="I127" i="1"/>
  <c r="J127" i="1"/>
  <c r="K127" i="1"/>
  <c r="L127" i="1"/>
  <c r="Q127" i="1" s="1"/>
  <c r="Z127" i="1"/>
  <c r="B128" i="1"/>
  <c r="AI128" i="1" s="1"/>
  <c r="C128" i="1"/>
  <c r="D128" i="1"/>
  <c r="E128" i="1"/>
  <c r="F128" i="1"/>
  <c r="G128" i="1"/>
  <c r="H128" i="1"/>
  <c r="I128" i="1"/>
  <c r="J128" i="1"/>
  <c r="K128" i="1"/>
  <c r="L128" i="1"/>
  <c r="N128" i="1"/>
  <c r="Z128" i="1"/>
  <c r="A129" i="1"/>
  <c r="B129" i="1"/>
  <c r="AI129" i="1" s="1"/>
  <c r="C129" i="1"/>
  <c r="D129" i="1"/>
  <c r="E129" i="1"/>
  <c r="F129" i="1"/>
  <c r="G129" i="1"/>
  <c r="H129" i="1"/>
  <c r="I129" i="1"/>
  <c r="J129" i="1"/>
  <c r="K129" i="1"/>
  <c r="L129" i="1"/>
  <c r="Z129" i="1"/>
  <c r="A130" i="1"/>
  <c r="B130" i="1"/>
  <c r="AI130" i="1" s="1"/>
  <c r="C130" i="1"/>
  <c r="D130" i="1"/>
  <c r="E130" i="1"/>
  <c r="F130" i="1"/>
  <c r="G130" i="1"/>
  <c r="H130" i="1"/>
  <c r="I130" i="1"/>
  <c r="J130" i="1"/>
  <c r="K130" i="1"/>
  <c r="L130" i="1"/>
  <c r="Q130" i="1" s="1"/>
  <c r="Z130" i="1"/>
  <c r="A131" i="1"/>
  <c r="B131" i="1"/>
  <c r="AI131" i="1" s="1"/>
  <c r="C131" i="1"/>
  <c r="D131" i="1"/>
  <c r="E131" i="1"/>
  <c r="F131" i="1"/>
  <c r="G131" i="1"/>
  <c r="H131" i="1"/>
  <c r="I131" i="1"/>
  <c r="J131" i="1"/>
  <c r="K131" i="1"/>
  <c r="L131" i="1"/>
  <c r="Z131" i="1"/>
  <c r="A132" i="1"/>
  <c r="B132" i="1"/>
  <c r="AI132" i="1" s="1"/>
  <c r="C132" i="1"/>
  <c r="D132" i="1"/>
  <c r="E132" i="1"/>
  <c r="F132" i="1"/>
  <c r="G132" i="1"/>
  <c r="H132" i="1"/>
  <c r="I132" i="1"/>
  <c r="J132" i="1"/>
  <c r="K132" i="1"/>
  <c r="L132" i="1"/>
  <c r="Z132" i="1"/>
  <c r="A133" i="1"/>
  <c r="B133" i="1"/>
  <c r="AI133" i="1" s="1"/>
  <c r="C133" i="1"/>
  <c r="D133" i="1"/>
  <c r="E133" i="1"/>
  <c r="F133" i="1"/>
  <c r="G133" i="1"/>
  <c r="H133" i="1"/>
  <c r="I133" i="1"/>
  <c r="J133" i="1"/>
  <c r="K133" i="1"/>
  <c r="L133" i="1"/>
  <c r="Q133" i="1" s="1"/>
  <c r="Z133" i="1"/>
  <c r="A134" i="1"/>
  <c r="B134" i="1"/>
  <c r="AI134" i="1" s="1"/>
  <c r="C134" i="1"/>
  <c r="D134" i="1"/>
  <c r="E134" i="1"/>
  <c r="F134" i="1"/>
  <c r="G134" i="1"/>
  <c r="H134" i="1"/>
  <c r="I134" i="1"/>
  <c r="J134" i="1"/>
  <c r="K134" i="1"/>
  <c r="L134" i="1"/>
  <c r="N134" i="1"/>
  <c r="Z134" i="1"/>
  <c r="A135" i="1"/>
  <c r="B135" i="1"/>
  <c r="AI135" i="1" s="1"/>
  <c r="C135" i="1"/>
  <c r="D135" i="1"/>
  <c r="E135" i="1"/>
  <c r="F135" i="1"/>
  <c r="G135" i="1"/>
  <c r="H135" i="1"/>
  <c r="I135" i="1"/>
  <c r="J135" i="1"/>
  <c r="K135" i="1"/>
  <c r="L135" i="1"/>
  <c r="Q135" i="1" s="1"/>
  <c r="Z135" i="1"/>
  <c r="A136" i="1"/>
  <c r="B136" i="1"/>
  <c r="AI136" i="1" s="1"/>
  <c r="C136" i="1"/>
  <c r="D136" i="1"/>
  <c r="E136" i="1"/>
  <c r="F136" i="1"/>
  <c r="G136" i="1"/>
  <c r="H136" i="1"/>
  <c r="I136" i="1"/>
  <c r="J136" i="1"/>
  <c r="K136" i="1"/>
  <c r="L136" i="1"/>
  <c r="N136" i="1"/>
  <c r="Z136" i="1"/>
  <c r="A137" i="1"/>
  <c r="B137" i="1"/>
  <c r="AI137" i="1" s="1"/>
  <c r="C137" i="1"/>
  <c r="D137" i="1"/>
  <c r="E137" i="1"/>
  <c r="F137" i="1"/>
  <c r="G137" i="1"/>
  <c r="H137" i="1"/>
  <c r="I137" i="1"/>
  <c r="J137" i="1"/>
  <c r="K137" i="1"/>
  <c r="L137" i="1"/>
  <c r="Q137" i="1" s="1"/>
  <c r="Z137" i="1"/>
  <c r="A138" i="1"/>
  <c r="B138" i="1"/>
  <c r="AI138" i="1" s="1"/>
  <c r="C138" i="1"/>
  <c r="D138" i="1"/>
  <c r="E138" i="1"/>
  <c r="F138" i="1"/>
  <c r="G138" i="1"/>
  <c r="H138" i="1"/>
  <c r="I138" i="1"/>
  <c r="J138" i="1"/>
  <c r="K138" i="1"/>
  <c r="L138" i="1"/>
  <c r="N138" i="1"/>
  <c r="Z138" i="1"/>
  <c r="A139" i="1"/>
  <c r="B139" i="1"/>
  <c r="AI139" i="1" s="1"/>
  <c r="C139" i="1"/>
  <c r="D139" i="1"/>
  <c r="E139" i="1"/>
  <c r="F139" i="1"/>
  <c r="G139" i="1"/>
  <c r="H139" i="1"/>
  <c r="I139" i="1"/>
  <c r="J139" i="1"/>
  <c r="K139" i="1"/>
  <c r="L139" i="1"/>
  <c r="Z139" i="1"/>
  <c r="A140" i="1"/>
  <c r="B140" i="1"/>
  <c r="AI140" i="1" s="1"/>
  <c r="C140" i="1"/>
  <c r="D140" i="1"/>
  <c r="E140" i="1"/>
  <c r="F140" i="1"/>
  <c r="G140" i="1"/>
  <c r="H140" i="1"/>
  <c r="I140" i="1"/>
  <c r="J140" i="1"/>
  <c r="K140" i="1"/>
  <c r="L140" i="1"/>
  <c r="Z140" i="1"/>
  <c r="A141" i="1"/>
  <c r="B141" i="1"/>
  <c r="AI141" i="1" s="1"/>
  <c r="C141" i="1"/>
  <c r="D141" i="1"/>
  <c r="E141" i="1"/>
  <c r="F141" i="1"/>
  <c r="G141" i="1"/>
  <c r="H141" i="1"/>
  <c r="I141" i="1"/>
  <c r="J141" i="1"/>
  <c r="K141" i="1"/>
  <c r="L141" i="1"/>
  <c r="Q141" i="1" s="1"/>
  <c r="Z141" i="1"/>
  <c r="A142" i="1"/>
  <c r="B142" i="1"/>
  <c r="AI142" i="1" s="1"/>
  <c r="C142" i="1"/>
  <c r="D142" i="1"/>
  <c r="E142" i="1"/>
  <c r="F142" i="1"/>
  <c r="G142" i="1"/>
  <c r="H142" i="1"/>
  <c r="I142" i="1"/>
  <c r="J142" i="1"/>
  <c r="K142" i="1"/>
  <c r="L142" i="1"/>
  <c r="Q142" i="1" s="1"/>
  <c r="Z142" i="1"/>
  <c r="A143" i="1"/>
  <c r="B143" i="1"/>
  <c r="AI143" i="1" s="1"/>
  <c r="C143" i="1"/>
  <c r="D143" i="1"/>
  <c r="E143" i="1"/>
  <c r="F143" i="1"/>
  <c r="G143" i="1"/>
  <c r="H143" i="1"/>
  <c r="I143" i="1"/>
  <c r="J143" i="1"/>
  <c r="K143" i="1"/>
  <c r="L143" i="1"/>
  <c r="Z143" i="1"/>
  <c r="A144" i="1"/>
  <c r="B144" i="1"/>
  <c r="AI144" i="1" s="1"/>
  <c r="C144" i="1"/>
  <c r="D144" i="1"/>
  <c r="E144" i="1"/>
  <c r="F144" i="1"/>
  <c r="G144" i="1"/>
  <c r="H144" i="1"/>
  <c r="I144" i="1"/>
  <c r="J144" i="1"/>
  <c r="K144" i="1"/>
  <c r="L144" i="1"/>
  <c r="Q144" i="1" s="1"/>
  <c r="Z144" i="1"/>
  <c r="A145" i="1"/>
  <c r="B145" i="1"/>
  <c r="AI145" i="1" s="1"/>
  <c r="C145" i="1"/>
  <c r="D145" i="1"/>
  <c r="E145" i="1"/>
  <c r="F145" i="1"/>
  <c r="G145" i="1"/>
  <c r="H145" i="1"/>
  <c r="I145" i="1"/>
  <c r="J145" i="1"/>
  <c r="K145" i="1"/>
  <c r="L145" i="1"/>
  <c r="Q145" i="1" s="1"/>
  <c r="Z145" i="1"/>
  <c r="A146" i="1"/>
  <c r="B146" i="1"/>
  <c r="AI146" i="1" s="1"/>
  <c r="C146" i="1"/>
  <c r="D146" i="1"/>
  <c r="E146" i="1"/>
  <c r="F146" i="1"/>
  <c r="G146" i="1"/>
  <c r="H146" i="1"/>
  <c r="I146" i="1"/>
  <c r="J146" i="1"/>
  <c r="K146" i="1"/>
  <c r="L146" i="1"/>
  <c r="Z146" i="1"/>
  <c r="A147" i="1"/>
  <c r="B147" i="1"/>
  <c r="AI147" i="1" s="1"/>
  <c r="C147" i="1"/>
  <c r="D147" i="1"/>
  <c r="E147" i="1"/>
  <c r="F147" i="1"/>
  <c r="G147" i="1"/>
  <c r="H147" i="1"/>
  <c r="I147" i="1"/>
  <c r="J147" i="1"/>
  <c r="K147" i="1"/>
  <c r="L147" i="1"/>
  <c r="Q147" i="1" s="1"/>
  <c r="Z147" i="1"/>
  <c r="A148" i="1"/>
  <c r="B148" i="1"/>
  <c r="AI148" i="1" s="1"/>
  <c r="C148" i="1"/>
  <c r="D148" i="1"/>
  <c r="E148" i="1"/>
  <c r="F148" i="1"/>
  <c r="G148" i="1"/>
  <c r="H148" i="1"/>
  <c r="I148" i="1"/>
  <c r="J148" i="1"/>
  <c r="K148" i="1"/>
  <c r="L148" i="1"/>
  <c r="Q148" i="1" s="1"/>
  <c r="Z148" i="1"/>
  <c r="A149" i="1"/>
  <c r="B149" i="1"/>
  <c r="AI149" i="1" s="1"/>
  <c r="C149" i="1"/>
  <c r="D149" i="1"/>
  <c r="E149" i="1"/>
  <c r="F149" i="1"/>
  <c r="G149" i="1"/>
  <c r="H149" i="1"/>
  <c r="I149" i="1"/>
  <c r="J149" i="1"/>
  <c r="K149" i="1"/>
  <c r="L149" i="1"/>
  <c r="Q149" i="1" s="1"/>
  <c r="Z149" i="1"/>
  <c r="A150" i="1"/>
  <c r="B150" i="1"/>
  <c r="AI150" i="1" s="1"/>
  <c r="C150" i="1"/>
  <c r="D150" i="1"/>
  <c r="E150" i="1"/>
  <c r="F150" i="1"/>
  <c r="G150" i="1"/>
  <c r="H150" i="1"/>
  <c r="I150" i="1"/>
  <c r="J150" i="1"/>
  <c r="K150" i="1"/>
  <c r="L150" i="1"/>
  <c r="Q150" i="1" s="1"/>
  <c r="Z150" i="1"/>
  <c r="A151" i="1"/>
  <c r="B151" i="1"/>
  <c r="AI151" i="1" s="1"/>
  <c r="C151" i="1"/>
  <c r="D151" i="1"/>
  <c r="E151" i="1"/>
  <c r="F151" i="1"/>
  <c r="G151" i="1"/>
  <c r="H151" i="1"/>
  <c r="I151" i="1"/>
  <c r="J151" i="1"/>
  <c r="K151" i="1"/>
  <c r="L151" i="1"/>
  <c r="Q151" i="1" s="1"/>
  <c r="Z151" i="1"/>
  <c r="A152" i="1"/>
  <c r="B152" i="1"/>
  <c r="AI152" i="1" s="1"/>
  <c r="C152" i="1"/>
  <c r="D152" i="1"/>
  <c r="E152" i="1"/>
  <c r="F152" i="1"/>
  <c r="G152" i="1"/>
  <c r="H152" i="1"/>
  <c r="I152" i="1"/>
  <c r="J152" i="1"/>
  <c r="K152" i="1"/>
  <c r="L152" i="1"/>
  <c r="Q152" i="1" s="1"/>
  <c r="Z152" i="1"/>
  <c r="A153" i="1"/>
  <c r="B153" i="1"/>
  <c r="AI153" i="1" s="1"/>
  <c r="C153" i="1"/>
  <c r="D153" i="1"/>
  <c r="E153" i="1"/>
  <c r="F153" i="1"/>
  <c r="G153" i="1"/>
  <c r="H153" i="1"/>
  <c r="I153" i="1"/>
  <c r="J153" i="1"/>
  <c r="K153" i="1"/>
  <c r="L153" i="1"/>
  <c r="Z153" i="1"/>
  <c r="A154" i="1"/>
  <c r="B154" i="1"/>
  <c r="AI154" i="1" s="1"/>
  <c r="C154" i="1"/>
  <c r="D154" i="1"/>
  <c r="E154" i="1"/>
  <c r="F154" i="1"/>
  <c r="G154" i="1"/>
  <c r="H154" i="1"/>
  <c r="I154" i="1"/>
  <c r="J154" i="1"/>
  <c r="K154" i="1"/>
  <c r="L154" i="1"/>
  <c r="Q154" i="1" s="1"/>
  <c r="Z154" i="1"/>
  <c r="A155" i="1"/>
  <c r="B155" i="1"/>
  <c r="AI155" i="1" s="1"/>
  <c r="C155" i="1"/>
  <c r="D155" i="1"/>
  <c r="E155" i="1"/>
  <c r="F155" i="1"/>
  <c r="G155" i="1"/>
  <c r="H155" i="1"/>
  <c r="I155" i="1"/>
  <c r="J155" i="1"/>
  <c r="K155" i="1"/>
  <c r="L155" i="1"/>
  <c r="Q155" i="1" s="1"/>
  <c r="Z155" i="1"/>
  <c r="A156" i="1"/>
  <c r="B156" i="1"/>
  <c r="AI156" i="1" s="1"/>
  <c r="C156" i="1"/>
  <c r="D156" i="1"/>
  <c r="E156" i="1"/>
  <c r="F156" i="1"/>
  <c r="G156" i="1"/>
  <c r="H156" i="1"/>
  <c r="I156" i="1"/>
  <c r="J156" i="1"/>
  <c r="K156" i="1"/>
  <c r="L156" i="1"/>
  <c r="Z156" i="1"/>
  <c r="A157" i="1"/>
  <c r="B157" i="1"/>
  <c r="AI157" i="1" s="1"/>
  <c r="C157" i="1"/>
  <c r="D157" i="1"/>
  <c r="E157" i="1"/>
  <c r="F157" i="1"/>
  <c r="G157" i="1"/>
  <c r="H157" i="1"/>
  <c r="I157" i="1"/>
  <c r="J157" i="1"/>
  <c r="K157" i="1"/>
  <c r="L157" i="1"/>
  <c r="Z157" i="1"/>
  <c r="A158" i="1"/>
  <c r="B158" i="1"/>
  <c r="AI158" i="1" s="1"/>
  <c r="C158" i="1"/>
  <c r="D158" i="1"/>
  <c r="E158" i="1"/>
  <c r="F158" i="1"/>
  <c r="G158" i="1"/>
  <c r="H158" i="1"/>
  <c r="I158" i="1"/>
  <c r="J158" i="1"/>
  <c r="K158" i="1"/>
  <c r="L158" i="1"/>
  <c r="Q158" i="1" s="1"/>
  <c r="Z158" i="1"/>
  <c r="A159" i="1"/>
  <c r="B159" i="1"/>
  <c r="AI159" i="1" s="1"/>
  <c r="C159" i="1"/>
  <c r="D159" i="1"/>
  <c r="E159" i="1"/>
  <c r="F159" i="1"/>
  <c r="G159" i="1"/>
  <c r="H159" i="1"/>
  <c r="I159" i="1"/>
  <c r="J159" i="1"/>
  <c r="K159" i="1"/>
  <c r="L159" i="1"/>
  <c r="Q159" i="1" s="1"/>
  <c r="Z159" i="1"/>
  <c r="A160" i="1"/>
  <c r="B160" i="1"/>
  <c r="AI160" i="1" s="1"/>
  <c r="C160" i="1"/>
  <c r="D160" i="1"/>
  <c r="E160" i="1"/>
  <c r="F160" i="1"/>
  <c r="G160" i="1"/>
  <c r="H160" i="1"/>
  <c r="I160" i="1"/>
  <c r="J160" i="1"/>
  <c r="K160" i="1"/>
  <c r="L160" i="1"/>
  <c r="Q160" i="1" s="1"/>
  <c r="Z160" i="1"/>
  <c r="A161" i="1"/>
  <c r="B161" i="1"/>
  <c r="AI161" i="1" s="1"/>
  <c r="C161" i="1"/>
  <c r="D161" i="1"/>
  <c r="E161" i="1"/>
  <c r="F161" i="1"/>
  <c r="G161" i="1"/>
  <c r="H161" i="1"/>
  <c r="I161" i="1"/>
  <c r="J161" i="1"/>
  <c r="K161" i="1"/>
  <c r="L161" i="1"/>
  <c r="Z161" i="1"/>
  <c r="A162" i="1"/>
  <c r="B162" i="1"/>
  <c r="AI162" i="1" s="1"/>
  <c r="C162" i="1"/>
  <c r="D162" i="1"/>
  <c r="E162" i="1"/>
  <c r="F162" i="1"/>
  <c r="G162" i="1"/>
  <c r="H162" i="1"/>
  <c r="I162" i="1"/>
  <c r="J162" i="1"/>
  <c r="K162" i="1"/>
  <c r="L162" i="1"/>
  <c r="Z162" i="1"/>
  <c r="A163" i="1"/>
  <c r="B163" i="1"/>
  <c r="AI163" i="1" s="1"/>
  <c r="C163" i="1"/>
  <c r="D163" i="1"/>
  <c r="E163" i="1"/>
  <c r="F163" i="1"/>
  <c r="G163" i="1"/>
  <c r="H163" i="1"/>
  <c r="I163" i="1"/>
  <c r="J163" i="1"/>
  <c r="K163" i="1"/>
  <c r="L163" i="1"/>
  <c r="Q163" i="1" s="1"/>
  <c r="Z163" i="1"/>
  <c r="A164" i="1"/>
  <c r="B164" i="1"/>
  <c r="AI164" i="1" s="1"/>
  <c r="C164" i="1"/>
  <c r="D164" i="1"/>
  <c r="E164" i="1"/>
  <c r="F164" i="1"/>
  <c r="G164" i="1"/>
  <c r="H164" i="1"/>
  <c r="I164" i="1"/>
  <c r="J164" i="1"/>
  <c r="K164" i="1"/>
  <c r="L164" i="1"/>
  <c r="Q164" i="1" s="1"/>
  <c r="Z164" i="1"/>
  <c r="A165" i="1"/>
  <c r="B165" i="1"/>
  <c r="AI165" i="1" s="1"/>
  <c r="C165" i="1"/>
  <c r="D165" i="1"/>
  <c r="E165" i="1"/>
  <c r="F165" i="1"/>
  <c r="G165" i="1"/>
  <c r="H165" i="1"/>
  <c r="I165" i="1"/>
  <c r="J165" i="1"/>
  <c r="K165" i="1"/>
  <c r="L165" i="1"/>
  <c r="Q165" i="1" s="1"/>
  <c r="N165" i="1"/>
  <c r="Z165" i="1"/>
  <c r="A166" i="1"/>
  <c r="B166" i="1"/>
  <c r="AI166" i="1" s="1"/>
  <c r="C166" i="1"/>
  <c r="D166" i="1"/>
  <c r="E166" i="1"/>
  <c r="F166" i="1"/>
  <c r="G166" i="1"/>
  <c r="H166" i="1"/>
  <c r="I166" i="1"/>
  <c r="J166" i="1"/>
  <c r="K166" i="1"/>
  <c r="L166" i="1"/>
  <c r="Q166" i="1" s="1"/>
  <c r="Z166" i="1"/>
  <c r="A167" i="1"/>
  <c r="B167" i="1"/>
  <c r="AI167" i="1" s="1"/>
  <c r="C167" i="1"/>
  <c r="D167" i="1"/>
  <c r="E167" i="1"/>
  <c r="F167" i="1"/>
  <c r="G167" i="1"/>
  <c r="H167" i="1"/>
  <c r="I167" i="1"/>
  <c r="J167" i="1"/>
  <c r="K167" i="1"/>
  <c r="L167" i="1"/>
  <c r="Q167" i="1" s="1"/>
  <c r="Z167" i="1"/>
  <c r="A168" i="1"/>
  <c r="B168" i="1"/>
  <c r="AI168" i="1" s="1"/>
  <c r="C168" i="1"/>
  <c r="D168" i="1"/>
  <c r="E168" i="1"/>
  <c r="F168" i="1"/>
  <c r="G168" i="1"/>
  <c r="H168" i="1"/>
  <c r="I168" i="1"/>
  <c r="J168" i="1"/>
  <c r="K168" i="1"/>
  <c r="L168" i="1"/>
  <c r="Q168" i="1" s="1"/>
  <c r="Z168" i="1"/>
  <c r="A169" i="1"/>
  <c r="B169" i="1"/>
  <c r="AI169" i="1" s="1"/>
  <c r="C169" i="1"/>
  <c r="D169" i="1"/>
  <c r="E169" i="1"/>
  <c r="F169" i="1"/>
  <c r="G169" i="1"/>
  <c r="H169" i="1"/>
  <c r="I169" i="1"/>
  <c r="J169" i="1"/>
  <c r="K169" i="1"/>
  <c r="L169" i="1"/>
  <c r="Q169" i="1" s="1"/>
  <c r="Z169" i="1"/>
  <c r="A170" i="1"/>
  <c r="B170" i="1"/>
  <c r="AI170" i="1" s="1"/>
  <c r="C170" i="1"/>
  <c r="D170" i="1"/>
  <c r="E170" i="1"/>
  <c r="F170" i="1"/>
  <c r="G170" i="1"/>
  <c r="H170" i="1"/>
  <c r="I170" i="1"/>
  <c r="J170" i="1"/>
  <c r="K170" i="1"/>
  <c r="L170" i="1"/>
  <c r="Q170" i="1" s="1"/>
  <c r="Z170" i="1"/>
  <c r="A171" i="1"/>
  <c r="B171" i="1"/>
  <c r="AI171" i="1" s="1"/>
  <c r="C171" i="1"/>
  <c r="D171" i="1"/>
  <c r="E171" i="1"/>
  <c r="F171" i="1"/>
  <c r="G171" i="1"/>
  <c r="H171" i="1"/>
  <c r="I171" i="1"/>
  <c r="J171" i="1"/>
  <c r="K171" i="1"/>
  <c r="L171" i="1"/>
  <c r="Q171" i="1" s="1"/>
  <c r="Z171" i="1"/>
  <c r="A172" i="1"/>
  <c r="B172" i="1"/>
  <c r="AI172" i="1" s="1"/>
  <c r="C172" i="1"/>
  <c r="D172" i="1"/>
  <c r="E172" i="1"/>
  <c r="F172" i="1"/>
  <c r="G172" i="1"/>
  <c r="H172" i="1"/>
  <c r="I172" i="1"/>
  <c r="J172" i="1"/>
  <c r="K172" i="1"/>
  <c r="L172" i="1"/>
  <c r="Q172" i="1" s="1"/>
  <c r="Z172" i="1"/>
  <c r="A173" i="1"/>
  <c r="B173" i="1"/>
  <c r="AI173" i="1" s="1"/>
  <c r="C173" i="1"/>
  <c r="D173" i="1"/>
  <c r="E173" i="1"/>
  <c r="F173" i="1"/>
  <c r="G173" i="1"/>
  <c r="H173" i="1"/>
  <c r="I173" i="1"/>
  <c r="J173" i="1"/>
  <c r="K173" i="1"/>
  <c r="L173" i="1"/>
  <c r="Z173" i="1"/>
  <c r="A174" i="1"/>
  <c r="B174" i="1"/>
  <c r="AI174" i="1" s="1"/>
  <c r="C174" i="1"/>
  <c r="D174" i="1"/>
  <c r="E174" i="1"/>
  <c r="F174" i="1"/>
  <c r="G174" i="1"/>
  <c r="H174" i="1"/>
  <c r="I174" i="1"/>
  <c r="J174" i="1"/>
  <c r="K174" i="1"/>
  <c r="L174" i="1"/>
  <c r="N174" i="1"/>
  <c r="Z174" i="1"/>
  <c r="A175" i="1"/>
  <c r="B175" i="1"/>
  <c r="AI175" i="1" s="1"/>
  <c r="C175" i="1"/>
  <c r="D175" i="1"/>
  <c r="E175" i="1"/>
  <c r="F175" i="1"/>
  <c r="G175" i="1"/>
  <c r="H175" i="1"/>
  <c r="I175" i="1"/>
  <c r="J175" i="1"/>
  <c r="K175" i="1"/>
  <c r="L175" i="1"/>
  <c r="Z175" i="1"/>
  <c r="A176" i="1"/>
  <c r="B176" i="1"/>
  <c r="AI176" i="1" s="1"/>
  <c r="C176" i="1"/>
  <c r="D176" i="1"/>
  <c r="E176" i="1"/>
  <c r="F176" i="1"/>
  <c r="G176" i="1"/>
  <c r="H176" i="1"/>
  <c r="I176" i="1"/>
  <c r="J176" i="1"/>
  <c r="K176" i="1"/>
  <c r="L176" i="1"/>
  <c r="Q176" i="1" s="1"/>
  <c r="Z176" i="1"/>
  <c r="A177" i="1"/>
  <c r="B177" i="1"/>
  <c r="AI177" i="1" s="1"/>
  <c r="C177" i="1"/>
  <c r="D177" i="1"/>
  <c r="E177" i="1"/>
  <c r="F177" i="1"/>
  <c r="G177" i="1"/>
  <c r="H177" i="1"/>
  <c r="I177" i="1"/>
  <c r="J177" i="1"/>
  <c r="K177" i="1"/>
  <c r="L177" i="1"/>
  <c r="Q177" i="1" s="1"/>
  <c r="Z177" i="1"/>
  <c r="A178" i="1"/>
  <c r="B178" i="1"/>
  <c r="AI178" i="1" s="1"/>
  <c r="C178" i="1"/>
  <c r="D178" i="1"/>
  <c r="E178" i="1"/>
  <c r="F178" i="1"/>
  <c r="G178" i="1"/>
  <c r="H178" i="1"/>
  <c r="I178" i="1"/>
  <c r="J178" i="1"/>
  <c r="K178" i="1"/>
  <c r="L178" i="1"/>
  <c r="Q178" i="1" s="1"/>
  <c r="Z178" i="1"/>
  <c r="A179" i="1"/>
  <c r="B179" i="1"/>
  <c r="AI179" i="1" s="1"/>
  <c r="C179" i="1"/>
  <c r="D179" i="1"/>
  <c r="E179" i="1"/>
  <c r="F179" i="1"/>
  <c r="G179" i="1"/>
  <c r="H179" i="1"/>
  <c r="I179" i="1"/>
  <c r="J179" i="1"/>
  <c r="K179" i="1"/>
  <c r="L179" i="1"/>
  <c r="Z179" i="1"/>
  <c r="A180" i="1"/>
  <c r="B180" i="1"/>
  <c r="AI180" i="1" s="1"/>
  <c r="C180" i="1"/>
  <c r="D180" i="1"/>
  <c r="E180" i="1"/>
  <c r="F180" i="1"/>
  <c r="G180" i="1"/>
  <c r="H180" i="1"/>
  <c r="I180" i="1"/>
  <c r="J180" i="1"/>
  <c r="K180" i="1"/>
  <c r="L180" i="1"/>
  <c r="Z180" i="1"/>
  <c r="A181" i="1"/>
  <c r="B181" i="1"/>
  <c r="AI181" i="1" s="1"/>
  <c r="C181" i="1"/>
  <c r="D181" i="1"/>
  <c r="E181" i="1"/>
  <c r="F181" i="1"/>
  <c r="G181" i="1"/>
  <c r="H181" i="1"/>
  <c r="I181" i="1"/>
  <c r="J181" i="1"/>
  <c r="K181" i="1"/>
  <c r="L181" i="1"/>
  <c r="N181" i="1"/>
  <c r="Z181" i="1"/>
  <c r="A182" i="1"/>
  <c r="B182" i="1"/>
  <c r="AI182" i="1" s="1"/>
  <c r="C182" i="1"/>
  <c r="D182" i="1"/>
  <c r="E182" i="1"/>
  <c r="F182" i="1"/>
  <c r="G182" i="1"/>
  <c r="H182" i="1"/>
  <c r="I182" i="1"/>
  <c r="J182" i="1"/>
  <c r="K182" i="1"/>
  <c r="L182" i="1"/>
  <c r="Q182" i="1" s="1"/>
  <c r="Z182" i="1"/>
  <c r="A183" i="1"/>
  <c r="B183" i="1"/>
  <c r="AI183" i="1" s="1"/>
  <c r="C183" i="1"/>
  <c r="D183" i="1"/>
  <c r="E183" i="1"/>
  <c r="F183" i="1"/>
  <c r="G183" i="1"/>
  <c r="H183" i="1"/>
  <c r="I183" i="1"/>
  <c r="J183" i="1"/>
  <c r="K183" i="1"/>
  <c r="L183" i="1"/>
  <c r="N183" i="1"/>
  <c r="Z183" i="1"/>
  <c r="A184" i="1"/>
  <c r="B184" i="1"/>
  <c r="AI184" i="1" s="1"/>
  <c r="C184" i="1"/>
  <c r="D184" i="1"/>
  <c r="E184" i="1"/>
  <c r="F184" i="1"/>
  <c r="G184" i="1"/>
  <c r="H184" i="1"/>
  <c r="I184" i="1"/>
  <c r="J184" i="1"/>
  <c r="K184" i="1"/>
  <c r="L184" i="1"/>
  <c r="Q184" i="1" s="1"/>
  <c r="Z184" i="1"/>
  <c r="A185" i="1"/>
  <c r="B185" i="1"/>
  <c r="AI185" i="1" s="1"/>
  <c r="C185" i="1"/>
  <c r="D185" i="1"/>
  <c r="E185" i="1"/>
  <c r="F185" i="1"/>
  <c r="G185" i="1"/>
  <c r="H185" i="1"/>
  <c r="I185" i="1"/>
  <c r="J185" i="1"/>
  <c r="K185" i="1"/>
  <c r="L185" i="1"/>
  <c r="Q185" i="1" s="1"/>
  <c r="Z185" i="1"/>
  <c r="A186" i="1"/>
  <c r="B186" i="1"/>
  <c r="AI186" i="1" s="1"/>
  <c r="C186" i="1"/>
  <c r="D186" i="1"/>
  <c r="E186" i="1"/>
  <c r="F186" i="1"/>
  <c r="G186" i="1"/>
  <c r="H186" i="1"/>
  <c r="I186" i="1"/>
  <c r="J186" i="1"/>
  <c r="K186" i="1"/>
  <c r="L186" i="1"/>
  <c r="N186" i="1"/>
  <c r="Z186" i="1"/>
  <c r="A187" i="1"/>
  <c r="B187" i="1"/>
  <c r="AI187" i="1" s="1"/>
  <c r="C187" i="1"/>
  <c r="D187" i="1"/>
  <c r="E187" i="1"/>
  <c r="F187" i="1"/>
  <c r="G187" i="1"/>
  <c r="H187" i="1"/>
  <c r="I187" i="1"/>
  <c r="J187" i="1"/>
  <c r="K187" i="1"/>
  <c r="L187" i="1"/>
  <c r="Q187" i="1" s="1"/>
  <c r="Z187" i="1"/>
  <c r="A188" i="1"/>
  <c r="B188" i="1"/>
  <c r="AI188" i="1" s="1"/>
  <c r="C188" i="1"/>
  <c r="D188" i="1"/>
  <c r="E188" i="1"/>
  <c r="F188" i="1"/>
  <c r="G188" i="1"/>
  <c r="H188" i="1"/>
  <c r="I188" i="1"/>
  <c r="J188" i="1"/>
  <c r="K188" i="1"/>
  <c r="L188" i="1"/>
  <c r="Q188" i="1" s="1"/>
  <c r="N188" i="1"/>
  <c r="Z188" i="1"/>
  <c r="A189" i="1"/>
  <c r="B189" i="1"/>
  <c r="AI189" i="1" s="1"/>
  <c r="C189" i="1"/>
  <c r="D189" i="1"/>
  <c r="E189" i="1"/>
  <c r="F189" i="1"/>
  <c r="G189" i="1"/>
  <c r="H189" i="1"/>
  <c r="I189" i="1"/>
  <c r="J189" i="1"/>
  <c r="K189" i="1"/>
  <c r="L189" i="1"/>
  <c r="Z189" i="1"/>
  <c r="A190" i="1"/>
  <c r="B190" i="1"/>
  <c r="AI190" i="1" s="1"/>
  <c r="C190" i="1"/>
  <c r="D190" i="1"/>
  <c r="E190" i="1"/>
  <c r="F190" i="1"/>
  <c r="G190" i="1"/>
  <c r="H190" i="1"/>
  <c r="I190" i="1"/>
  <c r="J190" i="1"/>
  <c r="K190" i="1"/>
  <c r="L190" i="1"/>
  <c r="Q190" i="1" s="1"/>
  <c r="Z190" i="1"/>
  <c r="A191" i="1"/>
  <c r="B191" i="1"/>
  <c r="AI191" i="1" s="1"/>
  <c r="C191" i="1"/>
  <c r="D191" i="1"/>
  <c r="E191" i="1"/>
  <c r="F191" i="1"/>
  <c r="G191" i="1"/>
  <c r="H191" i="1"/>
  <c r="I191" i="1"/>
  <c r="J191" i="1"/>
  <c r="K191" i="1"/>
  <c r="L191" i="1"/>
  <c r="Q191" i="1" s="1"/>
  <c r="Z191" i="1"/>
  <c r="A192" i="1"/>
  <c r="B192" i="1"/>
  <c r="AI192" i="1" s="1"/>
  <c r="C192" i="1"/>
  <c r="D192" i="1"/>
  <c r="E192" i="1"/>
  <c r="F192" i="1"/>
  <c r="G192" i="1"/>
  <c r="H192" i="1"/>
  <c r="I192" i="1"/>
  <c r="J192" i="1"/>
  <c r="K192" i="1"/>
  <c r="L192" i="1"/>
  <c r="Z192" i="1"/>
  <c r="A193" i="1"/>
  <c r="B193" i="1"/>
  <c r="AI193" i="1" s="1"/>
  <c r="C193" i="1"/>
  <c r="D193" i="1"/>
  <c r="E193" i="1"/>
  <c r="F193" i="1"/>
  <c r="G193" i="1"/>
  <c r="H193" i="1"/>
  <c r="I193" i="1"/>
  <c r="J193" i="1"/>
  <c r="K193" i="1"/>
  <c r="L193" i="1"/>
  <c r="Q193" i="1" s="1"/>
  <c r="N193" i="1"/>
  <c r="Z193" i="1"/>
  <c r="A194" i="1"/>
  <c r="B194" i="1"/>
  <c r="AI194" i="1" s="1"/>
  <c r="C194" i="1"/>
  <c r="D194" i="1"/>
  <c r="E194" i="1"/>
  <c r="F194" i="1"/>
  <c r="G194" i="1"/>
  <c r="H194" i="1"/>
  <c r="I194" i="1"/>
  <c r="J194" i="1"/>
  <c r="K194" i="1"/>
  <c r="L194" i="1"/>
  <c r="N194" i="1"/>
  <c r="Z194" i="1"/>
  <c r="A195" i="1"/>
  <c r="B195" i="1"/>
  <c r="AI195" i="1" s="1"/>
  <c r="C195" i="1"/>
  <c r="D195" i="1"/>
  <c r="E195" i="1"/>
  <c r="F195" i="1"/>
  <c r="G195" i="1"/>
  <c r="H195" i="1"/>
  <c r="I195" i="1"/>
  <c r="J195" i="1"/>
  <c r="K195" i="1"/>
  <c r="L195" i="1"/>
  <c r="Q195" i="1" s="1"/>
  <c r="Z195" i="1"/>
  <c r="A196" i="1"/>
  <c r="B196" i="1"/>
  <c r="AI196" i="1" s="1"/>
  <c r="C196" i="1"/>
  <c r="D196" i="1"/>
  <c r="E196" i="1"/>
  <c r="F196" i="1"/>
  <c r="G196" i="1"/>
  <c r="H196" i="1"/>
  <c r="I196" i="1"/>
  <c r="J196" i="1"/>
  <c r="K196" i="1"/>
  <c r="L196" i="1"/>
  <c r="Z196" i="1"/>
  <c r="A197" i="1"/>
  <c r="B197" i="1"/>
  <c r="AI197" i="1" s="1"/>
  <c r="C197" i="1"/>
  <c r="D197" i="1"/>
  <c r="E197" i="1"/>
  <c r="F197" i="1"/>
  <c r="G197" i="1"/>
  <c r="H197" i="1"/>
  <c r="I197" i="1"/>
  <c r="J197" i="1"/>
  <c r="K197" i="1"/>
  <c r="L197" i="1"/>
  <c r="Q197" i="1" s="1"/>
  <c r="N197" i="1"/>
  <c r="Z197" i="1"/>
  <c r="A198" i="1"/>
  <c r="B198" i="1"/>
  <c r="AI198" i="1" s="1"/>
  <c r="C198" i="1"/>
  <c r="D198" i="1"/>
  <c r="E198" i="1"/>
  <c r="F198" i="1"/>
  <c r="G198" i="1"/>
  <c r="H198" i="1"/>
  <c r="I198" i="1"/>
  <c r="J198" i="1"/>
  <c r="K198" i="1"/>
  <c r="L198" i="1"/>
  <c r="Q198" i="1" s="1"/>
  <c r="N198" i="1"/>
  <c r="Z198" i="1"/>
  <c r="A199" i="1"/>
  <c r="B199" i="1"/>
  <c r="AI199" i="1" s="1"/>
  <c r="C199" i="1"/>
  <c r="D199" i="1"/>
  <c r="E199" i="1"/>
  <c r="F199" i="1"/>
  <c r="G199" i="1"/>
  <c r="H199" i="1"/>
  <c r="I199" i="1"/>
  <c r="J199" i="1"/>
  <c r="K199" i="1"/>
  <c r="L199" i="1"/>
  <c r="Q199" i="1" s="1"/>
  <c r="N199" i="1"/>
  <c r="Z199" i="1"/>
  <c r="A200" i="1"/>
  <c r="B200" i="1"/>
  <c r="AI200" i="1" s="1"/>
  <c r="C200" i="1"/>
  <c r="D200" i="1"/>
  <c r="E200" i="1"/>
  <c r="F200" i="1"/>
  <c r="G200" i="1"/>
  <c r="H200" i="1"/>
  <c r="I200" i="1"/>
  <c r="J200" i="1"/>
  <c r="K200" i="1"/>
  <c r="L200" i="1"/>
  <c r="Q200" i="1" s="1"/>
  <c r="N200" i="1"/>
  <c r="Z200" i="1"/>
  <c r="A201" i="1"/>
  <c r="B201" i="1"/>
  <c r="AI201" i="1" s="1"/>
  <c r="C201" i="1"/>
  <c r="D201" i="1"/>
  <c r="E201" i="1"/>
  <c r="F201" i="1"/>
  <c r="G201" i="1"/>
  <c r="H201" i="1"/>
  <c r="I201" i="1"/>
  <c r="J201" i="1"/>
  <c r="K201" i="1"/>
  <c r="L201" i="1"/>
  <c r="Q201" i="1" s="1"/>
  <c r="N201" i="1"/>
  <c r="Z201" i="1"/>
  <c r="A202" i="1"/>
  <c r="B202" i="1"/>
  <c r="AI202" i="1" s="1"/>
  <c r="C202" i="1"/>
  <c r="D202" i="1"/>
  <c r="E202" i="1"/>
  <c r="F202" i="1"/>
  <c r="G202" i="1"/>
  <c r="H202" i="1"/>
  <c r="I202" i="1"/>
  <c r="J202" i="1"/>
  <c r="K202" i="1"/>
  <c r="L202" i="1"/>
  <c r="Q202" i="1" s="1"/>
  <c r="N202" i="1"/>
  <c r="Z202" i="1"/>
  <c r="A203" i="1"/>
  <c r="B203" i="1"/>
  <c r="AI203" i="1" s="1"/>
  <c r="C203" i="1"/>
  <c r="D203" i="1"/>
  <c r="E203" i="1"/>
  <c r="F203" i="1"/>
  <c r="G203" i="1"/>
  <c r="H203" i="1"/>
  <c r="I203" i="1"/>
  <c r="J203" i="1"/>
  <c r="K203" i="1"/>
  <c r="L203" i="1"/>
  <c r="Q203" i="1" s="1"/>
  <c r="N203" i="1"/>
  <c r="Z203" i="1"/>
  <c r="A204" i="1"/>
  <c r="B204" i="1"/>
  <c r="AI204" i="1" s="1"/>
  <c r="C204" i="1"/>
  <c r="D204" i="1"/>
  <c r="E204" i="1"/>
  <c r="F204" i="1"/>
  <c r="G204" i="1"/>
  <c r="H204" i="1"/>
  <c r="I204" i="1"/>
  <c r="J204" i="1"/>
  <c r="K204" i="1"/>
  <c r="L204" i="1"/>
  <c r="N204" i="1"/>
  <c r="Z204" i="1"/>
  <c r="A205" i="1"/>
  <c r="B205" i="1"/>
  <c r="AI205" i="1" s="1"/>
  <c r="C205" i="1"/>
  <c r="D205" i="1"/>
  <c r="E205" i="1"/>
  <c r="F205" i="1"/>
  <c r="G205" i="1"/>
  <c r="H205" i="1"/>
  <c r="I205" i="1"/>
  <c r="J205" i="1"/>
  <c r="K205" i="1"/>
  <c r="L205" i="1"/>
  <c r="Q205" i="1" s="1"/>
  <c r="N205" i="1"/>
  <c r="Z205" i="1"/>
  <c r="A206" i="1"/>
  <c r="B206" i="1"/>
  <c r="AI206" i="1" s="1"/>
  <c r="C206" i="1"/>
  <c r="D206" i="1"/>
  <c r="E206" i="1"/>
  <c r="F206" i="1"/>
  <c r="G206" i="1"/>
  <c r="H206" i="1"/>
  <c r="I206" i="1"/>
  <c r="J206" i="1"/>
  <c r="K206" i="1"/>
  <c r="L206" i="1"/>
  <c r="N206" i="1"/>
  <c r="Z206" i="1"/>
  <c r="A207" i="1"/>
  <c r="B207" i="1"/>
  <c r="AI207" i="1" s="1"/>
  <c r="C207" i="1"/>
  <c r="D207" i="1"/>
  <c r="E207" i="1"/>
  <c r="F207" i="1"/>
  <c r="G207" i="1"/>
  <c r="H207" i="1"/>
  <c r="I207" i="1"/>
  <c r="J207" i="1"/>
  <c r="K207" i="1"/>
  <c r="L207" i="1"/>
  <c r="Q207" i="1" s="1"/>
  <c r="N207" i="1"/>
  <c r="Z207" i="1"/>
  <c r="A208" i="1"/>
  <c r="B208" i="1"/>
  <c r="AI208" i="1" s="1"/>
  <c r="C208" i="1"/>
  <c r="D208" i="1"/>
  <c r="E208" i="1"/>
  <c r="F208" i="1"/>
  <c r="G208" i="1"/>
  <c r="H208" i="1"/>
  <c r="I208" i="1"/>
  <c r="J208" i="1"/>
  <c r="K208" i="1"/>
  <c r="L208" i="1"/>
  <c r="N208" i="1"/>
  <c r="Z208" i="1"/>
  <c r="A209" i="1"/>
  <c r="B209" i="1"/>
  <c r="AI209" i="1" s="1"/>
  <c r="C209" i="1"/>
  <c r="D209" i="1"/>
  <c r="E209" i="1"/>
  <c r="F209" i="1"/>
  <c r="G209" i="1"/>
  <c r="H209" i="1"/>
  <c r="I209" i="1"/>
  <c r="J209" i="1"/>
  <c r="K209" i="1"/>
  <c r="L209" i="1"/>
  <c r="N209" i="1"/>
  <c r="Z209" i="1"/>
  <c r="A210" i="1"/>
  <c r="B210" i="1"/>
  <c r="AI210" i="1" s="1"/>
  <c r="C210" i="1"/>
  <c r="D210" i="1"/>
  <c r="E210" i="1"/>
  <c r="F210" i="1"/>
  <c r="G210" i="1"/>
  <c r="H210" i="1"/>
  <c r="I210" i="1"/>
  <c r="J210" i="1"/>
  <c r="K210" i="1"/>
  <c r="L210" i="1"/>
  <c r="N210" i="1"/>
  <c r="Z210" i="1"/>
  <c r="A211" i="1"/>
  <c r="B211" i="1"/>
  <c r="AI211" i="1" s="1"/>
  <c r="C211" i="1"/>
  <c r="D211" i="1"/>
  <c r="E211" i="1"/>
  <c r="F211" i="1"/>
  <c r="G211" i="1"/>
  <c r="H211" i="1"/>
  <c r="I211" i="1"/>
  <c r="J211" i="1"/>
  <c r="K211" i="1"/>
  <c r="L211" i="1"/>
  <c r="N211" i="1"/>
  <c r="Z211" i="1"/>
  <c r="A212" i="1"/>
  <c r="B212" i="1"/>
  <c r="AI212" i="1" s="1"/>
  <c r="C212" i="1"/>
  <c r="D212" i="1"/>
  <c r="E212" i="1"/>
  <c r="F212" i="1"/>
  <c r="G212" i="1"/>
  <c r="H212" i="1"/>
  <c r="I212" i="1"/>
  <c r="J212" i="1"/>
  <c r="K212" i="1"/>
  <c r="L212" i="1"/>
  <c r="N212" i="1"/>
  <c r="Z212" i="1"/>
  <c r="A213" i="1"/>
  <c r="B213" i="1"/>
  <c r="AI213" i="1" s="1"/>
  <c r="C213" i="1"/>
  <c r="D213" i="1"/>
  <c r="E213" i="1"/>
  <c r="F213" i="1"/>
  <c r="G213" i="1"/>
  <c r="H213" i="1"/>
  <c r="I213" i="1"/>
  <c r="J213" i="1"/>
  <c r="K213" i="1"/>
  <c r="L213" i="1"/>
  <c r="Q213" i="1" s="1"/>
  <c r="Z213" i="1"/>
  <c r="A214" i="1"/>
  <c r="B214" i="1"/>
  <c r="AI214" i="1" s="1"/>
  <c r="C214" i="1"/>
  <c r="D214" i="1"/>
  <c r="E214" i="1"/>
  <c r="F214" i="1"/>
  <c r="G214" i="1"/>
  <c r="H214" i="1"/>
  <c r="I214" i="1"/>
  <c r="J214" i="1"/>
  <c r="K214" i="1"/>
  <c r="L214" i="1"/>
  <c r="N214" i="1"/>
  <c r="Z214" i="1"/>
  <c r="A215" i="1"/>
  <c r="B215" i="1"/>
  <c r="AI215" i="1" s="1"/>
  <c r="C215" i="1"/>
  <c r="D215" i="1"/>
  <c r="E215" i="1"/>
  <c r="F215" i="1"/>
  <c r="G215" i="1"/>
  <c r="H215" i="1"/>
  <c r="I215" i="1"/>
  <c r="J215" i="1"/>
  <c r="K215" i="1"/>
  <c r="L215" i="1"/>
  <c r="N215" i="1"/>
  <c r="Z215" i="1"/>
  <c r="A216" i="1"/>
  <c r="B216" i="1"/>
  <c r="AI216" i="1" s="1"/>
  <c r="C216" i="1"/>
  <c r="D216" i="1"/>
  <c r="E216" i="1"/>
  <c r="F216" i="1"/>
  <c r="G216" i="1"/>
  <c r="H216" i="1"/>
  <c r="I216" i="1"/>
  <c r="J216" i="1"/>
  <c r="K216" i="1"/>
  <c r="L216" i="1"/>
  <c r="Q216" i="1" s="1"/>
  <c r="N216" i="1"/>
  <c r="Z216" i="1"/>
  <c r="A217" i="1"/>
  <c r="B217" i="1"/>
  <c r="AI217" i="1" s="1"/>
  <c r="C217" i="1"/>
  <c r="D217" i="1"/>
  <c r="E217" i="1"/>
  <c r="F217" i="1"/>
  <c r="G217" i="1"/>
  <c r="H217" i="1"/>
  <c r="I217" i="1"/>
  <c r="J217" i="1"/>
  <c r="K217" i="1"/>
  <c r="L217" i="1"/>
  <c r="Q217" i="1" s="1"/>
  <c r="N217" i="1"/>
  <c r="Z217" i="1"/>
  <c r="A218" i="1"/>
  <c r="B218" i="1"/>
  <c r="AI218" i="1" s="1"/>
  <c r="C218" i="1"/>
  <c r="D218" i="1"/>
  <c r="E218" i="1"/>
  <c r="F218" i="1"/>
  <c r="G218" i="1"/>
  <c r="H218" i="1"/>
  <c r="I218" i="1"/>
  <c r="J218" i="1"/>
  <c r="K218" i="1"/>
  <c r="L218" i="1"/>
  <c r="Q218" i="1" s="1"/>
  <c r="N218" i="1"/>
  <c r="Z218" i="1"/>
  <c r="A219" i="1"/>
  <c r="B219" i="1"/>
  <c r="AI219" i="1" s="1"/>
  <c r="C219" i="1"/>
  <c r="D219" i="1"/>
  <c r="E219" i="1"/>
  <c r="F219" i="1"/>
  <c r="G219" i="1"/>
  <c r="H219" i="1"/>
  <c r="I219" i="1"/>
  <c r="J219" i="1"/>
  <c r="K219" i="1"/>
  <c r="L219" i="1"/>
  <c r="Q219" i="1" s="1"/>
  <c r="N219" i="1"/>
  <c r="Z219" i="1"/>
  <c r="A220" i="1"/>
  <c r="B220" i="1"/>
  <c r="AI220" i="1" s="1"/>
  <c r="C220" i="1"/>
  <c r="D220" i="1"/>
  <c r="E220" i="1"/>
  <c r="F220" i="1"/>
  <c r="G220" i="1"/>
  <c r="H220" i="1"/>
  <c r="I220" i="1"/>
  <c r="J220" i="1"/>
  <c r="K220" i="1"/>
  <c r="L220" i="1"/>
  <c r="Q220" i="1" s="1"/>
  <c r="N220" i="1"/>
  <c r="Z220" i="1"/>
  <c r="A221" i="1"/>
  <c r="B221" i="1"/>
  <c r="AI221" i="1" s="1"/>
  <c r="C221" i="1"/>
  <c r="D221" i="1"/>
  <c r="E221" i="1"/>
  <c r="F221" i="1"/>
  <c r="G221" i="1"/>
  <c r="H221" i="1"/>
  <c r="I221" i="1"/>
  <c r="J221" i="1"/>
  <c r="K221" i="1"/>
  <c r="L221" i="1"/>
  <c r="Q221" i="1" s="1"/>
  <c r="N221" i="1"/>
  <c r="Z221" i="1"/>
  <c r="A222" i="1"/>
  <c r="B222" i="1"/>
  <c r="AI222" i="1" s="1"/>
  <c r="C222" i="1"/>
  <c r="D222" i="1"/>
  <c r="E222" i="1"/>
  <c r="F222" i="1"/>
  <c r="G222" i="1"/>
  <c r="H222" i="1"/>
  <c r="I222" i="1"/>
  <c r="J222" i="1"/>
  <c r="K222" i="1"/>
  <c r="L222" i="1"/>
  <c r="Q222" i="1" s="1"/>
  <c r="Z222" i="1"/>
  <c r="A223" i="1"/>
  <c r="B223" i="1"/>
  <c r="AI223" i="1" s="1"/>
  <c r="C223" i="1"/>
  <c r="D223" i="1"/>
  <c r="E223" i="1"/>
  <c r="F223" i="1"/>
  <c r="G223" i="1"/>
  <c r="H223" i="1"/>
  <c r="I223" i="1"/>
  <c r="J223" i="1"/>
  <c r="K223" i="1"/>
  <c r="L223" i="1"/>
  <c r="Q223" i="1" s="1"/>
  <c r="Z223" i="1"/>
  <c r="A224" i="1"/>
  <c r="B224" i="1"/>
  <c r="AI224" i="1" s="1"/>
  <c r="C224" i="1"/>
  <c r="D224" i="1"/>
  <c r="E224" i="1"/>
  <c r="F224" i="1"/>
  <c r="G224" i="1"/>
  <c r="H224" i="1"/>
  <c r="I224" i="1"/>
  <c r="J224" i="1"/>
  <c r="K224" i="1"/>
  <c r="L224" i="1"/>
  <c r="Q224" i="1" s="1"/>
  <c r="Z224" i="1"/>
  <c r="A225" i="1"/>
  <c r="B225" i="1"/>
  <c r="AI225" i="1" s="1"/>
  <c r="C225" i="1"/>
  <c r="D225" i="1"/>
  <c r="E225" i="1"/>
  <c r="F225" i="1"/>
  <c r="G225" i="1"/>
  <c r="H225" i="1"/>
  <c r="I225" i="1"/>
  <c r="J225" i="1"/>
  <c r="K225" i="1"/>
  <c r="L225" i="1"/>
  <c r="Q225" i="1" s="1"/>
  <c r="N225" i="1"/>
  <c r="Z225" i="1"/>
  <c r="A226" i="1"/>
  <c r="B226" i="1"/>
  <c r="AI226" i="1" s="1"/>
  <c r="C226" i="1"/>
  <c r="D226" i="1"/>
  <c r="E226" i="1"/>
  <c r="F226" i="1"/>
  <c r="G226" i="1"/>
  <c r="H226" i="1"/>
  <c r="I226" i="1"/>
  <c r="J226" i="1"/>
  <c r="K226" i="1"/>
  <c r="L226" i="1"/>
  <c r="Q226" i="1" s="1"/>
  <c r="N226" i="1"/>
  <c r="Z226" i="1"/>
  <c r="A227" i="1"/>
  <c r="B227" i="1"/>
  <c r="AI227" i="1" s="1"/>
  <c r="C227" i="1"/>
  <c r="D227" i="1"/>
  <c r="E227" i="1"/>
  <c r="F227" i="1"/>
  <c r="G227" i="1"/>
  <c r="H227" i="1"/>
  <c r="I227" i="1"/>
  <c r="J227" i="1"/>
  <c r="K227" i="1"/>
  <c r="L227" i="1"/>
  <c r="N227" i="1"/>
  <c r="Z227" i="1"/>
  <c r="A228" i="1"/>
  <c r="B228" i="1"/>
  <c r="AI228" i="1" s="1"/>
  <c r="C228" i="1"/>
  <c r="D228" i="1"/>
  <c r="E228" i="1"/>
  <c r="F228" i="1"/>
  <c r="G228" i="1"/>
  <c r="H228" i="1"/>
  <c r="I228" i="1"/>
  <c r="J228" i="1"/>
  <c r="K228" i="1"/>
  <c r="L228" i="1"/>
  <c r="Q228" i="1" s="1"/>
  <c r="N228" i="1"/>
  <c r="Z228" i="1"/>
  <c r="A229" i="1"/>
  <c r="B229" i="1"/>
  <c r="AI229" i="1" s="1"/>
  <c r="C229" i="1"/>
  <c r="D229" i="1"/>
  <c r="E229" i="1"/>
  <c r="F229" i="1"/>
  <c r="G229" i="1"/>
  <c r="H229" i="1"/>
  <c r="I229" i="1"/>
  <c r="J229" i="1"/>
  <c r="K229" i="1"/>
  <c r="L229" i="1"/>
  <c r="Q229" i="1" s="1"/>
  <c r="N229" i="1"/>
  <c r="Z229" i="1"/>
  <c r="A230" i="1"/>
  <c r="B230" i="1"/>
  <c r="AI230" i="1" s="1"/>
  <c r="C230" i="1"/>
  <c r="D230" i="1"/>
  <c r="E230" i="1"/>
  <c r="F230" i="1"/>
  <c r="G230" i="1"/>
  <c r="H230" i="1"/>
  <c r="I230" i="1"/>
  <c r="J230" i="1"/>
  <c r="K230" i="1"/>
  <c r="L230" i="1"/>
  <c r="Q230" i="1" s="1"/>
  <c r="N230" i="1"/>
  <c r="Z230" i="1"/>
  <c r="A231" i="1"/>
  <c r="B231" i="1"/>
  <c r="AI231" i="1" s="1"/>
  <c r="C231" i="1"/>
  <c r="D231" i="1"/>
  <c r="E231" i="1"/>
  <c r="F231" i="1"/>
  <c r="G231" i="1"/>
  <c r="H231" i="1"/>
  <c r="I231" i="1"/>
  <c r="J231" i="1"/>
  <c r="K231" i="1"/>
  <c r="L231" i="1"/>
  <c r="Q231" i="1" s="1"/>
  <c r="N231" i="1"/>
  <c r="Z231" i="1"/>
  <c r="A232" i="1"/>
  <c r="B232" i="1"/>
  <c r="AI232" i="1" s="1"/>
  <c r="C232" i="1"/>
  <c r="D232" i="1"/>
  <c r="E232" i="1"/>
  <c r="F232" i="1"/>
  <c r="G232" i="1"/>
  <c r="H232" i="1"/>
  <c r="I232" i="1"/>
  <c r="J232" i="1"/>
  <c r="K232" i="1"/>
  <c r="L232" i="1"/>
  <c r="Q232" i="1" s="1"/>
  <c r="Z232" i="1"/>
  <c r="A233" i="1"/>
  <c r="B233" i="1"/>
  <c r="AI233" i="1" s="1"/>
  <c r="C233" i="1"/>
  <c r="D233" i="1"/>
  <c r="E233" i="1"/>
  <c r="F233" i="1"/>
  <c r="G233" i="1"/>
  <c r="H233" i="1"/>
  <c r="I233" i="1"/>
  <c r="J233" i="1"/>
  <c r="K233" i="1"/>
  <c r="L233" i="1"/>
  <c r="Q233" i="1" s="1"/>
  <c r="N233" i="1"/>
  <c r="Z233" i="1"/>
  <c r="A234" i="1"/>
  <c r="B234" i="1"/>
  <c r="AI234" i="1" s="1"/>
  <c r="C234" i="1"/>
  <c r="D234" i="1"/>
  <c r="E234" i="1"/>
  <c r="F234" i="1"/>
  <c r="G234" i="1"/>
  <c r="H234" i="1"/>
  <c r="I234" i="1"/>
  <c r="J234" i="1"/>
  <c r="K234" i="1"/>
  <c r="L234" i="1"/>
  <c r="Q234" i="1" s="1"/>
  <c r="N234" i="1"/>
  <c r="Z234" i="1"/>
  <c r="A235" i="1"/>
  <c r="B235" i="1"/>
  <c r="AI235" i="1" s="1"/>
  <c r="C235" i="1"/>
  <c r="D235" i="1"/>
  <c r="E235" i="1"/>
  <c r="F235" i="1"/>
  <c r="G235" i="1"/>
  <c r="H235" i="1"/>
  <c r="I235" i="1"/>
  <c r="J235" i="1"/>
  <c r="K235" i="1"/>
  <c r="L235" i="1"/>
  <c r="Z235" i="1"/>
  <c r="A236" i="1"/>
  <c r="B236" i="1"/>
  <c r="AI236" i="1" s="1"/>
  <c r="C236" i="1"/>
  <c r="D236" i="1"/>
  <c r="E236" i="1"/>
  <c r="F236" i="1"/>
  <c r="G236" i="1"/>
  <c r="H236" i="1"/>
  <c r="I236" i="1"/>
  <c r="J236" i="1"/>
  <c r="K236" i="1"/>
  <c r="L236" i="1"/>
  <c r="Z236" i="1"/>
  <c r="A237" i="1"/>
  <c r="B237" i="1"/>
  <c r="AI237" i="1" s="1"/>
  <c r="C237" i="1"/>
  <c r="D237" i="1"/>
  <c r="E237" i="1"/>
  <c r="F237" i="1"/>
  <c r="G237" i="1"/>
  <c r="H237" i="1"/>
  <c r="I237" i="1"/>
  <c r="J237" i="1"/>
  <c r="K237" i="1"/>
  <c r="L237" i="1"/>
  <c r="N237" i="1"/>
  <c r="Z237" i="1"/>
  <c r="A238" i="1"/>
  <c r="B238" i="1"/>
  <c r="AI238" i="1" s="1"/>
  <c r="C238" i="1"/>
  <c r="D238" i="1"/>
  <c r="E238" i="1"/>
  <c r="F238" i="1"/>
  <c r="G238" i="1"/>
  <c r="H238" i="1"/>
  <c r="I238" i="1"/>
  <c r="J238" i="1"/>
  <c r="K238" i="1"/>
  <c r="L238" i="1"/>
  <c r="Q238" i="1" s="1"/>
  <c r="N238" i="1"/>
  <c r="Z238" i="1"/>
  <c r="A239" i="1"/>
  <c r="B239" i="1"/>
  <c r="AI239" i="1" s="1"/>
  <c r="C239" i="1"/>
  <c r="D239" i="1"/>
  <c r="E239" i="1"/>
  <c r="F239" i="1"/>
  <c r="G239" i="1"/>
  <c r="H239" i="1"/>
  <c r="I239" i="1"/>
  <c r="J239" i="1"/>
  <c r="K239" i="1"/>
  <c r="L239" i="1"/>
  <c r="N239" i="1"/>
  <c r="Z239" i="1"/>
  <c r="A240" i="1"/>
  <c r="B240" i="1"/>
  <c r="AI240" i="1" s="1"/>
  <c r="C240" i="1"/>
  <c r="D240" i="1"/>
  <c r="E240" i="1"/>
  <c r="F240" i="1"/>
  <c r="G240" i="1"/>
  <c r="H240" i="1"/>
  <c r="I240" i="1"/>
  <c r="J240" i="1"/>
  <c r="K240" i="1"/>
  <c r="L240" i="1"/>
  <c r="N240" i="1"/>
  <c r="Z240" i="1"/>
  <c r="A241" i="1"/>
  <c r="B241" i="1"/>
  <c r="AI241" i="1" s="1"/>
  <c r="C241" i="1"/>
  <c r="D241" i="1"/>
  <c r="E241" i="1"/>
  <c r="F241" i="1"/>
  <c r="G241" i="1"/>
  <c r="H241" i="1"/>
  <c r="I241" i="1"/>
  <c r="J241" i="1"/>
  <c r="K241" i="1"/>
  <c r="L241" i="1"/>
  <c r="Q241" i="1" s="1"/>
  <c r="Z241" i="1"/>
  <c r="A242" i="1"/>
  <c r="B242" i="1"/>
  <c r="AI242" i="1" s="1"/>
  <c r="C242" i="1"/>
  <c r="D242" i="1"/>
  <c r="E242" i="1"/>
  <c r="F242" i="1"/>
  <c r="G242" i="1"/>
  <c r="H242" i="1"/>
  <c r="I242" i="1"/>
  <c r="J242" i="1"/>
  <c r="K242" i="1"/>
  <c r="L242" i="1"/>
  <c r="Z242" i="1"/>
  <c r="A243" i="1"/>
  <c r="B243" i="1"/>
  <c r="AI243" i="1" s="1"/>
  <c r="C243" i="1"/>
  <c r="D243" i="1"/>
  <c r="E243" i="1"/>
  <c r="F243" i="1"/>
  <c r="G243" i="1"/>
  <c r="H243" i="1"/>
  <c r="I243" i="1"/>
  <c r="J243" i="1"/>
  <c r="K243" i="1"/>
  <c r="L243" i="1"/>
  <c r="N243" i="1"/>
  <c r="Z243" i="1"/>
  <c r="A244" i="1"/>
  <c r="B244" i="1"/>
  <c r="AI244" i="1" s="1"/>
  <c r="C244" i="1"/>
  <c r="D244" i="1"/>
  <c r="E244" i="1"/>
  <c r="F244" i="1"/>
  <c r="G244" i="1"/>
  <c r="H244" i="1"/>
  <c r="I244" i="1"/>
  <c r="J244" i="1"/>
  <c r="K244" i="1"/>
  <c r="L244" i="1"/>
  <c r="Z244" i="1"/>
  <c r="A245" i="1"/>
  <c r="B245" i="1"/>
  <c r="AI245" i="1" s="1"/>
  <c r="C245" i="1"/>
  <c r="D245" i="1"/>
  <c r="E245" i="1"/>
  <c r="F245" i="1"/>
  <c r="G245" i="1"/>
  <c r="H245" i="1"/>
  <c r="I245" i="1"/>
  <c r="J245" i="1"/>
  <c r="K245" i="1"/>
  <c r="L245" i="1"/>
  <c r="Z245" i="1"/>
  <c r="A246" i="1"/>
  <c r="B246" i="1"/>
  <c r="AI246" i="1" s="1"/>
  <c r="C246" i="1"/>
  <c r="D246" i="1"/>
  <c r="E246" i="1"/>
  <c r="F246" i="1"/>
  <c r="G246" i="1"/>
  <c r="H246" i="1"/>
  <c r="I246" i="1"/>
  <c r="J246" i="1"/>
  <c r="K246" i="1"/>
  <c r="L246" i="1"/>
  <c r="N246" i="1"/>
  <c r="Z246" i="1"/>
  <c r="A247" i="1"/>
  <c r="B247" i="1"/>
  <c r="AI247" i="1" s="1"/>
  <c r="C247" i="1"/>
  <c r="D247" i="1"/>
  <c r="E247" i="1"/>
  <c r="F247" i="1"/>
  <c r="G247" i="1"/>
  <c r="H247" i="1"/>
  <c r="I247" i="1"/>
  <c r="J247" i="1"/>
  <c r="K247" i="1"/>
  <c r="L247" i="1"/>
  <c r="Z247" i="1"/>
  <c r="A248" i="1"/>
  <c r="B248" i="1"/>
  <c r="AI248" i="1" s="1"/>
  <c r="C248" i="1"/>
  <c r="D248" i="1"/>
  <c r="E248" i="1"/>
  <c r="F248" i="1"/>
  <c r="G248" i="1"/>
  <c r="H248" i="1"/>
  <c r="I248" i="1"/>
  <c r="J248" i="1"/>
  <c r="K248" i="1"/>
  <c r="L248" i="1"/>
  <c r="Q248" i="1" s="1"/>
  <c r="Z248" i="1"/>
  <c r="A249" i="1"/>
  <c r="B249" i="1"/>
  <c r="AI249" i="1" s="1"/>
  <c r="C249" i="1"/>
  <c r="D249" i="1"/>
  <c r="E249" i="1"/>
  <c r="F249" i="1"/>
  <c r="G249" i="1"/>
  <c r="H249" i="1"/>
  <c r="I249" i="1"/>
  <c r="J249" i="1"/>
  <c r="K249" i="1"/>
  <c r="L249" i="1"/>
  <c r="Q249" i="1" s="1"/>
  <c r="N249" i="1"/>
  <c r="Z249" i="1"/>
  <c r="A250" i="1"/>
  <c r="B250" i="1"/>
  <c r="AI250" i="1" s="1"/>
  <c r="C250" i="1"/>
  <c r="D250" i="1"/>
  <c r="E250" i="1"/>
  <c r="F250" i="1"/>
  <c r="G250" i="1"/>
  <c r="H250" i="1"/>
  <c r="I250" i="1"/>
  <c r="J250" i="1"/>
  <c r="K250" i="1"/>
  <c r="L250" i="1"/>
  <c r="Q250" i="1" s="1"/>
  <c r="N250" i="1"/>
  <c r="Z250" i="1"/>
  <c r="A251" i="1"/>
  <c r="B251" i="1"/>
  <c r="AI251" i="1" s="1"/>
  <c r="C251" i="1"/>
  <c r="D251" i="1"/>
  <c r="E251" i="1"/>
  <c r="F251" i="1"/>
  <c r="G251" i="1"/>
  <c r="H251" i="1"/>
  <c r="I251" i="1"/>
  <c r="J251" i="1"/>
  <c r="K251" i="1"/>
  <c r="L251" i="1"/>
  <c r="Q251" i="1" s="1"/>
  <c r="Z251" i="1"/>
  <c r="A252" i="1"/>
  <c r="B252" i="1"/>
  <c r="AI252" i="1" s="1"/>
  <c r="C252" i="1"/>
  <c r="D252" i="1"/>
  <c r="E252" i="1"/>
  <c r="F252" i="1"/>
  <c r="G252" i="1"/>
  <c r="H252" i="1"/>
  <c r="I252" i="1"/>
  <c r="J252" i="1"/>
  <c r="K252" i="1"/>
  <c r="L252" i="1"/>
  <c r="N252" i="1"/>
  <c r="Z252" i="1"/>
  <c r="A253" i="1"/>
  <c r="B253" i="1"/>
  <c r="AI253" i="1" s="1"/>
  <c r="C253" i="1"/>
  <c r="D253" i="1"/>
  <c r="E253" i="1"/>
  <c r="F253" i="1"/>
  <c r="G253" i="1"/>
  <c r="H253" i="1"/>
  <c r="I253" i="1"/>
  <c r="J253" i="1"/>
  <c r="K253" i="1"/>
  <c r="L253" i="1"/>
  <c r="N253" i="1"/>
  <c r="Z253" i="1"/>
  <c r="A254" i="1"/>
  <c r="B254" i="1"/>
  <c r="AI254" i="1" s="1"/>
  <c r="C254" i="1"/>
  <c r="D254" i="1"/>
  <c r="E254" i="1"/>
  <c r="F254" i="1"/>
  <c r="G254" i="1"/>
  <c r="H254" i="1"/>
  <c r="I254" i="1"/>
  <c r="J254" i="1"/>
  <c r="K254" i="1"/>
  <c r="L254" i="1"/>
  <c r="Z254" i="1"/>
  <c r="A255" i="1"/>
  <c r="B255" i="1"/>
  <c r="AI255" i="1" s="1"/>
  <c r="C255" i="1"/>
  <c r="D255" i="1"/>
  <c r="E255" i="1"/>
  <c r="F255" i="1"/>
  <c r="G255" i="1"/>
  <c r="H255" i="1"/>
  <c r="I255" i="1"/>
  <c r="J255" i="1"/>
  <c r="K255" i="1"/>
  <c r="L255" i="1"/>
  <c r="N255" i="1"/>
  <c r="Z255" i="1"/>
  <c r="A256" i="1"/>
  <c r="B256" i="1"/>
  <c r="AI256" i="1" s="1"/>
  <c r="C256" i="1"/>
  <c r="D256" i="1"/>
  <c r="E256" i="1"/>
  <c r="F256" i="1"/>
  <c r="G256" i="1"/>
  <c r="H256" i="1"/>
  <c r="I256" i="1"/>
  <c r="J256" i="1"/>
  <c r="K256" i="1"/>
  <c r="L256" i="1"/>
  <c r="Z256" i="1"/>
  <c r="A257" i="1"/>
  <c r="B257" i="1"/>
  <c r="AI257" i="1" s="1"/>
  <c r="C257" i="1"/>
  <c r="D257" i="1"/>
  <c r="E257" i="1"/>
  <c r="F257" i="1"/>
  <c r="G257" i="1"/>
  <c r="H257" i="1"/>
  <c r="I257" i="1"/>
  <c r="J257" i="1"/>
  <c r="K257" i="1"/>
  <c r="L257" i="1"/>
  <c r="N257" i="1"/>
  <c r="Z257" i="1"/>
  <c r="A258" i="1"/>
  <c r="B258" i="1"/>
  <c r="AI258" i="1" s="1"/>
  <c r="C258" i="1"/>
  <c r="D258" i="1"/>
  <c r="E258" i="1"/>
  <c r="F258" i="1"/>
  <c r="G258" i="1"/>
  <c r="H258" i="1"/>
  <c r="I258" i="1"/>
  <c r="J258" i="1"/>
  <c r="K258" i="1"/>
  <c r="L258" i="1"/>
  <c r="N258" i="1"/>
  <c r="Z258" i="1"/>
  <c r="A259" i="1"/>
  <c r="B259" i="1"/>
  <c r="AI259" i="1" s="1"/>
  <c r="C259" i="1"/>
  <c r="D259" i="1"/>
  <c r="E259" i="1"/>
  <c r="F259" i="1"/>
  <c r="G259" i="1"/>
  <c r="H259" i="1"/>
  <c r="I259" i="1"/>
  <c r="J259" i="1"/>
  <c r="K259" i="1"/>
  <c r="L259" i="1"/>
  <c r="Z259" i="1"/>
  <c r="A260" i="1"/>
  <c r="B260" i="1"/>
  <c r="AI260" i="1" s="1"/>
  <c r="C260" i="1"/>
  <c r="D260" i="1"/>
  <c r="E260" i="1"/>
  <c r="F260" i="1"/>
  <c r="G260" i="1"/>
  <c r="H260" i="1"/>
  <c r="I260" i="1"/>
  <c r="J260" i="1"/>
  <c r="K260" i="1"/>
  <c r="L260" i="1"/>
  <c r="Z260" i="1"/>
  <c r="A261" i="1"/>
  <c r="B261" i="1"/>
  <c r="AI261" i="1" s="1"/>
  <c r="C261" i="1"/>
  <c r="D261" i="1"/>
  <c r="E261" i="1"/>
  <c r="F261" i="1"/>
  <c r="G261" i="1"/>
  <c r="H261" i="1"/>
  <c r="I261" i="1"/>
  <c r="J261" i="1"/>
  <c r="K261" i="1"/>
  <c r="L261" i="1"/>
  <c r="N261" i="1"/>
  <c r="Z261" i="1"/>
  <c r="A262" i="1"/>
  <c r="B262" i="1"/>
  <c r="AI262" i="1" s="1"/>
  <c r="C262" i="1"/>
  <c r="D262" i="1"/>
  <c r="E262" i="1"/>
  <c r="F262" i="1"/>
  <c r="G262" i="1"/>
  <c r="H262" i="1"/>
  <c r="I262" i="1"/>
  <c r="J262" i="1"/>
  <c r="K262" i="1"/>
  <c r="L262" i="1"/>
  <c r="Q262" i="1" s="1"/>
  <c r="Z262" i="1"/>
  <c r="A263" i="1"/>
  <c r="B263" i="1"/>
  <c r="AI263" i="1" s="1"/>
  <c r="C263" i="1"/>
  <c r="D263" i="1"/>
  <c r="E263" i="1"/>
  <c r="F263" i="1"/>
  <c r="G263" i="1"/>
  <c r="H263" i="1"/>
  <c r="I263" i="1"/>
  <c r="J263" i="1"/>
  <c r="K263" i="1"/>
  <c r="L263" i="1"/>
  <c r="Z263" i="1"/>
  <c r="A264" i="1"/>
  <c r="B264" i="1"/>
  <c r="AI264" i="1" s="1"/>
  <c r="C264" i="1"/>
  <c r="D264" i="1"/>
  <c r="E264" i="1"/>
  <c r="F264" i="1"/>
  <c r="G264" i="1"/>
  <c r="H264" i="1"/>
  <c r="I264" i="1"/>
  <c r="J264" i="1"/>
  <c r="K264" i="1"/>
  <c r="L264" i="1"/>
  <c r="Z264" i="1"/>
  <c r="A265" i="1"/>
  <c r="B265" i="1"/>
  <c r="AI265" i="1" s="1"/>
  <c r="C265" i="1"/>
  <c r="D265" i="1"/>
  <c r="E265" i="1"/>
  <c r="F265" i="1"/>
  <c r="G265" i="1"/>
  <c r="H265" i="1"/>
  <c r="I265" i="1"/>
  <c r="J265" i="1"/>
  <c r="K265" i="1"/>
  <c r="L265" i="1"/>
  <c r="Z265" i="1"/>
  <c r="A266" i="1"/>
  <c r="B266" i="1"/>
  <c r="AI266" i="1" s="1"/>
  <c r="C266" i="1"/>
  <c r="D266" i="1"/>
  <c r="E266" i="1"/>
  <c r="F266" i="1"/>
  <c r="G266" i="1"/>
  <c r="H266" i="1"/>
  <c r="I266" i="1"/>
  <c r="J266" i="1"/>
  <c r="K266" i="1"/>
  <c r="L266" i="1"/>
  <c r="Q266" i="1" s="1"/>
  <c r="Z266" i="1"/>
  <c r="A267" i="1"/>
  <c r="B267" i="1"/>
  <c r="AI267" i="1" s="1"/>
  <c r="C267" i="1"/>
  <c r="D267" i="1"/>
  <c r="E267" i="1"/>
  <c r="F267" i="1"/>
  <c r="G267" i="1"/>
  <c r="H267" i="1"/>
  <c r="I267" i="1"/>
  <c r="J267" i="1"/>
  <c r="K267" i="1"/>
  <c r="L267" i="1"/>
  <c r="Q267" i="1" s="1"/>
  <c r="Z267" i="1"/>
  <c r="A268" i="1"/>
  <c r="B268" i="1"/>
  <c r="AI268" i="1" s="1"/>
  <c r="C268" i="1"/>
  <c r="D268" i="1"/>
  <c r="E268" i="1"/>
  <c r="F268" i="1"/>
  <c r="G268" i="1"/>
  <c r="H268" i="1"/>
  <c r="I268" i="1"/>
  <c r="J268" i="1"/>
  <c r="K268" i="1"/>
  <c r="L268" i="1"/>
  <c r="Q268" i="1" s="1"/>
  <c r="N268" i="1"/>
  <c r="Z268" i="1"/>
  <c r="A269" i="1"/>
  <c r="B269" i="1"/>
  <c r="AI269" i="1" s="1"/>
  <c r="C269" i="1"/>
  <c r="D269" i="1"/>
  <c r="E269" i="1"/>
  <c r="F269" i="1"/>
  <c r="G269" i="1"/>
  <c r="H269" i="1"/>
  <c r="I269" i="1"/>
  <c r="J269" i="1"/>
  <c r="K269" i="1"/>
  <c r="L269" i="1"/>
  <c r="Z269" i="1"/>
  <c r="A270" i="1"/>
  <c r="B270" i="1"/>
  <c r="AI270" i="1" s="1"/>
  <c r="C270" i="1"/>
  <c r="D270" i="1"/>
  <c r="E270" i="1"/>
  <c r="F270" i="1"/>
  <c r="G270" i="1"/>
  <c r="H270" i="1"/>
  <c r="I270" i="1"/>
  <c r="J270" i="1"/>
  <c r="K270" i="1"/>
  <c r="L270" i="1"/>
  <c r="N270" i="1"/>
  <c r="Z270" i="1"/>
  <c r="A271" i="1"/>
  <c r="B271" i="1"/>
  <c r="AI271" i="1" s="1"/>
  <c r="C271" i="1"/>
  <c r="D271" i="1"/>
  <c r="E271" i="1"/>
  <c r="F271" i="1"/>
  <c r="G271" i="1"/>
  <c r="H271" i="1"/>
  <c r="I271" i="1"/>
  <c r="J271" i="1"/>
  <c r="K271" i="1"/>
  <c r="L271" i="1"/>
  <c r="Q271" i="1" s="1"/>
  <c r="N271" i="1"/>
  <c r="Z271" i="1"/>
  <c r="A272" i="1"/>
  <c r="B272" i="1"/>
  <c r="AI272" i="1" s="1"/>
  <c r="C272" i="1"/>
  <c r="D272" i="1"/>
  <c r="E272" i="1"/>
  <c r="F272" i="1"/>
  <c r="G272" i="1"/>
  <c r="H272" i="1"/>
  <c r="I272" i="1"/>
  <c r="J272" i="1"/>
  <c r="K272" i="1"/>
  <c r="L272" i="1"/>
  <c r="N272" i="1"/>
  <c r="Z272" i="1"/>
  <c r="A273" i="1"/>
  <c r="B273" i="1"/>
  <c r="AI273" i="1" s="1"/>
  <c r="C273" i="1"/>
  <c r="D273" i="1"/>
  <c r="E273" i="1"/>
  <c r="F273" i="1"/>
  <c r="G273" i="1"/>
  <c r="H273" i="1"/>
  <c r="I273" i="1"/>
  <c r="J273" i="1"/>
  <c r="K273" i="1"/>
  <c r="L273" i="1"/>
  <c r="Q273" i="1" s="1"/>
  <c r="N273" i="1"/>
  <c r="Z273" i="1"/>
  <c r="A274" i="1"/>
  <c r="B274" i="1"/>
  <c r="AI274" i="1" s="1"/>
  <c r="C274" i="1"/>
  <c r="D274" i="1"/>
  <c r="E274" i="1"/>
  <c r="F274" i="1"/>
  <c r="G274" i="1"/>
  <c r="H274" i="1"/>
  <c r="I274" i="1"/>
  <c r="J274" i="1"/>
  <c r="K274" i="1"/>
  <c r="L274" i="1"/>
  <c r="N274" i="1"/>
  <c r="Z274" i="1"/>
  <c r="A275" i="1"/>
  <c r="B275" i="1"/>
  <c r="AI275" i="1" s="1"/>
  <c r="C275" i="1"/>
  <c r="D275" i="1"/>
  <c r="E275" i="1"/>
  <c r="F275" i="1"/>
  <c r="G275" i="1"/>
  <c r="H275" i="1"/>
  <c r="I275" i="1"/>
  <c r="J275" i="1"/>
  <c r="K275" i="1"/>
  <c r="L275" i="1"/>
  <c r="N275" i="1"/>
  <c r="Z275" i="1"/>
  <c r="A276" i="1"/>
  <c r="B276" i="1"/>
  <c r="AI276" i="1" s="1"/>
  <c r="C276" i="1"/>
  <c r="D276" i="1"/>
  <c r="E276" i="1"/>
  <c r="F276" i="1"/>
  <c r="G276" i="1"/>
  <c r="H276" i="1"/>
  <c r="I276" i="1"/>
  <c r="J276" i="1"/>
  <c r="K276" i="1"/>
  <c r="L276" i="1"/>
  <c r="N276" i="1"/>
  <c r="Z276" i="1"/>
  <c r="A277" i="1"/>
  <c r="B277" i="1"/>
  <c r="AI277" i="1" s="1"/>
  <c r="C277" i="1"/>
  <c r="D277" i="1"/>
  <c r="E277" i="1"/>
  <c r="F277" i="1"/>
  <c r="G277" i="1"/>
  <c r="H277" i="1"/>
  <c r="I277" i="1"/>
  <c r="J277" i="1"/>
  <c r="K277" i="1"/>
  <c r="L277" i="1"/>
  <c r="N277" i="1"/>
  <c r="Z277" i="1"/>
  <c r="A278" i="1"/>
  <c r="B278" i="1"/>
  <c r="AI278" i="1" s="1"/>
  <c r="C278" i="1"/>
  <c r="D278" i="1"/>
  <c r="E278" i="1"/>
  <c r="F278" i="1"/>
  <c r="G278" i="1"/>
  <c r="H278" i="1"/>
  <c r="I278" i="1"/>
  <c r="J278" i="1"/>
  <c r="K278" i="1"/>
  <c r="L278" i="1"/>
  <c r="N278" i="1"/>
  <c r="Z278" i="1"/>
  <c r="A279" i="1"/>
  <c r="B279" i="1"/>
  <c r="AI279" i="1" s="1"/>
  <c r="C279" i="1"/>
  <c r="D279" i="1"/>
  <c r="E279" i="1"/>
  <c r="F279" i="1"/>
  <c r="G279" i="1"/>
  <c r="H279" i="1"/>
  <c r="I279" i="1"/>
  <c r="J279" i="1"/>
  <c r="K279" i="1"/>
  <c r="L279" i="1"/>
  <c r="N279" i="1"/>
  <c r="Z279" i="1"/>
  <c r="A280" i="1"/>
  <c r="B280" i="1"/>
  <c r="AI280" i="1" s="1"/>
  <c r="C280" i="1"/>
  <c r="D280" i="1"/>
  <c r="E280" i="1"/>
  <c r="F280" i="1"/>
  <c r="G280" i="1"/>
  <c r="H280" i="1"/>
  <c r="I280" i="1"/>
  <c r="J280" i="1"/>
  <c r="K280" i="1"/>
  <c r="L280" i="1"/>
  <c r="N280" i="1"/>
  <c r="Z280" i="1"/>
  <c r="A281" i="1"/>
  <c r="B281" i="1"/>
  <c r="AI281" i="1" s="1"/>
  <c r="C281" i="1"/>
  <c r="D281" i="1"/>
  <c r="E281" i="1"/>
  <c r="F281" i="1"/>
  <c r="G281" i="1"/>
  <c r="H281" i="1"/>
  <c r="I281" i="1"/>
  <c r="J281" i="1"/>
  <c r="K281" i="1"/>
  <c r="L281" i="1"/>
  <c r="N281" i="1"/>
  <c r="Z281" i="1"/>
  <c r="A282" i="1"/>
  <c r="B282" i="1"/>
  <c r="AI282" i="1" s="1"/>
  <c r="C282" i="1"/>
  <c r="D282" i="1"/>
  <c r="E282" i="1"/>
  <c r="F282" i="1"/>
  <c r="G282" i="1"/>
  <c r="H282" i="1"/>
  <c r="I282" i="1"/>
  <c r="J282" i="1"/>
  <c r="K282" i="1"/>
  <c r="L282" i="1"/>
  <c r="N282" i="1"/>
  <c r="Z282" i="1"/>
  <c r="A283" i="1"/>
  <c r="B283" i="1"/>
  <c r="AI283" i="1" s="1"/>
  <c r="C283" i="1"/>
  <c r="D283" i="1"/>
  <c r="E283" i="1"/>
  <c r="F283" i="1"/>
  <c r="G283" i="1"/>
  <c r="H283" i="1"/>
  <c r="I283" i="1"/>
  <c r="J283" i="1"/>
  <c r="K283" i="1"/>
  <c r="L283" i="1"/>
  <c r="Q283" i="1" s="1"/>
  <c r="N283" i="1"/>
  <c r="Z283" i="1"/>
  <c r="A284" i="1"/>
  <c r="B284" i="1"/>
  <c r="AI284" i="1" s="1"/>
  <c r="C284" i="1"/>
  <c r="D284" i="1"/>
  <c r="E284" i="1"/>
  <c r="F284" i="1"/>
  <c r="G284" i="1"/>
  <c r="H284" i="1"/>
  <c r="I284" i="1"/>
  <c r="J284" i="1"/>
  <c r="K284" i="1"/>
  <c r="L284" i="1"/>
  <c r="Q284" i="1" s="1"/>
  <c r="N284" i="1"/>
  <c r="Z284" i="1"/>
  <c r="A285" i="1"/>
  <c r="B285" i="1"/>
  <c r="AI285" i="1" s="1"/>
  <c r="C285" i="1"/>
  <c r="D285" i="1"/>
  <c r="E285" i="1"/>
  <c r="F285" i="1"/>
  <c r="G285" i="1"/>
  <c r="H285" i="1"/>
  <c r="I285" i="1"/>
  <c r="J285" i="1"/>
  <c r="K285" i="1"/>
  <c r="L285" i="1"/>
  <c r="N285" i="1"/>
  <c r="Z285" i="1"/>
  <c r="A286" i="1"/>
  <c r="B286" i="1"/>
  <c r="AI286" i="1" s="1"/>
  <c r="C286" i="1"/>
  <c r="D286" i="1"/>
  <c r="E286" i="1"/>
  <c r="F286" i="1"/>
  <c r="G286" i="1"/>
  <c r="H286" i="1"/>
  <c r="I286" i="1"/>
  <c r="J286" i="1"/>
  <c r="K286" i="1"/>
  <c r="L286" i="1"/>
  <c r="N286" i="1"/>
  <c r="Z286" i="1"/>
  <c r="A287" i="1"/>
  <c r="B287" i="1"/>
  <c r="AI287" i="1" s="1"/>
  <c r="C287" i="1"/>
  <c r="D287" i="1"/>
  <c r="E287" i="1"/>
  <c r="F287" i="1"/>
  <c r="G287" i="1"/>
  <c r="H287" i="1"/>
  <c r="I287" i="1"/>
  <c r="J287" i="1"/>
  <c r="K287" i="1"/>
  <c r="L287" i="1"/>
  <c r="N287" i="1"/>
  <c r="Z287" i="1"/>
  <c r="A288" i="1"/>
  <c r="B288" i="1"/>
  <c r="AI288" i="1" s="1"/>
  <c r="C288" i="1"/>
  <c r="D288" i="1"/>
  <c r="E288" i="1"/>
  <c r="F288" i="1"/>
  <c r="G288" i="1"/>
  <c r="H288" i="1"/>
  <c r="I288" i="1"/>
  <c r="J288" i="1"/>
  <c r="K288" i="1"/>
  <c r="L288" i="1"/>
  <c r="Q288" i="1" s="1"/>
  <c r="N288" i="1"/>
  <c r="Z288" i="1"/>
  <c r="A289" i="1"/>
  <c r="B289" i="1"/>
  <c r="AI289" i="1" s="1"/>
  <c r="C289" i="1"/>
  <c r="D289" i="1"/>
  <c r="E289" i="1"/>
  <c r="F289" i="1"/>
  <c r="G289" i="1"/>
  <c r="H289" i="1"/>
  <c r="I289" i="1"/>
  <c r="J289" i="1"/>
  <c r="K289" i="1"/>
  <c r="L289" i="1"/>
  <c r="N289" i="1"/>
  <c r="Z289" i="1"/>
  <c r="A290" i="1"/>
  <c r="B290" i="1"/>
  <c r="AI290" i="1" s="1"/>
  <c r="C290" i="1"/>
  <c r="D290" i="1"/>
  <c r="E290" i="1"/>
  <c r="F290" i="1"/>
  <c r="G290" i="1"/>
  <c r="H290" i="1"/>
  <c r="I290" i="1"/>
  <c r="J290" i="1"/>
  <c r="K290" i="1"/>
  <c r="L290" i="1"/>
  <c r="Q290" i="1" s="1"/>
  <c r="N290" i="1"/>
  <c r="Z290" i="1"/>
  <c r="A291" i="1"/>
  <c r="B291" i="1"/>
  <c r="AI291" i="1" s="1"/>
  <c r="C291" i="1"/>
  <c r="D291" i="1"/>
  <c r="E291" i="1"/>
  <c r="F291" i="1"/>
  <c r="G291" i="1"/>
  <c r="H291" i="1"/>
  <c r="I291" i="1"/>
  <c r="J291" i="1"/>
  <c r="K291" i="1"/>
  <c r="L291" i="1"/>
  <c r="Q291" i="1" s="1"/>
  <c r="N291" i="1"/>
  <c r="Z291" i="1"/>
  <c r="A292" i="1"/>
  <c r="B292" i="1"/>
  <c r="AI292" i="1" s="1"/>
  <c r="C292" i="1"/>
  <c r="D292" i="1"/>
  <c r="E292" i="1"/>
  <c r="F292" i="1"/>
  <c r="G292" i="1"/>
  <c r="H292" i="1"/>
  <c r="I292" i="1"/>
  <c r="J292" i="1"/>
  <c r="K292" i="1"/>
  <c r="L292" i="1"/>
  <c r="Q292" i="1" s="1"/>
  <c r="N292" i="1"/>
  <c r="Z292" i="1"/>
  <c r="A293" i="1"/>
  <c r="B293" i="1"/>
  <c r="AI293" i="1" s="1"/>
  <c r="C293" i="1"/>
  <c r="D293" i="1"/>
  <c r="E293" i="1"/>
  <c r="F293" i="1"/>
  <c r="G293" i="1"/>
  <c r="H293" i="1"/>
  <c r="I293" i="1"/>
  <c r="J293" i="1"/>
  <c r="K293" i="1"/>
  <c r="L293" i="1"/>
  <c r="Q293" i="1" s="1"/>
  <c r="N293" i="1"/>
  <c r="Z293" i="1"/>
  <c r="A294" i="1"/>
  <c r="B294" i="1"/>
  <c r="AI294" i="1" s="1"/>
  <c r="C294" i="1"/>
  <c r="D294" i="1"/>
  <c r="E294" i="1"/>
  <c r="F294" i="1"/>
  <c r="G294" i="1"/>
  <c r="H294" i="1"/>
  <c r="I294" i="1"/>
  <c r="J294" i="1"/>
  <c r="K294" i="1"/>
  <c r="L294" i="1"/>
  <c r="N294" i="1"/>
  <c r="Z294" i="1"/>
  <c r="A295" i="1"/>
  <c r="B295" i="1"/>
  <c r="AI295" i="1" s="1"/>
  <c r="C295" i="1"/>
  <c r="D295" i="1"/>
  <c r="E295" i="1"/>
  <c r="F295" i="1"/>
  <c r="G295" i="1"/>
  <c r="H295" i="1"/>
  <c r="I295" i="1"/>
  <c r="J295" i="1"/>
  <c r="K295" i="1"/>
  <c r="L295" i="1"/>
  <c r="Q295" i="1" s="1"/>
  <c r="N295" i="1"/>
  <c r="Z295" i="1"/>
  <c r="A296" i="1"/>
  <c r="B296" i="1"/>
  <c r="AI296" i="1" s="1"/>
  <c r="C296" i="1"/>
  <c r="D296" i="1"/>
  <c r="E296" i="1"/>
  <c r="F296" i="1"/>
  <c r="G296" i="1"/>
  <c r="H296" i="1"/>
  <c r="I296" i="1"/>
  <c r="J296" i="1"/>
  <c r="K296" i="1"/>
  <c r="L296" i="1"/>
  <c r="N296" i="1"/>
  <c r="Z296" i="1"/>
  <c r="A297" i="1"/>
  <c r="B297" i="1"/>
  <c r="AI297" i="1" s="1"/>
  <c r="C297" i="1"/>
  <c r="D297" i="1"/>
  <c r="E297" i="1"/>
  <c r="F297" i="1"/>
  <c r="G297" i="1"/>
  <c r="H297" i="1"/>
  <c r="I297" i="1"/>
  <c r="J297" i="1"/>
  <c r="K297" i="1"/>
  <c r="L297" i="1"/>
  <c r="N297" i="1"/>
  <c r="Z297" i="1"/>
  <c r="A298" i="1"/>
  <c r="B298" i="1"/>
  <c r="AI298" i="1" s="1"/>
  <c r="C298" i="1"/>
  <c r="D298" i="1"/>
  <c r="E298" i="1"/>
  <c r="F298" i="1"/>
  <c r="G298" i="1"/>
  <c r="H298" i="1"/>
  <c r="I298" i="1"/>
  <c r="J298" i="1"/>
  <c r="K298" i="1"/>
  <c r="L298" i="1"/>
  <c r="Q298" i="1" s="1"/>
  <c r="N298" i="1"/>
  <c r="Z298" i="1"/>
  <c r="A299" i="1"/>
  <c r="B299" i="1"/>
  <c r="AI299" i="1" s="1"/>
  <c r="C299" i="1"/>
  <c r="D299" i="1"/>
  <c r="E299" i="1"/>
  <c r="F299" i="1"/>
  <c r="G299" i="1"/>
  <c r="H299" i="1"/>
  <c r="I299" i="1"/>
  <c r="J299" i="1"/>
  <c r="K299" i="1"/>
  <c r="L299" i="1"/>
  <c r="N299" i="1"/>
  <c r="Z299" i="1"/>
  <c r="A300" i="1"/>
  <c r="B300" i="1"/>
  <c r="AI300" i="1" s="1"/>
  <c r="C300" i="1"/>
  <c r="D300" i="1"/>
  <c r="E300" i="1"/>
  <c r="F300" i="1"/>
  <c r="G300" i="1"/>
  <c r="H300" i="1"/>
  <c r="I300" i="1"/>
  <c r="J300" i="1"/>
  <c r="K300" i="1"/>
  <c r="L300" i="1"/>
  <c r="N300" i="1"/>
  <c r="Z300" i="1"/>
  <c r="A301" i="1"/>
  <c r="B301" i="1"/>
  <c r="AI301" i="1" s="1"/>
  <c r="C301" i="1"/>
  <c r="D301" i="1"/>
  <c r="E301" i="1"/>
  <c r="F301" i="1"/>
  <c r="G301" i="1"/>
  <c r="H301" i="1"/>
  <c r="I301" i="1"/>
  <c r="J301" i="1"/>
  <c r="K301" i="1"/>
  <c r="L301" i="1"/>
  <c r="N301" i="1"/>
  <c r="Z301" i="1"/>
  <c r="A302" i="1"/>
  <c r="B302" i="1"/>
  <c r="AI302" i="1" s="1"/>
  <c r="C302" i="1"/>
  <c r="D302" i="1"/>
  <c r="E302" i="1"/>
  <c r="F302" i="1"/>
  <c r="G302" i="1"/>
  <c r="H302" i="1"/>
  <c r="I302" i="1"/>
  <c r="J302" i="1"/>
  <c r="K302" i="1"/>
  <c r="L302" i="1"/>
  <c r="Z302" i="1"/>
  <c r="A303" i="1"/>
  <c r="B303" i="1"/>
  <c r="AI303" i="1" s="1"/>
  <c r="C303" i="1"/>
  <c r="D303" i="1"/>
  <c r="E303" i="1"/>
  <c r="F303" i="1"/>
  <c r="G303" i="1"/>
  <c r="H303" i="1"/>
  <c r="I303" i="1"/>
  <c r="J303" i="1"/>
  <c r="K303" i="1"/>
  <c r="L303" i="1"/>
  <c r="N303" i="1"/>
  <c r="Z303" i="1"/>
  <c r="A304" i="1"/>
  <c r="B304" i="1"/>
  <c r="AI304" i="1" s="1"/>
  <c r="C304" i="1"/>
  <c r="D304" i="1"/>
  <c r="E304" i="1"/>
  <c r="F304" i="1"/>
  <c r="G304" i="1"/>
  <c r="H304" i="1"/>
  <c r="I304" i="1"/>
  <c r="J304" i="1"/>
  <c r="K304" i="1"/>
  <c r="L304" i="1"/>
  <c r="Q304" i="1" s="1"/>
  <c r="N304" i="1"/>
  <c r="Z304" i="1"/>
  <c r="A305" i="1"/>
  <c r="B305" i="1"/>
  <c r="AI305" i="1" s="1"/>
  <c r="C305" i="1"/>
  <c r="D305" i="1"/>
  <c r="E305" i="1"/>
  <c r="F305" i="1"/>
  <c r="G305" i="1"/>
  <c r="H305" i="1"/>
  <c r="I305" i="1"/>
  <c r="J305" i="1"/>
  <c r="K305" i="1"/>
  <c r="L305" i="1"/>
  <c r="Q305" i="1" s="1"/>
  <c r="Z305" i="1"/>
  <c r="A306" i="1"/>
  <c r="B306" i="1"/>
  <c r="AI306" i="1" s="1"/>
  <c r="C306" i="1"/>
  <c r="D306" i="1"/>
  <c r="E306" i="1"/>
  <c r="F306" i="1"/>
  <c r="G306" i="1"/>
  <c r="H306" i="1"/>
  <c r="I306" i="1"/>
  <c r="J306" i="1"/>
  <c r="K306" i="1"/>
  <c r="L306" i="1"/>
  <c r="Q306" i="1" s="1"/>
  <c r="N306" i="1"/>
  <c r="Z306" i="1"/>
  <c r="A307" i="1"/>
  <c r="B307" i="1"/>
  <c r="AI307" i="1" s="1"/>
  <c r="C307" i="1"/>
  <c r="D307" i="1"/>
  <c r="E307" i="1"/>
  <c r="F307" i="1"/>
  <c r="G307" i="1"/>
  <c r="H307" i="1"/>
  <c r="I307" i="1"/>
  <c r="J307" i="1"/>
  <c r="K307" i="1"/>
  <c r="L307" i="1"/>
  <c r="N307" i="1"/>
  <c r="Z307" i="1"/>
  <c r="A308" i="1"/>
  <c r="B308" i="1"/>
  <c r="AI308" i="1" s="1"/>
  <c r="C308" i="1"/>
  <c r="D308" i="1"/>
  <c r="E308" i="1"/>
  <c r="F308" i="1"/>
  <c r="G308" i="1"/>
  <c r="H308" i="1"/>
  <c r="I308" i="1"/>
  <c r="J308" i="1"/>
  <c r="K308" i="1"/>
  <c r="L308" i="1"/>
  <c r="Q308" i="1" s="1"/>
  <c r="N308" i="1"/>
  <c r="Z308" i="1"/>
  <c r="A309" i="1"/>
  <c r="B309" i="1"/>
  <c r="AI309" i="1" s="1"/>
  <c r="C309" i="1"/>
  <c r="D309" i="1"/>
  <c r="E309" i="1"/>
  <c r="F309" i="1"/>
  <c r="G309" i="1"/>
  <c r="H309" i="1"/>
  <c r="I309" i="1"/>
  <c r="J309" i="1"/>
  <c r="K309" i="1"/>
  <c r="L309" i="1"/>
  <c r="Q309" i="1" s="1"/>
  <c r="N309" i="1"/>
  <c r="Z309" i="1"/>
  <c r="A310" i="1"/>
  <c r="B310" i="1"/>
  <c r="AI310" i="1" s="1"/>
  <c r="C310" i="1"/>
  <c r="D310" i="1"/>
  <c r="E310" i="1"/>
  <c r="F310" i="1"/>
  <c r="G310" i="1"/>
  <c r="H310" i="1"/>
  <c r="I310" i="1"/>
  <c r="J310" i="1"/>
  <c r="K310" i="1"/>
  <c r="L310" i="1"/>
  <c r="Q310" i="1" s="1"/>
  <c r="N310" i="1"/>
  <c r="Z310" i="1"/>
  <c r="A311" i="1"/>
  <c r="B311" i="1"/>
  <c r="AI311" i="1" s="1"/>
  <c r="C311" i="1"/>
  <c r="D311" i="1"/>
  <c r="E311" i="1"/>
  <c r="F311" i="1"/>
  <c r="G311" i="1"/>
  <c r="H311" i="1"/>
  <c r="I311" i="1"/>
  <c r="J311" i="1"/>
  <c r="K311" i="1"/>
  <c r="L311" i="1"/>
  <c r="Q311" i="1" s="1"/>
  <c r="N311" i="1"/>
  <c r="Z311" i="1"/>
  <c r="A312" i="1"/>
  <c r="B312" i="1"/>
  <c r="AI312" i="1" s="1"/>
  <c r="C312" i="1"/>
  <c r="D312" i="1"/>
  <c r="E312" i="1"/>
  <c r="F312" i="1"/>
  <c r="G312" i="1"/>
  <c r="H312" i="1"/>
  <c r="I312" i="1"/>
  <c r="J312" i="1"/>
  <c r="K312" i="1"/>
  <c r="L312" i="1"/>
  <c r="N312" i="1"/>
  <c r="Z312" i="1"/>
  <c r="A313" i="1"/>
  <c r="B313" i="1"/>
  <c r="AI313" i="1" s="1"/>
  <c r="C313" i="1"/>
  <c r="D313" i="1"/>
  <c r="E313" i="1"/>
  <c r="F313" i="1"/>
  <c r="G313" i="1"/>
  <c r="H313" i="1"/>
  <c r="I313" i="1"/>
  <c r="J313" i="1"/>
  <c r="K313" i="1"/>
  <c r="L313" i="1"/>
  <c r="N313" i="1"/>
  <c r="Z313" i="1"/>
  <c r="A314" i="1"/>
  <c r="B314" i="1"/>
  <c r="AI314" i="1" s="1"/>
  <c r="C314" i="1"/>
  <c r="D314" i="1"/>
  <c r="E314" i="1"/>
  <c r="F314" i="1"/>
  <c r="G314" i="1"/>
  <c r="H314" i="1"/>
  <c r="I314" i="1"/>
  <c r="J314" i="1"/>
  <c r="K314" i="1"/>
  <c r="L314" i="1"/>
  <c r="N314" i="1"/>
  <c r="Z314" i="1"/>
  <c r="A315" i="1"/>
  <c r="B315" i="1"/>
  <c r="AI315" i="1" s="1"/>
  <c r="C315" i="1"/>
  <c r="D315" i="1"/>
  <c r="E315" i="1"/>
  <c r="F315" i="1"/>
  <c r="G315" i="1"/>
  <c r="H315" i="1"/>
  <c r="I315" i="1"/>
  <c r="J315" i="1"/>
  <c r="K315" i="1"/>
  <c r="L315" i="1"/>
  <c r="N315" i="1"/>
  <c r="Z315" i="1"/>
  <c r="A316" i="1"/>
  <c r="B316" i="1"/>
  <c r="AI316" i="1" s="1"/>
  <c r="C316" i="1"/>
  <c r="D316" i="1"/>
  <c r="E316" i="1"/>
  <c r="F316" i="1"/>
  <c r="G316" i="1"/>
  <c r="H316" i="1"/>
  <c r="I316" i="1"/>
  <c r="J316" i="1"/>
  <c r="K316" i="1"/>
  <c r="L316" i="1"/>
  <c r="Q316" i="1" s="1"/>
  <c r="N316" i="1"/>
  <c r="Z316" i="1"/>
  <c r="A317" i="1"/>
  <c r="B317" i="1"/>
  <c r="AI317" i="1" s="1"/>
  <c r="C317" i="1"/>
  <c r="D317" i="1"/>
  <c r="E317" i="1"/>
  <c r="F317" i="1"/>
  <c r="G317" i="1"/>
  <c r="H317" i="1"/>
  <c r="I317" i="1"/>
  <c r="J317" i="1"/>
  <c r="K317" i="1"/>
  <c r="L317" i="1"/>
  <c r="N317" i="1"/>
  <c r="Z317" i="1"/>
  <c r="A318" i="1"/>
  <c r="B318" i="1"/>
  <c r="AI318" i="1" s="1"/>
  <c r="C318" i="1"/>
  <c r="D318" i="1"/>
  <c r="E318" i="1"/>
  <c r="F318" i="1"/>
  <c r="G318" i="1"/>
  <c r="H318" i="1"/>
  <c r="I318" i="1"/>
  <c r="J318" i="1"/>
  <c r="K318" i="1"/>
  <c r="L318" i="1"/>
  <c r="N318" i="1"/>
  <c r="Z318" i="1"/>
  <c r="A319" i="1"/>
  <c r="B319" i="1"/>
  <c r="AI319" i="1" s="1"/>
  <c r="C319" i="1"/>
  <c r="D319" i="1"/>
  <c r="E319" i="1"/>
  <c r="F319" i="1"/>
  <c r="G319" i="1"/>
  <c r="H319" i="1"/>
  <c r="I319" i="1"/>
  <c r="J319" i="1"/>
  <c r="K319" i="1"/>
  <c r="L319" i="1"/>
  <c r="Q319" i="1" s="1"/>
  <c r="N319" i="1"/>
  <c r="Z319" i="1"/>
  <c r="A320" i="1"/>
  <c r="B320" i="1"/>
  <c r="AI320" i="1" s="1"/>
  <c r="C320" i="1"/>
  <c r="D320" i="1"/>
  <c r="E320" i="1"/>
  <c r="F320" i="1"/>
  <c r="G320" i="1"/>
  <c r="H320" i="1"/>
  <c r="I320" i="1"/>
  <c r="J320" i="1"/>
  <c r="K320" i="1"/>
  <c r="L320" i="1"/>
  <c r="N320" i="1"/>
  <c r="Z320" i="1"/>
  <c r="A321" i="1"/>
  <c r="B321" i="1"/>
  <c r="AI321" i="1" s="1"/>
  <c r="C321" i="1"/>
  <c r="D321" i="1"/>
  <c r="E321" i="1"/>
  <c r="F321" i="1"/>
  <c r="G321" i="1"/>
  <c r="H321" i="1"/>
  <c r="I321" i="1"/>
  <c r="J321" i="1"/>
  <c r="K321" i="1"/>
  <c r="L321" i="1"/>
  <c r="Z321" i="1"/>
  <c r="A322" i="1"/>
  <c r="B322" i="1"/>
  <c r="AI322" i="1" s="1"/>
  <c r="C322" i="1"/>
  <c r="D322" i="1"/>
  <c r="E322" i="1"/>
  <c r="F322" i="1"/>
  <c r="G322" i="1"/>
  <c r="H322" i="1"/>
  <c r="I322" i="1"/>
  <c r="J322" i="1"/>
  <c r="K322" i="1"/>
  <c r="L322" i="1"/>
  <c r="N322" i="1"/>
  <c r="Z322" i="1"/>
  <c r="A323" i="1"/>
  <c r="B323" i="1"/>
  <c r="AI323" i="1" s="1"/>
  <c r="C323" i="1"/>
  <c r="D323" i="1"/>
  <c r="E323" i="1"/>
  <c r="F323" i="1"/>
  <c r="G323" i="1"/>
  <c r="H323" i="1"/>
  <c r="I323" i="1"/>
  <c r="J323" i="1"/>
  <c r="K323" i="1"/>
  <c r="L323" i="1"/>
  <c r="N323" i="1"/>
  <c r="Z323" i="1"/>
  <c r="A324" i="1"/>
  <c r="B324" i="1"/>
  <c r="AI324" i="1" s="1"/>
  <c r="C324" i="1"/>
  <c r="D324" i="1"/>
  <c r="E324" i="1"/>
  <c r="F324" i="1"/>
  <c r="G324" i="1"/>
  <c r="H324" i="1"/>
  <c r="I324" i="1"/>
  <c r="J324" i="1"/>
  <c r="K324" i="1"/>
  <c r="L324" i="1"/>
  <c r="N324" i="1"/>
  <c r="Z324" i="1"/>
  <c r="A325" i="1"/>
  <c r="B325" i="1"/>
  <c r="AI325" i="1" s="1"/>
  <c r="C325" i="1"/>
  <c r="D325" i="1"/>
  <c r="E325" i="1"/>
  <c r="F325" i="1"/>
  <c r="G325" i="1"/>
  <c r="H325" i="1"/>
  <c r="I325" i="1"/>
  <c r="J325" i="1"/>
  <c r="K325" i="1"/>
  <c r="L325" i="1"/>
  <c r="N325" i="1"/>
  <c r="Z325" i="1"/>
  <c r="A326" i="1"/>
  <c r="B326" i="1"/>
  <c r="AI326" i="1" s="1"/>
  <c r="C326" i="1"/>
  <c r="D326" i="1"/>
  <c r="E326" i="1"/>
  <c r="F326" i="1"/>
  <c r="G326" i="1"/>
  <c r="H326" i="1"/>
  <c r="I326" i="1"/>
  <c r="J326" i="1"/>
  <c r="K326" i="1"/>
  <c r="L326" i="1"/>
  <c r="N326" i="1"/>
  <c r="Z326" i="1"/>
  <c r="A327" i="1"/>
  <c r="B327" i="1"/>
  <c r="AI327" i="1" s="1"/>
  <c r="C327" i="1"/>
  <c r="D327" i="1"/>
  <c r="E327" i="1"/>
  <c r="F327" i="1"/>
  <c r="G327" i="1"/>
  <c r="H327" i="1"/>
  <c r="I327" i="1"/>
  <c r="J327" i="1"/>
  <c r="K327" i="1"/>
  <c r="L327" i="1"/>
  <c r="N327" i="1"/>
  <c r="Z327" i="1"/>
  <c r="A328" i="1"/>
  <c r="B328" i="1"/>
  <c r="AI328" i="1" s="1"/>
  <c r="C328" i="1"/>
  <c r="D328" i="1"/>
  <c r="E328" i="1"/>
  <c r="F328" i="1"/>
  <c r="G328" i="1"/>
  <c r="H328" i="1"/>
  <c r="I328" i="1"/>
  <c r="J328" i="1"/>
  <c r="K328" i="1"/>
  <c r="L328" i="1"/>
  <c r="N328" i="1"/>
  <c r="Z328" i="1"/>
  <c r="A329" i="1"/>
  <c r="B329" i="1"/>
  <c r="AI329" i="1" s="1"/>
  <c r="C329" i="1"/>
  <c r="D329" i="1"/>
  <c r="E329" i="1"/>
  <c r="F329" i="1"/>
  <c r="G329" i="1"/>
  <c r="H329" i="1"/>
  <c r="I329" i="1"/>
  <c r="J329" i="1"/>
  <c r="K329" i="1"/>
  <c r="L329" i="1"/>
  <c r="N329" i="1"/>
  <c r="Z329" i="1"/>
  <c r="A330" i="1"/>
  <c r="B330" i="1"/>
  <c r="AI330" i="1" s="1"/>
  <c r="C330" i="1"/>
  <c r="D330" i="1"/>
  <c r="E330" i="1"/>
  <c r="F330" i="1"/>
  <c r="G330" i="1"/>
  <c r="H330" i="1"/>
  <c r="I330" i="1"/>
  <c r="J330" i="1"/>
  <c r="K330" i="1"/>
  <c r="L330" i="1"/>
  <c r="N330" i="1"/>
  <c r="Z330" i="1"/>
  <c r="A331" i="1"/>
  <c r="B331" i="1"/>
  <c r="AI331" i="1" s="1"/>
  <c r="C331" i="1"/>
  <c r="D331" i="1"/>
  <c r="E331" i="1"/>
  <c r="F331" i="1"/>
  <c r="G331" i="1"/>
  <c r="H331" i="1"/>
  <c r="I331" i="1"/>
  <c r="J331" i="1"/>
  <c r="K331" i="1"/>
  <c r="L331" i="1"/>
  <c r="Q331" i="1" s="1"/>
  <c r="N331" i="1"/>
  <c r="Z331" i="1"/>
  <c r="A332" i="1"/>
  <c r="B332" i="1"/>
  <c r="AI332" i="1" s="1"/>
  <c r="C332" i="1"/>
  <c r="D332" i="1"/>
  <c r="E332" i="1"/>
  <c r="F332" i="1"/>
  <c r="G332" i="1"/>
  <c r="H332" i="1"/>
  <c r="I332" i="1"/>
  <c r="J332" i="1"/>
  <c r="K332" i="1"/>
  <c r="L332" i="1"/>
  <c r="Q332" i="1" s="1"/>
  <c r="N332" i="1"/>
  <c r="Z332" i="1"/>
  <c r="A333" i="1"/>
  <c r="B333" i="1"/>
  <c r="AI333" i="1" s="1"/>
  <c r="C333" i="1"/>
  <c r="D333" i="1"/>
  <c r="E333" i="1"/>
  <c r="F333" i="1"/>
  <c r="G333" i="1"/>
  <c r="H333" i="1"/>
  <c r="I333" i="1"/>
  <c r="J333" i="1"/>
  <c r="K333" i="1"/>
  <c r="L333" i="1"/>
  <c r="N333" i="1"/>
  <c r="Z333" i="1"/>
  <c r="A334" i="1"/>
  <c r="B334" i="1"/>
  <c r="AI334" i="1" s="1"/>
  <c r="C334" i="1"/>
  <c r="D334" i="1"/>
  <c r="E334" i="1"/>
  <c r="F334" i="1"/>
  <c r="G334" i="1"/>
  <c r="H334" i="1"/>
  <c r="I334" i="1"/>
  <c r="J334" i="1"/>
  <c r="K334" i="1"/>
  <c r="L334" i="1"/>
  <c r="Q334" i="1" s="1"/>
  <c r="N334" i="1"/>
  <c r="Z334" i="1"/>
  <c r="A335" i="1"/>
  <c r="B335" i="1"/>
  <c r="AI335" i="1" s="1"/>
  <c r="C335" i="1"/>
  <c r="D335" i="1"/>
  <c r="E335" i="1"/>
  <c r="F335" i="1"/>
  <c r="G335" i="1"/>
  <c r="H335" i="1"/>
  <c r="I335" i="1"/>
  <c r="J335" i="1"/>
  <c r="K335" i="1"/>
  <c r="L335" i="1"/>
  <c r="Q335" i="1" s="1"/>
  <c r="N335" i="1"/>
  <c r="Z335" i="1"/>
  <c r="A336" i="1"/>
  <c r="B336" i="1"/>
  <c r="AI336" i="1" s="1"/>
  <c r="C336" i="1"/>
  <c r="D336" i="1"/>
  <c r="E336" i="1"/>
  <c r="F336" i="1"/>
  <c r="G336" i="1"/>
  <c r="H336" i="1"/>
  <c r="I336" i="1"/>
  <c r="J336" i="1"/>
  <c r="K336" i="1"/>
  <c r="L336" i="1"/>
  <c r="Q336" i="1" s="1"/>
  <c r="N336" i="1"/>
  <c r="Z336" i="1"/>
  <c r="A337" i="1"/>
  <c r="B337" i="1"/>
  <c r="AI337" i="1" s="1"/>
  <c r="C337" i="1"/>
  <c r="D337" i="1"/>
  <c r="E337" i="1"/>
  <c r="F337" i="1"/>
  <c r="G337" i="1"/>
  <c r="H337" i="1"/>
  <c r="I337" i="1"/>
  <c r="J337" i="1"/>
  <c r="K337" i="1"/>
  <c r="L337" i="1"/>
  <c r="Z337" i="1"/>
  <c r="A338" i="1"/>
  <c r="B338" i="1"/>
  <c r="AI338" i="1" s="1"/>
  <c r="C338" i="1"/>
  <c r="D338" i="1"/>
  <c r="E338" i="1"/>
  <c r="F338" i="1"/>
  <c r="G338" i="1"/>
  <c r="H338" i="1"/>
  <c r="I338" i="1"/>
  <c r="J338" i="1"/>
  <c r="K338" i="1"/>
  <c r="L338" i="1"/>
  <c r="Q338" i="1" s="1"/>
  <c r="N338" i="1"/>
  <c r="Z338" i="1"/>
  <c r="A339" i="1"/>
  <c r="B339" i="1"/>
  <c r="AI339" i="1" s="1"/>
  <c r="C339" i="1"/>
  <c r="D339" i="1"/>
  <c r="E339" i="1"/>
  <c r="F339" i="1"/>
  <c r="G339" i="1"/>
  <c r="H339" i="1"/>
  <c r="I339" i="1"/>
  <c r="J339" i="1"/>
  <c r="K339" i="1"/>
  <c r="L339" i="1"/>
  <c r="N339" i="1"/>
  <c r="Z339" i="1"/>
  <c r="A340" i="1"/>
  <c r="B340" i="1"/>
  <c r="AI340" i="1" s="1"/>
  <c r="C340" i="1"/>
  <c r="D340" i="1"/>
  <c r="E340" i="1"/>
  <c r="F340" i="1"/>
  <c r="G340" i="1"/>
  <c r="H340" i="1"/>
  <c r="I340" i="1"/>
  <c r="J340" i="1"/>
  <c r="K340" i="1"/>
  <c r="L340" i="1"/>
  <c r="N340" i="1"/>
  <c r="Z340" i="1"/>
  <c r="A341" i="1"/>
  <c r="B341" i="1"/>
  <c r="AI341" i="1" s="1"/>
  <c r="C341" i="1"/>
  <c r="D341" i="1"/>
  <c r="E341" i="1"/>
  <c r="F341" i="1"/>
  <c r="G341" i="1"/>
  <c r="H341" i="1"/>
  <c r="I341" i="1"/>
  <c r="J341" i="1"/>
  <c r="K341" i="1"/>
  <c r="L341" i="1"/>
  <c r="Q341" i="1" s="1"/>
  <c r="N341" i="1"/>
  <c r="Z341" i="1"/>
  <c r="A342" i="1"/>
  <c r="B342" i="1"/>
  <c r="AI342" i="1" s="1"/>
  <c r="C342" i="1"/>
  <c r="D342" i="1"/>
  <c r="E342" i="1"/>
  <c r="F342" i="1"/>
  <c r="G342" i="1"/>
  <c r="H342" i="1"/>
  <c r="I342" i="1"/>
  <c r="J342" i="1"/>
  <c r="K342" i="1"/>
  <c r="L342" i="1"/>
  <c r="Q342" i="1" s="1"/>
  <c r="Z342" i="1"/>
  <c r="A343" i="1"/>
  <c r="B343" i="1"/>
  <c r="AI343" i="1" s="1"/>
  <c r="C343" i="1"/>
  <c r="D343" i="1"/>
  <c r="E343" i="1"/>
  <c r="F343" i="1"/>
  <c r="G343" i="1"/>
  <c r="H343" i="1"/>
  <c r="I343" i="1"/>
  <c r="J343" i="1"/>
  <c r="K343" i="1"/>
  <c r="L343" i="1"/>
  <c r="Q343" i="1" s="1"/>
  <c r="N343" i="1"/>
  <c r="Z343" i="1"/>
  <c r="A344" i="1"/>
  <c r="B344" i="1"/>
  <c r="AI344" i="1" s="1"/>
  <c r="C344" i="1"/>
  <c r="D344" i="1"/>
  <c r="E344" i="1"/>
  <c r="F344" i="1"/>
  <c r="G344" i="1"/>
  <c r="H344" i="1"/>
  <c r="I344" i="1"/>
  <c r="J344" i="1"/>
  <c r="K344" i="1"/>
  <c r="L344" i="1"/>
  <c r="N344" i="1"/>
  <c r="Z344" i="1"/>
  <c r="A345" i="1"/>
  <c r="B345" i="1"/>
  <c r="AI345" i="1" s="1"/>
  <c r="C345" i="1"/>
  <c r="D345" i="1"/>
  <c r="E345" i="1"/>
  <c r="F345" i="1"/>
  <c r="G345" i="1"/>
  <c r="H345" i="1"/>
  <c r="I345" i="1"/>
  <c r="J345" i="1"/>
  <c r="K345" i="1"/>
  <c r="L345" i="1"/>
  <c r="Q345" i="1" s="1"/>
  <c r="N345" i="1"/>
  <c r="Z345" i="1"/>
  <c r="A346" i="1"/>
  <c r="B346" i="1"/>
  <c r="AI346" i="1" s="1"/>
  <c r="C346" i="1"/>
  <c r="D346" i="1"/>
  <c r="E346" i="1"/>
  <c r="F346" i="1"/>
  <c r="G346" i="1"/>
  <c r="H346" i="1"/>
  <c r="I346" i="1"/>
  <c r="J346" i="1"/>
  <c r="K346" i="1"/>
  <c r="L346" i="1"/>
  <c r="N346" i="1"/>
  <c r="Z346" i="1"/>
  <c r="A347" i="1"/>
  <c r="B347" i="1"/>
  <c r="AI347" i="1" s="1"/>
  <c r="C347" i="1"/>
  <c r="D347" i="1"/>
  <c r="E347" i="1"/>
  <c r="F347" i="1"/>
  <c r="G347" i="1"/>
  <c r="H347" i="1"/>
  <c r="I347" i="1"/>
  <c r="J347" i="1"/>
  <c r="K347" i="1"/>
  <c r="L347" i="1"/>
  <c r="N347" i="1"/>
  <c r="Z347" i="1"/>
  <c r="A348" i="1"/>
  <c r="B348" i="1"/>
  <c r="AI348" i="1" s="1"/>
  <c r="C348" i="1"/>
  <c r="D348" i="1"/>
  <c r="E348" i="1"/>
  <c r="F348" i="1"/>
  <c r="G348" i="1"/>
  <c r="H348" i="1"/>
  <c r="I348" i="1"/>
  <c r="J348" i="1"/>
  <c r="K348" i="1"/>
  <c r="L348" i="1"/>
  <c r="Q348" i="1" s="1"/>
  <c r="N348" i="1"/>
  <c r="Z348" i="1"/>
  <c r="A349" i="1"/>
  <c r="B349" i="1"/>
  <c r="AI349" i="1" s="1"/>
  <c r="C349" i="1"/>
  <c r="D349" i="1"/>
  <c r="E349" i="1"/>
  <c r="F349" i="1"/>
  <c r="G349" i="1"/>
  <c r="H349" i="1"/>
  <c r="I349" i="1"/>
  <c r="J349" i="1"/>
  <c r="K349" i="1"/>
  <c r="L349" i="1"/>
  <c r="N349" i="1"/>
  <c r="Z349" i="1"/>
  <c r="A350" i="1"/>
  <c r="B350" i="1"/>
  <c r="AI350" i="1" s="1"/>
  <c r="C350" i="1"/>
  <c r="D350" i="1"/>
  <c r="E350" i="1"/>
  <c r="F350" i="1"/>
  <c r="G350" i="1"/>
  <c r="H350" i="1"/>
  <c r="I350" i="1"/>
  <c r="J350" i="1"/>
  <c r="K350" i="1"/>
  <c r="L350" i="1"/>
  <c r="N350" i="1"/>
  <c r="Z350" i="1"/>
  <c r="A351" i="1"/>
  <c r="B351" i="1"/>
  <c r="AI351" i="1" s="1"/>
  <c r="C351" i="1"/>
  <c r="D351" i="1"/>
  <c r="E351" i="1"/>
  <c r="F351" i="1"/>
  <c r="G351" i="1"/>
  <c r="H351" i="1"/>
  <c r="I351" i="1"/>
  <c r="J351" i="1"/>
  <c r="K351" i="1"/>
  <c r="L351" i="1"/>
  <c r="N351" i="1"/>
  <c r="Z351" i="1"/>
  <c r="A352" i="1"/>
  <c r="B352" i="1"/>
  <c r="AI352" i="1" s="1"/>
  <c r="C352" i="1"/>
  <c r="D352" i="1"/>
  <c r="E352" i="1"/>
  <c r="F352" i="1"/>
  <c r="G352" i="1"/>
  <c r="H352" i="1"/>
  <c r="I352" i="1"/>
  <c r="J352" i="1"/>
  <c r="K352" i="1"/>
  <c r="L352" i="1"/>
  <c r="N352" i="1"/>
  <c r="Z352" i="1"/>
  <c r="A353" i="1"/>
  <c r="B353" i="1"/>
  <c r="AI353" i="1" s="1"/>
  <c r="C353" i="1"/>
  <c r="D353" i="1"/>
  <c r="E353" i="1"/>
  <c r="F353" i="1"/>
  <c r="G353" i="1"/>
  <c r="H353" i="1"/>
  <c r="I353" i="1"/>
  <c r="J353" i="1"/>
  <c r="K353" i="1"/>
  <c r="L353" i="1"/>
  <c r="N353" i="1"/>
  <c r="Z353" i="1"/>
  <c r="A354" i="1"/>
  <c r="B354" i="1"/>
  <c r="AI354" i="1" s="1"/>
  <c r="C354" i="1"/>
  <c r="D354" i="1"/>
  <c r="E354" i="1"/>
  <c r="F354" i="1"/>
  <c r="G354" i="1"/>
  <c r="H354" i="1"/>
  <c r="I354" i="1"/>
  <c r="J354" i="1"/>
  <c r="K354" i="1"/>
  <c r="L354" i="1"/>
  <c r="Q354" i="1" s="1"/>
  <c r="N354" i="1"/>
  <c r="Z354" i="1"/>
  <c r="A355" i="1"/>
  <c r="B355" i="1"/>
  <c r="AI355" i="1" s="1"/>
  <c r="C355" i="1"/>
  <c r="D355" i="1"/>
  <c r="E355" i="1"/>
  <c r="F355" i="1"/>
  <c r="G355" i="1"/>
  <c r="H355" i="1"/>
  <c r="I355" i="1"/>
  <c r="J355" i="1"/>
  <c r="K355" i="1"/>
  <c r="L355" i="1"/>
  <c r="Q355" i="1" s="1"/>
  <c r="N355" i="1"/>
  <c r="Z355" i="1"/>
  <c r="A356" i="1"/>
  <c r="B356" i="1"/>
  <c r="AI356" i="1" s="1"/>
  <c r="C356" i="1"/>
  <c r="D356" i="1"/>
  <c r="E356" i="1"/>
  <c r="F356" i="1"/>
  <c r="G356" i="1"/>
  <c r="H356" i="1"/>
  <c r="I356" i="1"/>
  <c r="J356" i="1"/>
  <c r="K356" i="1"/>
  <c r="L356" i="1"/>
  <c r="N356" i="1"/>
  <c r="Z356" i="1"/>
  <c r="A357" i="1"/>
  <c r="B357" i="1"/>
  <c r="AI357" i="1" s="1"/>
  <c r="C357" i="1"/>
  <c r="D357" i="1"/>
  <c r="E357" i="1"/>
  <c r="F357" i="1"/>
  <c r="G357" i="1"/>
  <c r="H357" i="1"/>
  <c r="I357" i="1"/>
  <c r="J357" i="1"/>
  <c r="K357" i="1"/>
  <c r="L357" i="1"/>
  <c r="Q357" i="1" s="1"/>
  <c r="N357" i="1"/>
  <c r="Z357" i="1"/>
  <c r="A358" i="1"/>
  <c r="B358" i="1"/>
  <c r="AI358" i="1" s="1"/>
  <c r="C358" i="1"/>
  <c r="D358" i="1"/>
  <c r="E358" i="1"/>
  <c r="F358" i="1"/>
  <c r="G358" i="1"/>
  <c r="H358" i="1"/>
  <c r="I358" i="1"/>
  <c r="J358" i="1"/>
  <c r="K358" i="1"/>
  <c r="L358" i="1"/>
  <c r="Q358" i="1" s="1"/>
  <c r="N358" i="1"/>
  <c r="Z358" i="1"/>
  <c r="A359" i="1"/>
  <c r="B359" i="1"/>
  <c r="AI359" i="1" s="1"/>
  <c r="C359" i="1"/>
  <c r="D359" i="1"/>
  <c r="E359" i="1"/>
  <c r="F359" i="1"/>
  <c r="G359" i="1"/>
  <c r="H359" i="1"/>
  <c r="I359" i="1"/>
  <c r="J359" i="1"/>
  <c r="K359" i="1"/>
  <c r="L359" i="1"/>
  <c r="Q359" i="1" s="1"/>
  <c r="N359" i="1"/>
  <c r="Z359" i="1"/>
  <c r="A360" i="1"/>
  <c r="B360" i="1"/>
  <c r="AI360" i="1" s="1"/>
  <c r="C360" i="1"/>
  <c r="D360" i="1"/>
  <c r="E360" i="1"/>
  <c r="F360" i="1"/>
  <c r="G360" i="1"/>
  <c r="H360" i="1"/>
  <c r="I360" i="1"/>
  <c r="J360" i="1"/>
  <c r="K360" i="1"/>
  <c r="L360" i="1"/>
  <c r="Q360" i="1" s="1"/>
  <c r="N360" i="1"/>
  <c r="Z360" i="1"/>
  <c r="A361" i="1"/>
  <c r="B361" i="1"/>
  <c r="AI361" i="1" s="1"/>
  <c r="C361" i="1"/>
  <c r="D361" i="1"/>
  <c r="E361" i="1"/>
  <c r="F361" i="1"/>
  <c r="G361" i="1"/>
  <c r="H361" i="1"/>
  <c r="I361" i="1"/>
  <c r="J361" i="1"/>
  <c r="K361" i="1"/>
  <c r="L361" i="1"/>
  <c r="Q361" i="1" s="1"/>
  <c r="N361" i="1"/>
  <c r="Z361" i="1"/>
  <c r="A362" i="1"/>
  <c r="B362" i="1"/>
  <c r="AI362" i="1" s="1"/>
  <c r="C362" i="1"/>
  <c r="D362" i="1"/>
  <c r="E362" i="1"/>
  <c r="F362" i="1"/>
  <c r="G362" i="1"/>
  <c r="H362" i="1"/>
  <c r="I362" i="1"/>
  <c r="J362" i="1"/>
  <c r="K362" i="1"/>
  <c r="L362" i="1"/>
  <c r="Q362" i="1" s="1"/>
  <c r="N362" i="1"/>
  <c r="Z362" i="1"/>
  <c r="A363" i="1"/>
  <c r="B363" i="1"/>
  <c r="AI363" i="1" s="1"/>
  <c r="C363" i="1"/>
  <c r="D363" i="1"/>
  <c r="E363" i="1"/>
  <c r="F363" i="1"/>
  <c r="G363" i="1"/>
  <c r="H363" i="1"/>
  <c r="I363" i="1"/>
  <c r="J363" i="1"/>
  <c r="K363" i="1"/>
  <c r="L363" i="1"/>
  <c r="N363" i="1"/>
  <c r="Z363" i="1"/>
  <c r="A364" i="1"/>
  <c r="B364" i="1"/>
  <c r="AI364" i="1" s="1"/>
  <c r="C364" i="1"/>
  <c r="D364" i="1"/>
  <c r="E364" i="1"/>
  <c r="F364" i="1"/>
  <c r="G364" i="1"/>
  <c r="H364" i="1"/>
  <c r="I364" i="1"/>
  <c r="J364" i="1"/>
  <c r="K364" i="1"/>
  <c r="L364" i="1"/>
  <c r="Q364" i="1" s="1"/>
  <c r="N364" i="1"/>
  <c r="Z364" i="1"/>
  <c r="A365" i="1"/>
  <c r="B365" i="1"/>
  <c r="AI365" i="1" s="1"/>
  <c r="C365" i="1"/>
  <c r="D365" i="1"/>
  <c r="E365" i="1"/>
  <c r="F365" i="1"/>
  <c r="G365" i="1"/>
  <c r="H365" i="1"/>
  <c r="I365" i="1"/>
  <c r="J365" i="1"/>
  <c r="K365" i="1"/>
  <c r="L365" i="1"/>
  <c r="Q365" i="1" s="1"/>
  <c r="N365" i="1"/>
  <c r="Z365" i="1"/>
  <c r="A366" i="1"/>
  <c r="B366" i="1"/>
  <c r="AI366" i="1" s="1"/>
  <c r="C366" i="1"/>
  <c r="D366" i="1"/>
  <c r="E366" i="1"/>
  <c r="F366" i="1"/>
  <c r="G366" i="1"/>
  <c r="H366" i="1"/>
  <c r="I366" i="1"/>
  <c r="J366" i="1"/>
  <c r="K366" i="1"/>
  <c r="L366" i="1"/>
  <c r="Z366" i="1"/>
  <c r="A367" i="1"/>
  <c r="B367" i="1"/>
  <c r="AI367" i="1" s="1"/>
  <c r="C367" i="1"/>
  <c r="D367" i="1"/>
  <c r="E367" i="1"/>
  <c r="F367" i="1"/>
  <c r="G367" i="1"/>
  <c r="H367" i="1"/>
  <c r="I367" i="1"/>
  <c r="J367" i="1"/>
  <c r="K367" i="1"/>
  <c r="L367" i="1"/>
  <c r="N367" i="1"/>
  <c r="Z367" i="1"/>
  <c r="A368" i="1"/>
  <c r="B368" i="1"/>
  <c r="AI368" i="1" s="1"/>
  <c r="C368" i="1"/>
  <c r="D368" i="1"/>
  <c r="E368" i="1"/>
  <c r="F368" i="1"/>
  <c r="G368" i="1"/>
  <c r="H368" i="1"/>
  <c r="I368" i="1"/>
  <c r="J368" i="1"/>
  <c r="K368" i="1"/>
  <c r="L368" i="1"/>
  <c r="N368" i="1"/>
  <c r="Z368" i="1"/>
  <c r="A369" i="1"/>
  <c r="B369" i="1"/>
  <c r="AI369" i="1" s="1"/>
  <c r="C369" i="1"/>
  <c r="D369" i="1"/>
  <c r="E369" i="1"/>
  <c r="F369" i="1"/>
  <c r="G369" i="1"/>
  <c r="H369" i="1"/>
  <c r="I369" i="1"/>
  <c r="J369" i="1"/>
  <c r="K369" i="1"/>
  <c r="L369" i="1"/>
  <c r="Q369" i="1" s="1"/>
  <c r="N369" i="1"/>
  <c r="Z369" i="1"/>
  <c r="A370" i="1"/>
  <c r="B370" i="1"/>
  <c r="AI370" i="1" s="1"/>
  <c r="C370" i="1"/>
  <c r="D370" i="1"/>
  <c r="E370" i="1"/>
  <c r="F370" i="1"/>
  <c r="G370" i="1"/>
  <c r="H370" i="1"/>
  <c r="I370" i="1"/>
  <c r="J370" i="1"/>
  <c r="K370" i="1"/>
  <c r="L370" i="1"/>
  <c r="Q370" i="1" s="1"/>
  <c r="N370" i="1"/>
  <c r="Z370" i="1"/>
  <c r="A371" i="1"/>
  <c r="B371" i="1"/>
  <c r="AI371" i="1" s="1"/>
  <c r="C371" i="1"/>
  <c r="D371" i="1"/>
  <c r="E371" i="1"/>
  <c r="F371" i="1"/>
  <c r="G371" i="1"/>
  <c r="H371" i="1"/>
  <c r="I371" i="1"/>
  <c r="J371" i="1"/>
  <c r="K371" i="1"/>
  <c r="L371" i="1"/>
  <c r="N371" i="1"/>
  <c r="Z371" i="1"/>
  <c r="A372" i="1"/>
  <c r="B372" i="1"/>
  <c r="AI372" i="1" s="1"/>
  <c r="C372" i="1"/>
  <c r="D372" i="1"/>
  <c r="E372" i="1"/>
  <c r="F372" i="1"/>
  <c r="G372" i="1"/>
  <c r="H372" i="1"/>
  <c r="I372" i="1"/>
  <c r="J372" i="1"/>
  <c r="K372" i="1"/>
  <c r="L372" i="1"/>
  <c r="Q372" i="1" s="1"/>
  <c r="N372" i="1"/>
  <c r="Z372" i="1"/>
  <c r="A373" i="1"/>
  <c r="B373" i="1"/>
  <c r="AI373" i="1" s="1"/>
  <c r="C373" i="1"/>
  <c r="D373" i="1"/>
  <c r="E373" i="1"/>
  <c r="F373" i="1"/>
  <c r="G373" i="1"/>
  <c r="H373" i="1"/>
  <c r="I373" i="1"/>
  <c r="J373" i="1"/>
  <c r="K373" i="1"/>
  <c r="L373" i="1"/>
  <c r="N373" i="1"/>
  <c r="Z373" i="1"/>
  <c r="A374" i="1"/>
  <c r="B374" i="1"/>
  <c r="AI374" i="1" s="1"/>
  <c r="C374" i="1"/>
  <c r="D374" i="1"/>
  <c r="E374" i="1"/>
  <c r="F374" i="1"/>
  <c r="G374" i="1"/>
  <c r="H374" i="1"/>
  <c r="I374" i="1"/>
  <c r="J374" i="1"/>
  <c r="K374" i="1"/>
  <c r="L374" i="1"/>
  <c r="Q374" i="1" s="1"/>
  <c r="N374" i="1"/>
  <c r="Z374" i="1"/>
  <c r="A375" i="1"/>
  <c r="B375" i="1"/>
  <c r="AI375" i="1" s="1"/>
  <c r="C375" i="1"/>
  <c r="D375" i="1"/>
  <c r="E375" i="1"/>
  <c r="F375" i="1"/>
  <c r="G375" i="1"/>
  <c r="H375" i="1"/>
  <c r="I375" i="1"/>
  <c r="J375" i="1"/>
  <c r="K375" i="1"/>
  <c r="L375" i="1"/>
  <c r="N375" i="1"/>
  <c r="Z375" i="1"/>
  <c r="A376" i="1"/>
  <c r="B376" i="1"/>
  <c r="AI376" i="1" s="1"/>
  <c r="C376" i="1"/>
  <c r="D376" i="1"/>
  <c r="E376" i="1"/>
  <c r="F376" i="1"/>
  <c r="G376" i="1"/>
  <c r="H376" i="1"/>
  <c r="I376" i="1"/>
  <c r="J376" i="1"/>
  <c r="K376" i="1"/>
  <c r="L376" i="1"/>
  <c r="N376" i="1"/>
  <c r="Z376" i="1"/>
  <c r="A377" i="1"/>
  <c r="B377" i="1"/>
  <c r="AI377" i="1" s="1"/>
  <c r="C377" i="1"/>
  <c r="D377" i="1"/>
  <c r="E377" i="1"/>
  <c r="F377" i="1"/>
  <c r="G377" i="1"/>
  <c r="H377" i="1"/>
  <c r="I377" i="1"/>
  <c r="J377" i="1"/>
  <c r="K377" i="1"/>
  <c r="L377" i="1"/>
  <c r="Q377" i="1" s="1"/>
  <c r="N377" i="1"/>
  <c r="Z377" i="1"/>
  <c r="A378" i="1"/>
  <c r="B378" i="1"/>
  <c r="AI378" i="1" s="1"/>
  <c r="C378" i="1"/>
  <c r="D378" i="1"/>
  <c r="E378" i="1"/>
  <c r="F378" i="1"/>
  <c r="G378" i="1"/>
  <c r="H378" i="1"/>
  <c r="I378" i="1"/>
  <c r="J378" i="1"/>
  <c r="K378" i="1"/>
  <c r="L378" i="1"/>
  <c r="Q378" i="1" s="1"/>
  <c r="N378" i="1"/>
  <c r="Z378" i="1"/>
  <c r="A379" i="1"/>
  <c r="B379" i="1"/>
  <c r="AI379" i="1" s="1"/>
  <c r="C379" i="1"/>
  <c r="D379" i="1"/>
  <c r="E379" i="1"/>
  <c r="F379" i="1"/>
  <c r="G379" i="1"/>
  <c r="H379" i="1"/>
  <c r="I379" i="1"/>
  <c r="J379" i="1"/>
  <c r="K379" i="1"/>
  <c r="L379" i="1"/>
  <c r="Q379" i="1" s="1"/>
  <c r="N379" i="1"/>
  <c r="Z379" i="1"/>
  <c r="A380" i="1"/>
  <c r="B380" i="1"/>
  <c r="AI380" i="1" s="1"/>
  <c r="C380" i="1"/>
  <c r="D380" i="1"/>
  <c r="E380" i="1"/>
  <c r="F380" i="1"/>
  <c r="G380" i="1"/>
  <c r="H380" i="1"/>
  <c r="I380" i="1"/>
  <c r="J380" i="1"/>
  <c r="K380" i="1"/>
  <c r="L380" i="1"/>
  <c r="Q380" i="1" s="1"/>
  <c r="N380" i="1"/>
  <c r="Z380" i="1"/>
  <c r="A381" i="1"/>
  <c r="B381" i="1"/>
  <c r="AI381" i="1" s="1"/>
  <c r="C381" i="1"/>
  <c r="D381" i="1"/>
  <c r="E381" i="1"/>
  <c r="F381" i="1"/>
  <c r="G381" i="1"/>
  <c r="H381" i="1"/>
  <c r="I381" i="1"/>
  <c r="J381" i="1"/>
  <c r="K381" i="1"/>
  <c r="L381" i="1"/>
  <c r="Q381" i="1" s="1"/>
  <c r="N381" i="1"/>
  <c r="Z381" i="1"/>
  <c r="A382" i="1"/>
  <c r="B382" i="1"/>
  <c r="AI382" i="1" s="1"/>
  <c r="C382" i="1"/>
  <c r="D382" i="1"/>
  <c r="E382" i="1"/>
  <c r="F382" i="1"/>
  <c r="G382" i="1"/>
  <c r="H382" i="1"/>
  <c r="I382" i="1"/>
  <c r="J382" i="1"/>
  <c r="K382" i="1"/>
  <c r="L382" i="1"/>
  <c r="Q382" i="1" s="1"/>
  <c r="N382" i="1"/>
  <c r="Z382" i="1"/>
  <c r="A383" i="1"/>
  <c r="B383" i="1"/>
  <c r="AI383" i="1" s="1"/>
  <c r="C383" i="1"/>
  <c r="D383" i="1"/>
  <c r="E383" i="1"/>
  <c r="F383" i="1"/>
  <c r="G383" i="1"/>
  <c r="H383" i="1"/>
  <c r="I383" i="1"/>
  <c r="J383" i="1"/>
  <c r="K383" i="1"/>
  <c r="L383" i="1"/>
  <c r="N383" i="1"/>
  <c r="Z383" i="1"/>
  <c r="A384" i="1"/>
  <c r="B384" i="1"/>
  <c r="AI384" i="1" s="1"/>
  <c r="C384" i="1"/>
  <c r="D384" i="1"/>
  <c r="E384" i="1"/>
  <c r="F384" i="1"/>
  <c r="G384" i="1"/>
  <c r="H384" i="1"/>
  <c r="I384" i="1"/>
  <c r="J384" i="1"/>
  <c r="K384" i="1"/>
  <c r="L384" i="1"/>
  <c r="Q384" i="1" s="1"/>
  <c r="N384" i="1"/>
  <c r="Z384" i="1"/>
  <c r="A385" i="1"/>
  <c r="B385" i="1"/>
  <c r="AI385" i="1" s="1"/>
  <c r="C385" i="1"/>
  <c r="D385" i="1"/>
  <c r="E385" i="1"/>
  <c r="F385" i="1"/>
  <c r="G385" i="1"/>
  <c r="H385" i="1"/>
  <c r="I385" i="1"/>
  <c r="J385" i="1"/>
  <c r="K385" i="1"/>
  <c r="L385" i="1"/>
  <c r="Q385" i="1" s="1"/>
  <c r="Z385" i="1"/>
  <c r="A386" i="1"/>
  <c r="B386" i="1"/>
  <c r="AI386" i="1" s="1"/>
  <c r="C386" i="1"/>
  <c r="D386" i="1"/>
  <c r="E386" i="1"/>
  <c r="F386" i="1"/>
  <c r="G386" i="1"/>
  <c r="H386" i="1"/>
  <c r="I386" i="1"/>
  <c r="J386" i="1"/>
  <c r="K386" i="1"/>
  <c r="L386" i="1"/>
  <c r="Q386" i="1" s="1"/>
  <c r="N386" i="1"/>
  <c r="Z386" i="1"/>
  <c r="A387" i="1"/>
  <c r="B387" i="1"/>
  <c r="AI387" i="1" s="1"/>
  <c r="C387" i="1"/>
  <c r="D387" i="1"/>
  <c r="E387" i="1"/>
  <c r="F387" i="1"/>
  <c r="G387" i="1"/>
  <c r="H387" i="1"/>
  <c r="I387" i="1"/>
  <c r="J387" i="1"/>
  <c r="K387" i="1"/>
  <c r="L387" i="1"/>
  <c r="Q387" i="1" s="1"/>
  <c r="N387" i="1"/>
  <c r="Z387" i="1"/>
  <c r="A388" i="1"/>
  <c r="B388" i="1"/>
  <c r="AI388" i="1" s="1"/>
  <c r="C388" i="1"/>
  <c r="D388" i="1"/>
  <c r="E388" i="1"/>
  <c r="F388" i="1"/>
  <c r="G388" i="1"/>
  <c r="H388" i="1"/>
  <c r="I388" i="1"/>
  <c r="J388" i="1"/>
  <c r="K388" i="1"/>
  <c r="L388" i="1"/>
  <c r="Q388" i="1" s="1"/>
  <c r="N388" i="1"/>
  <c r="Z388" i="1"/>
  <c r="A389" i="1"/>
  <c r="B389" i="1"/>
  <c r="AI389" i="1" s="1"/>
  <c r="C389" i="1"/>
  <c r="D389" i="1"/>
  <c r="E389" i="1"/>
  <c r="F389" i="1"/>
  <c r="G389" i="1"/>
  <c r="H389" i="1"/>
  <c r="I389" i="1"/>
  <c r="J389" i="1"/>
  <c r="K389" i="1"/>
  <c r="L389" i="1"/>
  <c r="Q389" i="1" s="1"/>
  <c r="N389" i="1"/>
  <c r="Z389" i="1"/>
  <c r="A390" i="1"/>
  <c r="B390" i="1"/>
  <c r="AI390" i="1" s="1"/>
  <c r="C390" i="1"/>
  <c r="D390" i="1"/>
  <c r="E390" i="1"/>
  <c r="F390" i="1"/>
  <c r="G390" i="1"/>
  <c r="H390" i="1"/>
  <c r="I390" i="1"/>
  <c r="J390" i="1"/>
  <c r="K390" i="1"/>
  <c r="L390" i="1"/>
  <c r="Z390" i="1"/>
  <c r="A391" i="1"/>
  <c r="B391" i="1"/>
  <c r="AI391" i="1" s="1"/>
  <c r="C391" i="1"/>
  <c r="D391" i="1"/>
  <c r="E391" i="1"/>
  <c r="F391" i="1"/>
  <c r="G391" i="1"/>
  <c r="H391" i="1"/>
  <c r="I391" i="1"/>
  <c r="J391" i="1"/>
  <c r="K391" i="1"/>
  <c r="L391" i="1"/>
  <c r="Q391" i="1" s="1"/>
  <c r="N391" i="1"/>
  <c r="Z391" i="1"/>
  <c r="A392" i="1"/>
  <c r="B392" i="1"/>
  <c r="AI392" i="1" s="1"/>
  <c r="C392" i="1"/>
  <c r="D392" i="1"/>
  <c r="E392" i="1"/>
  <c r="F392" i="1"/>
  <c r="G392" i="1"/>
  <c r="H392" i="1"/>
  <c r="I392" i="1"/>
  <c r="J392" i="1"/>
  <c r="K392" i="1"/>
  <c r="L392" i="1"/>
  <c r="Q392" i="1" s="1"/>
  <c r="N392" i="1"/>
  <c r="Z392" i="1"/>
  <c r="A393" i="1"/>
  <c r="B393" i="1"/>
  <c r="AI393" i="1" s="1"/>
  <c r="C393" i="1"/>
  <c r="D393" i="1"/>
  <c r="E393" i="1"/>
  <c r="F393" i="1"/>
  <c r="G393" i="1"/>
  <c r="H393" i="1"/>
  <c r="I393" i="1"/>
  <c r="J393" i="1"/>
  <c r="K393" i="1"/>
  <c r="L393" i="1"/>
  <c r="Q393" i="1" s="1"/>
  <c r="N393" i="1"/>
  <c r="Z393" i="1"/>
  <c r="A394" i="1"/>
  <c r="B394" i="1"/>
  <c r="AI394" i="1" s="1"/>
  <c r="C394" i="1"/>
  <c r="D394" i="1"/>
  <c r="E394" i="1"/>
  <c r="F394" i="1"/>
  <c r="G394" i="1"/>
  <c r="H394" i="1"/>
  <c r="I394" i="1"/>
  <c r="J394" i="1"/>
  <c r="K394" i="1"/>
  <c r="L394" i="1"/>
  <c r="Q394" i="1" s="1"/>
  <c r="N394" i="1"/>
  <c r="Z394" i="1"/>
  <c r="A395" i="1"/>
  <c r="B395" i="1"/>
  <c r="AI395" i="1" s="1"/>
  <c r="C395" i="1"/>
  <c r="D395" i="1"/>
  <c r="E395" i="1"/>
  <c r="F395" i="1"/>
  <c r="G395" i="1"/>
  <c r="H395" i="1"/>
  <c r="I395" i="1"/>
  <c r="J395" i="1"/>
  <c r="K395" i="1"/>
  <c r="L395" i="1"/>
  <c r="Q395" i="1" s="1"/>
  <c r="N395" i="1"/>
  <c r="Z395" i="1"/>
  <c r="A396" i="1"/>
  <c r="B396" i="1"/>
  <c r="AI396" i="1" s="1"/>
  <c r="C396" i="1"/>
  <c r="D396" i="1"/>
  <c r="E396" i="1"/>
  <c r="F396" i="1"/>
  <c r="G396" i="1"/>
  <c r="H396" i="1"/>
  <c r="I396" i="1"/>
  <c r="J396" i="1"/>
  <c r="K396" i="1"/>
  <c r="L396" i="1"/>
  <c r="N396" i="1"/>
  <c r="Z396" i="1"/>
  <c r="A397" i="1"/>
  <c r="B397" i="1"/>
  <c r="AI397" i="1" s="1"/>
  <c r="C397" i="1"/>
  <c r="D397" i="1"/>
  <c r="E397" i="1"/>
  <c r="F397" i="1"/>
  <c r="G397" i="1"/>
  <c r="H397" i="1"/>
  <c r="I397" i="1"/>
  <c r="J397" i="1"/>
  <c r="K397" i="1"/>
  <c r="L397" i="1"/>
  <c r="Q397" i="1" s="1"/>
  <c r="N397" i="1"/>
  <c r="Z397" i="1"/>
  <c r="A398" i="1"/>
  <c r="B398" i="1"/>
  <c r="AI398" i="1" s="1"/>
  <c r="C398" i="1"/>
  <c r="D398" i="1"/>
  <c r="E398" i="1"/>
  <c r="F398" i="1"/>
  <c r="G398" i="1"/>
  <c r="H398" i="1"/>
  <c r="I398" i="1"/>
  <c r="J398" i="1"/>
  <c r="K398" i="1"/>
  <c r="L398" i="1"/>
  <c r="Q398" i="1" s="1"/>
  <c r="N398" i="1"/>
  <c r="Z398" i="1"/>
  <c r="A399" i="1"/>
  <c r="B399" i="1"/>
  <c r="AI399" i="1" s="1"/>
  <c r="C399" i="1"/>
  <c r="D399" i="1"/>
  <c r="E399" i="1"/>
  <c r="F399" i="1"/>
  <c r="G399" i="1"/>
  <c r="H399" i="1"/>
  <c r="I399" i="1"/>
  <c r="J399" i="1"/>
  <c r="K399" i="1"/>
  <c r="L399" i="1"/>
  <c r="Q399" i="1" s="1"/>
  <c r="N399" i="1"/>
  <c r="Z399" i="1"/>
  <c r="A400" i="1"/>
  <c r="B400" i="1"/>
  <c r="AI400" i="1" s="1"/>
  <c r="C400" i="1"/>
  <c r="D400" i="1"/>
  <c r="E400" i="1"/>
  <c r="F400" i="1"/>
  <c r="G400" i="1"/>
  <c r="H400" i="1"/>
  <c r="I400" i="1"/>
  <c r="J400" i="1"/>
  <c r="K400" i="1"/>
  <c r="L400" i="1"/>
  <c r="N400" i="1"/>
  <c r="Z400" i="1"/>
  <c r="A401" i="1"/>
  <c r="B401" i="1"/>
  <c r="AI401" i="1" s="1"/>
  <c r="C401" i="1"/>
  <c r="D401" i="1"/>
  <c r="E401" i="1"/>
  <c r="F401" i="1"/>
  <c r="G401" i="1"/>
  <c r="H401" i="1"/>
  <c r="I401" i="1"/>
  <c r="J401" i="1"/>
  <c r="K401" i="1"/>
  <c r="L401" i="1"/>
  <c r="Q401" i="1" s="1"/>
  <c r="N401" i="1"/>
  <c r="Z401" i="1"/>
  <c r="A402" i="1"/>
  <c r="B402" i="1"/>
  <c r="AI402" i="1" s="1"/>
  <c r="C402" i="1"/>
  <c r="D402" i="1"/>
  <c r="E402" i="1"/>
  <c r="F402" i="1"/>
  <c r="G402" i="1"/>
  <c r="H402" i="1"/>
  <c r="I402" i="1"/>
  <c r="J402" i="1"/>
  <c r="K402" i="1"/>
  <c r="L402" i="1"/>
  <c r="Q402" i="1" s="1"/>
  <c r="N402" i="1"/>
  <c r="Z402" i="1"/>
  <c r="A403" i="1"/>
  <c r="B403" i="1"/>
  <c r="AI403" i="1" s="1"/>
  <c r="C403" i="1"/>
  <c r="D403" i="1"/>
  <c r="E403" i="1"/>
  <c r="F403" i="1"/>
  <c r="G403" i="1"/>
  <c r="H403" i="1"/>
  <c r="I403" i="1"/>
  <c r="J403" i="1"/>
  <c r="K403" i="1"/>
  <c r="L403" i="1"/>
  <c r="Q403" i="1" s="1"/>
  <c r="N403" i="1"/>
  <c r="Z403" i="1"/>
  <c r="A404" i="1"/>
  <c r="B404" i="1"/>
  <c r="AI404" i="1" s="1"/>
  <c r="C404" i="1"/>
  <c r="D404" i="1"/>
  <c r="E404" i="1"/>
  <c r="F404" i="1"/>
  <c r="G404" i="1"/>
  <c r="H404" i="1"/>
  <c r="I404" i="1"/>
  <c r="J404" i="1"/>
  <c r="K404" i="1"/>
  <c r="L404" i="1"/>
  <c r="N404" i="1"/>
  <c r="Z404" i="1"/>
  <c r="A405" i="1"/>
  <c r="B405" i="1"/>
  <c r="AI405" i="1" s="1"/>
  <c r="C405" i="1"/>
  <c r="D405" i="1"/>
  <c r="E405" i="1"/>
  <c r="F405" i="1"/>
  <c r="G405" i="1"/>
  <c r="H405" i="1"/>
  <c r="I405" i="1"/>
  <c r="J405" i="1"/>
  <c r="K405" i="1"/>
  <c r="L405" i="1"/>
  <c r="N405" i="1"/>
  <c r="Z405" i="1"/>
  <c r="A406" i="1"/>
  <c r="B406" i="1"/>
  <c r="AI406" i="1" s="1"/>
  <c r="C406" i="1"/>
  <c r="D406" i="1"/>
  <c r="E406" i="1"/>
  <c r="F406" i="1"/>
  <c r="G406" i="1"/>
  <c r="H406" i="1"/>
  <c r="I406" i="1"/>
  <c r="J406" i="1"/>
  <c r="K406" i="1"/>
  <c r="L406" i="1"/>
  <c r="N406" i="1"/>
  <c r="Z406" i="1"/>
  <c r="A407" i="1"/>
  <c r="B407" i="1"/>
  <c r="AI407" i="1" s="1"/>
  <c r="C407" i="1"/>
  <c r="D407" i="1"/>
  <c r="E407" i="1"/>
  <c r="F407" i="1"/>
  <c r="G407" i="1"/>
  <c r="H407" i="1"/>
  <c r="I407" i="1"/>
  <c r="J407" i="1"/>
  <c r="K407" i="1"/>
  <c r="L407" i="1"/>
  <c r="N407" i="1"/>
  <c r="Z407" i="1"/>
  <c r="A408" i="1"/>
  <c r="B408" i="1"/>
  <c r="AI408" i="1" s="1"/>
  <c r="C408" i="1"/>
  <c r="D408" i="1"/>
  <c r="E408" i="1"/>
  <c r="F408" i="1"/>
  <c r="G408" i="1"/>
  <c r="H408" i="1"/>
  <c r="I408" i="1"/>
  <c r="J408" i="1"/>
  <c r="K408" i="1"/>
  <c r="L408" i="1"/>
  <c r="Q408" i="1" s="1"/>
  <c r="N408" i="1"/>
  <c r="Z408" i="1"/>
  <c r="A409" i="1"/>
  <c r="B409" i="1"/>
  <c r="AI409" i="1" s="1"/>
  <c r="C409" i="1"/>
  <c r="D409" i="1"/>
  <c r="E409" i="1"/>
  <c r="F409" i="1"/>
  <c r="G409" i="1"/>
  <c r="H409" i="1"/>
  <c r="I409" i="1"/>
  <c r="J409" i="1"/>
  <c r="K409" i="1"/>
  <c r="L409" i="1"/>
  <c r="Q409" i="1" s="1"/>
  <c r="N409" i="1"/>
  <c r="Z409" i="1"/>
  <c r="A410" i="1"/>
  <c r="B410" i="1"/>
  <c r="AI410" i="1" s="1"/>
  <c r="C410" i="1"/>
  <c r="D410" i="1"/>
  <c r="E410" i="1"/>
  <c r="F410" i="1"/>
  <c r="G410" i="1"/>
  <c r="H410" i="1"/>
  <c r="I410" i="1"/>
  <c r="J410" i="1"/>
  <c r="K410" i="1"/>
  <c r="L410" i="1"/>
  <c r="N410" i="1"/>
  <c r="Z410" i="1"/>
  <c r="A411" i="1"/>
  <c r="B411" i="1"/>
  <c r="AI411" i="1" s="1"/>
  <c r="C411" i="1"/>
  <c r="D411" i="1"/>
  <c r="E411" i="1"/>
  <c r="F411" i="1"/>
  <c r="G411" i="1"/>
  <c r="H411" i="1"/>
  <c r="I411" i="1"/>
  <c r="J411" i="1"/>
  <c r="K411" i="1"/>
  <c r="L411" i="1"/>
  <c r="Q411" i="1" s="1"/>
  <c r="N411" i="1"/>
  <c r="Z411" i="1"/>
  <c r="A412" i="1"/>
  <c r="B412" i="1"/>
  <c r="AI412" i="1" s="1"/>
  <c r="C412" i="1"/>
  <c r="D412" i="1"/>
  <c r="E412" i="1"/>
  <c r="F412" i="1"/>
  <c r="G412" i="1"/>
  <c r="H412" i="1"/>
  <c r="I412" i="1"/>
  <c r="J412" i="1"/>
  <c r="K412" i="1"/>
  <c r="L412" i="1"/>
  <c r="Q412" i="1" s="1"/>
  <c r="N412" i="1"/>
  <c r="Z412" i="1"/>
  <c r="A413" i="1"/>
  <c r="B413" i="1"/>
  <c r="AI413" i="1" s="1"/>
  <c r="C413" i="1"/>
  <c r="D413" i="1"/>
  <c r="E413" i="1"/>
  <c r="F413" i="1"/>
  <c r="G413" i="1"/>
  <c r="H413" i="1"/>
  <c r="I413" i="1"/>
  <c r="J413" i="1"/>
  <c r="K413" i="1"/>
  <c r="L413" i="1"/>
  <c r="N413" i="1"/>
  <c r="Z413" i="1"/>
  <c r="A414" i="1"/>
  <c r="B414" i="1"/>
  <c r="AI414" i="1" s="1"/>
  <c r="C414" i="1"/>
  <c r="D414" i="1"/>
  <c r="E414" i="1"/>
  <c r="F414" i="1"/>
  <c r="G414" i="1"/>
  <c r="H414" i="1"/>
  <c r="I414" i="1"/>
  <c r="J414" i="1"/>
  <c r="K414" i="1"/>
  <c r="L414" i="1"/>
  <c r="Q414" i="1" s="1"/>
  <c r="N414" i="1"/>
  <c r="Z414" i="1"/>
  <c r="A415" i="1"/>
  <c r="B415" i="1"/>
  <c r="AI415" i="1" s="1"/>
  <c r="C415" i="1"/>
  <c r="D415" i="1"/>
  <c r="E415" i="1"/>
  <c r="F415" i="1"/>
  <c r="G415" i="1"/>
  <c r="H415" i="1"/>
  <c r="I415" i="1"/>
  <c r="J415" i="1"/>
  <c r="K415" i="1"/>
  <c r="L415" i="1"/>
  <c r="Q415" i="1" s="1"/>
  <c r="N415" i="1"/>
  <c r="Z415" i="1"/>
  <c r="A416" i="1"/>
  <c r="B416" i="1"/>
  <c r="AI416" i="1" s="1"/>
  <c r="C416" i="1"/>
  <c r="D416" i="1"/>
  <c r="E416" i="1"/>
  <c r="F416" i="1"/>
  <c r="G416" i="1"/>
  <c r="H416" i="1"/>
  <c r="I416" i="1"/>
  <c r="J416" i="1"/>
  <c r="K416" i="1"/>
  <c r="L416" i="1"/>
  <c r="Q416" i="1" s="1"/>
  <c r="N416" i="1"/>
  <c r="Z416" i="1"/>
  <c r="A417" i="1"/>
  <c r="B417" i="1"/>
  <c r="AI417" i="1" s="1"/>
  <c r="C417" i="1"/>
  <c r="D417" i="1"/>
  <c r="E417" i="1"/>
  <c r="F417" i="1"/>
  <c r="G417" i="1"/>
  <c r="H417" i="1"/>
  <c r="I417" i="1"/>
  <c r="J417" i="1"/>
  <c r="K417" i="1"/>
  <c r="L417" i="1"/>
  <c r="Q417" i="1" s="1"/>
  <c r="N417" i="1"/>
  <c r="Z417" i="1"/>
  <c r="A418" i="1"/>
  <c r="B418" i="1"/>
  <c r="AI418" i="1" s="1"/>
  <c r="C418" i="1"/>
  <c r="E418" i="1"/>
  <c r="F418" i="1"/>
  <c r="G418" i="1"/>
  <c r="H418" i="1"/>
  <c r="I418" i="1"/>
  <c r="J418" i="1"/>
  <c r="K418" i="1"/>
  <c r="L418" i="1"/>
  <c r="N418" i="1"/>
  <c r="Z418" i="1"/>
  <c r="A419" i="1"/>
  <c r="B419" i="1"/>
  <c r="AI419" i="1" s="1"/>
  <c r="C419" i="1"/>
  <c r="D419" i="1"/>
  <c r="E419" i="1"/>
  <c r="F419" i="1"/>
  <c r="G419" i="1"/>
  <c r="H419" i="1"/>
  <c r="I419" i="1"/>
  <c r="J419" i="1"/>
  <c r="K419" i="1"/>
  <c r="L419" i="1"/>
  <c r="Q419" i="1" s="1"/>
  <c r="N419" i="1"/>
  <c r="Z419" i="1"/>
  <c r="A420" i="1"/>
  <c r="B420" i="1"/>
  <c r="AI420" i="1" s="1"/>
  <c r="C420" i="1"/>
  <c r="D420" i="1"/>
  <c r="E420" i="1"/>
  <c r="F420" i="1"/>
  <c r="G420" i="1"/>
  <c r="H420" i="1"/>
  <c r="I420" i="1"/>
  <c r="J420" i="1"/>
  <c r="K420" i="1"/>
  <c r="L420" i="1"/>
  <c r="N420" i="1"/>
  <c r="Z420" i="1"/>
  <c r="A421" i="1"/>
  <c r="B421" i="1"/>
  <c r="AI421" i="1" s="1"/>
  <c r="C421" i="1"/>
  <c r="D421" i="1"/>
  <c r="E421" i="1"/>
  <c r="F421" i="1"/>
  <c r="G421" i="1"/>
  <c r="H421" i="1"/>
  <c r="I421" i="1"/>
  <c r="J421" i="1"/>
  <c r="K421" i="1"/>
  <c r="L421" i="1"/>
  <c r="Q421" i="1" s="1"/>
  <c r="N421" i="1"/>
  <c r="Z421" i="1"/>
  <c r="A422" i="1"/>
  <c r="B422" i="1"/>
  <c r="AI422" i="1" s="1"/>
  <c r="C422" i="1"/>
  <c r="D422" i="1"/>
  <c r="E422" i="1"/>
  <c r="F422" i="1"/>
  <c r="G422" i="1"/>
  <c r="H422" i="1"/>
  <c r="I422" i="1"/>
  <c r="J422" i="1"/>
  <c r="K422" i="1"/>
  <c r="L422" i="1"/>
  <c r="N422" i="1"/>
  <c r="Z422" i="1"/>
  <c r="A423" i="1"/>
  <c r="B423" i="1"/>
  <c r="AI423" i="1" s="1"/>
  <c r="C423" i="1"/>
  <c r="D423" i="1"/>
  <c r="E423" i="1"/>
  <c r="F423" i="1"/>
  <c r="G423" i="1"/>
  <c r="H423" i="1"/>
  <c r="I423" i="1"/>
  <c r="J423" i="1"/>
  <c r="K423" i="1"/>
  <c r="L423" i="1"/>
  <c r="Q423" i="1" s="1"/>
  <c r="N423" i="1"/>
  <c r="Z423" i="1"/>
  <c r="A424" i="1"/>
  <c r="B424" i="1"/>
  <c r="AI424" i="1" s="1"/>
  <c r="C424" i="1"/>
  <c r="D424" i="1"/>
  <c r="E424" i="1"/>
  <c r="F424" i="1"/>
  <c r="G424" i="1"/>
  <c r="H424" i="1"/>
  <c r="I424" i="1"/>
  <c r="J424" i="1"/>
  <c r="K424" i="1"/>
  <c r="L424" i="1"/>
  <c r="N424" i="1"/>
  <c r="Z424" i="1"/>
  <c r="A425" i="1"/>
  <c r="B425" i="1"/>
  <c r="AI425" i="1" s="1"/>
  <c r="C425" i="1"/>
  <c r="D425" i="1"/>
  <c r="E425" i="1"/>
  <c r="F425" i="1"/>
  <c r="G425" i="1"/>
  <c r="H425" i="1"/>
  <c r="I425" i="1"/>
  <c r="J425" i="1"/>
  <c r="K425" i="1"/>
  <c r="L425" i="1"/>
  <c r="Q425" i="1" s="1"/>
  <c r="N425" i="1"/>
  <c r="Z425" i="1"/>
  <c r="A426" i="1"/>
  <c r="B426" i="1"/>
  <c r="AI426" i="1" s="1"/>
  <c r="C426" i="1"/>
  <c r="D426" i="1"/>
  <c r="E426" i="1"/>
  <c r="F426" i="1"/>
  <c r="G426" i="1"/>
  <c r="H426" i="1"/>
  <c r="I426" i="1"/>
  <c r="J426" i="1"/>
  <c r="K426" i="1"/>
  <c r="L426" i="1"/>
  <c r="N426" i="1"/>
  <c r="Z426" i="1"/>
  <c r="A427" i="1"/>
  <c r="B427" i="1"/>
  <c r="AI427" i="1" s="1"/>
  <c r="C427" i="1"/>
  <c r="D427" i="1"/>
  <c r="E427" i="1"/>
  <c r="F427" i="1"/>
  <c r="G427" i="1"/>
  <c r="H427" i="1"/>
  <c r="I427" i="1"/>
  <c r="J427" i="1"/>
  <c r="K427" i="1"/>
  <c r="L427" i="1"/>
  <c r="N427" i="1"/>
  <c r="Z427" i="1"/>
  <c r="A428" i="1"/>
  <c r="B428" i="1"/>
  <c r="AI428" i="1" s="1"/>
  <c r="C428" i="1"/>
  <c r="D428" i="1"/>
  <c r="E428" i="1"/>
  <c r="F428" i="1"/>
  <c r="G428" i="1"/>
  <c r="H428" i="1"/>
  <c r="I428" i="1"/>
  <c r="J428" i="1"/>
  <c r="K428" i="1"/>
  <c r="L428" i="1"/>
  <c r="N428" i="1"/>
  <c r="Z428" i="1"/>
  <c r="A429" i="1"/>
  <c r="B429" i="1"/>
  <c r="AI429" i="1" s="1"/>
  <c r="C429" i="1"/>
  <c r="D429" i="1"/>
  <c r="E429" i="1"/>
  <c r="F429" i="1"/>
  <c r="G429" i="1"/>
  <c r="H429" i="1"/>
  <c r="I429" i="1"/>
  <c r="J429" i="1"/>
  <c r="K429" i="1"/>
  <c r="L429" i="1"/>
  <c r="N429" i="1"/>
  <c r="Z429" i="1"/>
  <c r="A430" i="1"/>
  <c r="B430" i="1"/>
  <c r="AI430" i="1" s="1"/>
  <c r="C430" i="1"/>
  <c r="D430" i="1"/>
  <c r="E430" i="1"/>
  <c r="F430" i="1"/>
  <c r="G430" i="1"/>
  <c r="H430" i="1"/>
  <c r="I430" i="1"/>
  <c r="J430" i="1"/>
  <c r="K430" i="1"/>
  <c r="L430" i="1"/>
  <c r="N430" i="1"/>
  <c r="Z430" i="1"/>
  <c r="A431" i="1"/>
  <c r="B431" i="1"/>
  <c r="AI431" i="1" s="1"/>
  <c r="C431" i="1"/>
  <c r="D431" i="1"/>
  <c r="E431" i="1"/>
  <c r="F431" i="1"/>
  <c r="G431" i="1"/>
  <c r="H431" i="1"/>
  <c r="I431" i="1"/>
  <c r="J431" i="1"/>
  <c r="K431" i="1"/>
  <c r="L431" i="1"/>
  <c r="Q431" i="1" s="1"/>
  <c r="N431" i="1"/>
  <c r="Z431" i="1"/>
  <c r="A432" i="1"/>
  <c r="B432" i="1"/>
  <c r="AI432" i="1" s="1"/>
  <c r="C432" i="1"/>
  <c r="D432" i="1"/>
  <c r="E432" i="1"/>
  <c r="F432" i="1"/>
  <c r="G432" i="1"/>
  <c r="H432" i="1"/>
  <c r="I432" i="1"/>
  <c r="J432" i="1"/>
  <c r="K432" i="1"/>
  <c r="L432" i="1"/>
  <c r="N432" i="1"/>
  <c r="Z432" i="1"/>
  <c r="A433" i="1"/>
  <c r="B433" i="1"/>
  <c r="AI433" i="1" s="1"/>
  <c r="C433" i="1"/>
  <c r="D433" i="1"/>
  <c r="E433" i="1"/>
  <c r="F433" i="1"/>
  <c r="G433" i="1"/>
  <c r="H433" i="1"/>
  <c r="I433" i="1"/>
  <c r="J433" i="1"/>
  <c r="K433" i="1"/>
  <c r="L433" i="1"/>
  <c r="Q433" i="1" s="1"/>
  <c r="N433" i="1"/>
  <c r="Z433" i="1"/>
  <c r="A434" i="1"/>
  <c r="B434" i="1"/>
  <c r="AI434" i="1" s="1"/>
  <c r="C434" i="1"/>
  <c r="D434" i="1"/>
  <c r="E434" i="1"/>
  <c r="F434" i="1"/>
  <c r="G434" i="1"/>
  <c r="H434" i="1"/>
  <c r="I434" i="1"/>
  <c r="J434" i="1"/>
  <c r="K434" i="1"/>
  <c r="L434" i="1"/>
  <c r="N434" i="1"/>
  <c r="Z434" i="1"/>
  <c r="A435" i="1"/>
  <c r="B435" i="1"/>
  <c r="AI435" i="1" s="1"/>
  <c r="C435" i="1"/>
  <c r="D435" i="1"/>
  <c r="E435" i="1"/>
  <c r="F435" i="1"/>
  <c r="G435" i="1"/>
  <c r="H435" i="1"/>
  <c r="I435" i="1"/>
  <c r="J435" i="1"/>
  <c r="K435" i="1"/>
  <c r="L435" i="1"/>
  <c r="N435" i="1"/>
  <c r="Z435" i="1"/>
  <c r="A436" i="1"/>
  <c r="B436" i="1"/>
  <c r="AI436" i="1" s="1"/>
  <c r="C436" i="1"/>
  <c r="D436" i="1"/>
  <c r="E436" i="1"/>
  <c r="F436" i="1"/>
  <c r="G436" i="1"/>
  <c r="H436" i="1"/>
  <c r="I436" i="1"/>
  <c r="J436" i="1"/>
  <c r="K436" i="1"/>
  <c r="L436" i="1"/>
  <c r="N436" i="1"/>
  <c r="Z436" i="1"/>
  <c r="A437" i="1"/>
  <c r="B437" i="1"/>
  <c r="AI437" i="1" s="1"/>
  <c r="C437" i="1"/>
  <c r="D437" i="1"/>
  <c r="E437" i="1"/>
  <c r="F437" i="1"/>
  <c r="G437" i="1"/>
  <c r="H437" i="1"/>
  <c r="I437" i="1"/>
  <c r="J437" i="1"/>
  <c r="K437" i="1"/>
  <c r="L437" i="1"/>
  <c r="Q437" i="1" s="1"/>
  <c r="N437" i="1"/>
  <c r="Z437" i="1"/>
  <c r="A438" i="1"/>
  <c r="B438" i="1"/>
  <c r="AI438" i="1" s="1"/>
  <c r="C438" i="1"/>
  <c r="D438" i="1"/>
  <c r="E438" i="1"/>
  <c r="F438" i="1"/>
  <c r="G438" i="1"/>
  <c r="H438" i="1"/>
  <c r="I438" i="1"/>
  <c r="J438" i="1"/>
  <c r="K438" i="1"/>
  <c r="L438" i="1"/>
  <c r="N438" i="1"/>
  <c r="Z438" i="1"/>
  <c r="A439" i="1"/>
  <c r="B439" i="1"/>
  <c r="AI439" i="1" s="1"/>
  <c r="C439" i="1"/>
  <c r="D439" i="1"/>
  <c r="E439" i="1"/>
  <c r="F439" i="1"/>
  <c r="G439" i="1"/>
  <c r="H439" i="1"/>
  <c r="I439" i="1"/>
  <c r="J439" i="1"/>
  <c r="K439" i="1"/>
  <c r="L439" i="1"/>
  <c r="Q439" i="1" s="1"/>
  <c r="Z439" i="1"/>
  <c r="A440" i="1"/>
  <c r="B440" i="1"/>
  <c r="AI440" i="1" s="1"/>
  <c r="C440" i="1"/>
  <c r="D440" i="1"/>
  <c r="E440" i="1"/>
  <c r="F440" i="1"/>
  <c r="G440" i="1"/>
  <c r="H440" i="1"/>
  <c r="I440" i="1"/>
  <c r="J440" i="1"/>
  <c r="K440" i="1"/>
  <c r="L440" i="1"/>
  <c r="N440" i="1"/>
  <c r="Z440" i="1"/>
  <c r="A441" i="1"/>
  <c r="B441" i="1"/>
  <c r="AI441" i="1" s="1"/>
  <c r="C441" i="1"/>
  <c r="D441" i="1"/>
  <c r="E441" i="1"/>
  <c r="F441" i="1"/>
  <c r="G441" i="1"/>
  <c r="H441" i="1"/>
  <c r="I441" i="1"/>
  <c r="J441" i="1"/>
  <c r="K441" i="1"/>
  <c r="L441" i="1"/>
  <c r="Q441" i="1" s="1"/>
  <c r="N441" i="1"/>
  <c r="Z441" i="1"/>
  <c r="A442" i="1"/>
  <c r="B442" i="1"/>
  <c r="AI442" i="1" s="1"/>
  <c r="C442" i="1"/>
  <c r="D442" i="1"/>
  <c r="E442" i="1"/>
  <c r="F442" i="1"/>
  <c r="G442" i="1"/>
  <c r="H442" i="1"/>
  <c r="I442" i="1"/>
  <c r="J442" i="1"/>
  <c r="K442" i="1"/>
  <c r="L442" i="1"/>
  <c r="Q442" i="1" s="1"/>
  <c r="N442" i="1"/>
  <c r="Z442" i="1"/>
  <c r="A443" i="1"/>
  <c r="B443" i="1"/>
  <c r="AI443" i="1" s="1"/>
  <c r="C443" i="1"/>
  <c r="D443" i="1"/>
  <c r="E443" i="1"/>
  <c r="F443" i="1"/>
  <c r="G443" i="1"/>
  <c r="H443" i="1"/>
  <c r="I443" i="1"/>
  <c r="J443" i="1"/>
  <c r="K443" i="1"/>
  <c r="L443" i="1"/>
  <c r="Q443" i="1" s="1"/>
  <c r="N443" i="1"/>
  <c r="Z443" i="1"/>
  <c r="A444" i="1"/>
  <c r="B444" i="1"/>
  <c r="AI444" i="1" s="1"/>
  <c r="C444" i="1"/>
  <c r="D444" i="1"/>
  <c r="E444" i="1"/>
  <c r="F444" i="1"/>
  <c r="G444" i="1"/>
  <c r="H444" i="1"/>
  <c r="I444" i="1"/>
  <c r="J444" i="1"/>
  <c r="K444" i="1"/>
  <c r="L444" i="1"/>
  <c r="Q444" i="1" s="1"/>
  <c r="N444" i="1"/>
  <c r="Z444" i="1"/>
  <c r="A445" i="1"/>
  <c r="B445" i="1"/>
  <c r="AI445" i="1" s="1"/>
  <c r="C445" i="1"/>
  <c r="D445" i="1"/>
  <c r="E445" i="1"/>
  <c r="F445" i="1"/>
  <c r="G445" i="1"/>
  <c r="H445" i="1"/>
  <c r="I445" i="1"/>
  <c r="J445" i="1"/>
  <c r="K445" i="1"/>
  <c r="L445" i="1"/>
  <c r="Q445" i="1" s="1"/>
  <c r="N445" i="1"/>
  <c r="Z445" i="1"/>
  <c r="A446" i="1"/>
  <c r="B446" i="1"/>
  <c r="AI446" i="1" s="1"/>
  <c r="C446" i="1"/>
  <c r="D446" i="1"/>
  <c r="E446" i="1"/>
  <c r="F446" i="1"/>
  <c r="G446" i="1"/>
  <c r="H446" i="1"/>
  <c r="I446" i="1"/>
  <c r="J446" i="1"/>
  <c r="K446" i="1"/>
  <c r="L446" i="1"/>
  <c r="Q446" i="1" s="1"/>
  <c r="N446" i="1"/>
  <c r="Z446" i="1"/>
  <c r="A447" i="1"/>
  <c r="B447" i="1"/>
  <c r="AI447" i="1" s="1"/>
  <c r="C447" i="1"/>
  <c r="D447" i="1"/>
  <c r="E447" i="1"/>
  <c r="F447" i="1"/>
  <c r="G447" i="1"/>
  <c r="H447" i="1"/>
  <c r="I447" i="1"/>
  <c r="J447" i="1"/>
  <c r="K447" i="1"/>
  <c r="L447" i="1"/>
  <c r="Q447" i="1" s="1"/>
  <c r="N447" i="1"/>
  <c r="Z447" i="1"/>
  <c r="A448" i="1"/>
  <c r="B448" i="1"/>
  <c r="AI448" i="1" s="1"/>
  <c r="C448" i="1"/>
  <c r="D448" i="1"/>
  <c r="E448" i="1"/>
  <c r="F448" i="1"/>
  <c r="G448" i="1"/>
  <c r="H448" i="1"/>
  <c r="I448" i="1"/>
  <c r="J448" i="1"/>
  <c r="K448" i="1"/>
  <c r="L448" i="1"/>
  <c r="Q448" i="1" s="1"/>
  <c r="N448" i="1"/>
  <c r="Z448" i="1"/>
  <c r="A449" i="1"/>
  <c r="B449" i="1"/>
  <c r="AI449" i="1" s="1"/>
  <c r="C449" i="1"/>
  <c r="D449" i="1"/>
  <c r="E449" i="1"/>
  <c r="F449" i="1"/>
  <c r="G449" i="1"/>
  <c r="H449" i="1"/>
  <c r="I449" i="1"/>
  <c r="J449" i="1"/>
  <c r="K449" i="1"/>
  <c r="L449" i="1"/>
  <c r="Q449" i="1" s="1"/>
  <c r="Z449" i="1"/>
  <c r="A450" i="1"/>
  <c r="B450" i="1"/>
  <c r="AI450" i="1" s="1"/>
  <c r="C450" i="1"/>
  <c r="D450" i="1"/>
  <c r="E450" i="1"/>
  <c r="F450" i="1"/>
  <c r="G450" i="1"/>
  <c r="H450" i="1"/>
  <c r="I450" i="1"/>
  <c r="J450" i="1"/>
  <c r="K450" i="1"/>
  <c r="L450" i="1"/>
  <c r="Q450" i="1" s="1"/>
  <c r="N450" i="1"/>
  <c r="Z450" i="1"/>
  <c r="A451" i="1"/>
  <c r="B451" i="1"/>
  <c r="AI451" i="1" s="1"/>
  <c r="C451" i="1"/>
  <c r="D451" i="1"/>
  <c r="E451" i="1"/>
  <c r="F451" i="1"/>
  <c r="G451" i="1"/>
  <c r="H451" i="1"/>
  <c r="I451" i="1"/>
  <c r="J451" i="1"/>
  <c r="K451" i="1"/>
  <c r="L451" i="1"/>
  <c r="Q451" i="1" s="1"/>
  <c r="N451" i="1"/>
  <c r="Z451" i="1"/>
  <c r="A452" i="1"/>
  <c r="B452" i="1"/>
  <c r="AI452" i="1" s="1"/>
  <c r="C452" i="1"/>
  <c r="D452" i="1"/>
  <c r="E452" i="1"/>
  <c r="F452" i="1"/>
  <c r="G452" i="1"/>
  <c r="H452" i="1"/>
  <c r="I452" i="1"/>
  <c r="J452" i="1"/>
  <c r="K452" i="1"/>
  <c r="L452" i="1"/>
  <c r="Q452" i="1" s="1"/>
  <c r="N452" i="1"/>
  <c r="Z452" i="1"/>
  <c r="A453" i="1"/>
  <c r="B453" i="1"/>
  <c r="AI453" i="1" s="1"/>
  <c r="C453" i="1"/>
  <c r="D453" i="1"/>
  <c r="E453" i="1"/>
  <c r="F453" i="1"/>
  <c r="G453" i="1"/>
  <c r="H453" i="1"/>
  <c r="I453" i="1"/>
  <c r="J453" i="1"/>
  <c r="K453" i="1"/>
  <c r="L453" i="1"/>
  <c r="N453" i="1"/>
  <c r="Z453" i="1"/>
  <c r="A454" i="1"/>
  <c r="B454" i="1"/>
  <c r="AI454" i="1" s="1"/>
  <c r="C454" i="1"/>
  <c r="D454" i="1"/>
  <c r="E454" i="1"/>
  <c r="F454" i="1"/>
  <c r="G454" i="1"/>
  <c r="H454" i="1"/>
  <c r="I454" i="1"/>
  <c r="J454" i="1"/>
  <c r="K454" i="1"/>
  <c r="L454" i="1"/>
  <c r="Q454" i="1" s="1"/>
  <c r="N454" i="1"/>
  <c r="Z454" i="1"/>
  <c r="A455" i="1"/>
  <c r="B455" i="1"/>
  <c r="AI455" i="1" s="1"/>
  <c r="C455" i="1"/>
  <c r="D455" i="1"/>
  <c r="E455" i="1"/>
  <c r="F455" i="1"/>
  <c r="G455" i="1"/>
  <c r="H455" i="1"/>
  <c r="I455" i="1"/>
  <c r="J455" i="1"/>
  <c r="K455" i="1"/>
  <c r="L455" i="1"/>
  <c r="Q455" i="1" s="1"/>
  <c r="N455" i="1"/>
  <c r="Z455" i="1"/>
  <c r="A456" i="1"/>
  <c r="B456" i="1"/>
  <c r="AI456" i="1" s="1"/>
  <c r="C456" i="1"/>
  <c r="D456" i="1"/>
  <c r="E456" i="1"/>
  <c r="F456" i="1"/>
  <c r="G456" i="1"/>
  <c r="H456" i="1"/>
  <c r="I456" i="1"/>
  <c r="J456" i="1"/>
  <c r="K456" i="1"/>
  <c r="L456" i="1"/>
  <c r="Q456" i="1" s="1"/>
  <c r="N456" i="1"/>
  <c r="Z456" i="1"/>
  <c r="A457" i="1"/>
  <c r="B457" i="1"/>
  <c r="AI457" i="1" s="1"/>
  <c r="C457" i="1"/>
  <c r="D457" i="1"/>
  <c r="E457" i="1"/>
  <c r="F457" i="1"/>
  <c r="G457" i="1"/>
  <c r="H457" i="1"/>
  <c r="I457" i="1"/>
  <c r="J457" i="1"/>
  <c r="K457" i="1"/>
  <c r="L457" i="1"/>
  <c r="Q457" i="1" s="1"/>
  <c r="N457" i="1"/>
  <c r="Z457" i="1"/>
  <c r="A458" i="1"/>
  <c r="B458" i="1"/>
  <c r="AI458" i="1" s="1"/>
  <c r="C458" i="1"/>
  <c r="D458" i="1"/>
  <c r="E458" i="1"/>
  <c r="F458" i="1"/>
  <c r="G458" i="1"/>
  <c r="H458" i="1"/>
  <c r="I458" i="1"/>
  <c r="J458" i="1"/>
  <c r="K458" i="1"/>
  <c r="L458" i="1"/>
  <c r="Q458" i="1" s="1"/>
  <c r="N458" i="1"/>
  <c r="Z458" i="1"/>
  <c r="A459" i="1"/>
  <c r="B459" i="1"/>
  <c r="AI459" i="1" s="1"/>
  <c r="C459" i="1"/>
  <c r="D459" i="1"/>
  <c r="E459" i="1"/>
  <c r="F459" i="1"/>
  <c r="G459" i="1"/>
  <c r="H459" i="1"/>
  <c r="I459" i="1"/>
  <c r="J459" i="1"/>
  <c r="K459" i="1"/>
  <c r="L459" i="1"/>
  <c r="Q459" i="1" s="1"/>
  <c r="N459" i="1"/>
  <c r="Z459" i="1"/>
  <c r="A460" i="1"/>
  <c r="B460" i="1"/>
  <c r="AI460" i="1" s="1"/>
  <c r="C460" i="1"/>
  <c r="D460" i="1"/>
  <c r="E460" i="1"/>
  <c r="F460" i="1"/>
  <c r="G460" i="1"/>
  <c r="H460" i="1"/>
  <c r="I460" i="1"/>
  <c r="J460" i="1"/>
  <c r="K460" i="1"/>
  <c r="L460" i="1"/>
  <c r="Q460" i="1" s="1"/>
  <c r="N460" i="1"/>
  <c r="Z460" i="1"/>
  <c r="A461" i="1"/>
  <c r="B461" i="1"/>
  <c r="AI461" i="1" s="1"/>
  <c r="C461" i="1"/>
  <c r="D461" i="1"/>
  <c r="E461" i="1"/>
  <c r="F461" i="1"/>
  <c r="G461" i="1"/>
  <c r="H461" i="1"/>
  <c r="I461" i="1"/>
  <c r="J461" i="1"/>
  <c r="K461" i="1"/>
  <c r="L461" i="1"/>
  <c r="Q461" i="1" s="1"/>
  <c r="N461" i="1"/>
  <c r="Z461" i="1"/>
  <c r="A462" i="1"/>
  <c r="B462" i="1"/>
  <c r="AI462" i="1" s="1"/>
  <c r="C462" i="1"/>
  <c r="D462" i="1"/>
  <c r="E462" i="1"/>
  <c r="F462" i="1"/>
  <c r="G462" i="1"/>
  <c r="H462" i="1"/>
  <c r="I462" i="1"/>
  <c r="J462" i="1"/>
  <c r="K462" i="1"/>
  <c r="L462" i="1"/>
  <c r="N462" i="1"/>
  <c r="Z462" i="1"/>
  <c r="A463" i="1"/>
  <c r="B463" i="1"/>
  <c r="AI463" i="1" s="1"/>
  <c r="C463" i="1"/>
  <c r="D463" i="1"/>
  <c r="E463" i="1"/>
  <c r="F463" i="1"/>
  <c r="G463" i="1"/>
  <c r="H463" i="1"/>
  <c r="I463" i="1"/>
  <c r="J463" i="1"/>
  <c r="K463" i="1"/>
  <c r="L463" i="1"/>
  <c r="Q463" i="1" s="1"/>
  <c r="N463" i="1"/>
  <c r="Z463" i="1"/>
  <c r="A464" i="1"/>
  <c r="B464" i="1"/>
  <c r="AI464" i="1" s="1"/>
  <c r="C464" i="1"/>
  <c r="D464" i="1"/>
  <c r="E464" i="1"/>
  <c r="F464" i="1"/>
  <c r="G464" i="1"/>
  <c r="H464" i="1"/>
  <c r="I464" i="1"/>
  <c r="J464" i="1"/>
  <c r="K464" i="1"/>
  <c r="L464" i="1"/>
  <c r="Q464" i="1" s="1"/>
  <c r="N464" i="1"/>
  <c r="Z464" i="1"/>
  <c r="A465" i="1"/>
  <c r="B465" i="1"/>
  <c r="AI465" i="1" s="1"/>
  <c r="C465" i="1"/>
  <c r="D465" i="1"/>
  <c r="E465" i="1"/>
  <c r="F465" i="1"/>
  <c r="G465" i="1"/>
  <c r="H465" i="1"/>
  <c r="I465" i="1"/>
  <c r="J465" i="1"/>
  <c r="K465" i="1"/>
  <c r="L465" i="1"/>
  <c r="Q465" i="1" s="1"/>
  <c r="N465" i="1"/>
  <c r="Z465" i="1"/>
  <c r="A466" i="1"/>
  <c r="B466" i="1"/>
  <c r="AI466" i="1" s="1"/>
  <c r="C466" i="1"/>
  <c r="D466" i="1"/>
  <c r="E466" i="1"/>
  <c r="F466" i="1"/>
  <c r="G466" i="1"/>
  <c r="H466" i="1"/>
  <c r="I466" i="1"/>
  <c r="J466" i="1"/>
  <c r="K466" i="1"/>
  <c r="L466" i="1"/>
  <c r="Q466" i="1" s="1"/>
  <c r="N466" i="1"/>
  <c r="Z466" i="1"/>
  <c r="A467" i="1"/>
  <c r="B467" i="1"/>
  <c r="AI467" i="1" s="1"/>
  <c r="C467" i="1"/>
  <c r="D467" i="1"/>
  <c r="E467" i="1"/>
  <c r="F467" i="1"/>
  <c r="G467" i="1"/>
  <c r="H467" i="1"/>
  <c r="I467" i="1"/>
  <c r="J467" i="1"/>
  <c r="K467" i="1"/>
  <c r="L467" i="1"/>
  <c r="Q467" i="1" s="1"/>
  <c r="N467" i="1"/>
  <c r="Z467" i="1"/>
  <c r="A468" i="1"/>
  <c r="B468" i="1"/>
  <c r="AI468" i="1" s="1"/>
  <c r="C468" i="1"/>
  <c r="D468" i="1"/>
  <c r="E468" i="1"/>
  <c r="F468" i="1"/>
  <c r="G468" i="1"/>
  <c r="H468" i="1"/>
  <c r="I468" i="1"/>
  <c r="J468" i="1"/>
  <c r="K468" i="1"/>
  <c r="L468" i="1"/>
  <c r="Q468" i="1" s="1"/>
  <c r="N468" i="1"/>
  <c r="Z468" i="1"/>
  <c r="A469" i="1"/>
  <c r="B469" i="1"/>
  <c r="AI469" i="1" s="1"/>
  <c r="C469" i="1"/>
  <c r="D469" i="1"/>
  <c r="E469" i="1"/>
  <c r="F469" i="1"/>
  <c r="G469" i="1"/>
  <c r="H469" i="1"/>
  <c r="I469" i="1"/>
  <c r="J469" i="1"/>
  <c r="K469" i="1"/>
  <c r="L469" i="1"/>
  <c r="Q469" i="1" s="1"/>
  <c r="N469" i="1"/>
  <c r="Z469" i="1"/>
  <c r="A470" i="1"/>
  <c r="B470" i="1"/>
  <c r="AI470" i="1" s="1"/>
  <c r="C470" i="1"/>
  <c r="D470" i="1"/>
  <c r="E470" i="1"/>
  <c r="F470" i="1"/>
  <c r="G470" i="1"/>
  <c r="H470" i="1"/>
  <c r="I470" i="1"/>
  <c r="J470" i="1"/>
  <c r="K470" i="1"/>
  <c r="L470" i="1"/>
  <c r="Q470" i="1" s="1"/>
  <c r="N470" i="1"/>
  <c r="Z470" i="1"/>
  <c r="A471" i="1"/>
  <c r="B471" i="1"/>
  <c r="AI471" i="1" s="1"/>
  <c r="C471" i="1"/>
  <c r="D471" i="1"/>
  <c r="E471" i="1"/>
  <c r="F471" i="1"/>
  <c r="G471" i="1"/>
  <c r="H471" i="1"/>
  <c r="I471" i="1"/>
  <c r="J471" i="1"/>
  <c r="K471" i="1"/>
  <c r="L471" i="1"/>
  <c r="Q471" i="1" s="1"/>
  <c r="Z471" i="1"/>
  <c r="A472" i="1"/>
  <c r="B472" i="1"/>
  <c r="AI472" i="1" s="1"/>
  <c r="C472" i="1"/>
  <c r="D472" i="1"/>
  <c r="E472" i="1"/>
  <c r="F472" i="1"/>
  <c r="G472" i="1"/>
  <c r="H472" i="1"/>
  <c r="I472" i="1"/>
  <c r="J472" i="1"/>
  <c r="K472" i="1"/>
  <c r="L472" i="1"/>
  <c r="Q472" i="1" s="1"/>
  <c r="N472" i="1"/>
  <c r="Z472" i="1"/>
  <c r="A473" i="1"/>
  <c r="B473" i="1"/>
  <c r="AI473" i="1" s="1"/>
  <c r="C473" i="1"/>
  <c r="D473" i="1"/>
  <c r="E473" i="1"/>
  <c r="F473" i="1"/>
  <c r="G473" i="1"/>
  <c r="H473" i="1"/>
  <c r="I473" i="1"/>
  <c r="J473" i="1"/>
  <c r="K473" i="1"/>
  <c r="L473" i="1"/>
  <c r="Q473" i="1" s="1"/>
  <c r="N473" i="1"/>
  <c r="Z473" i="1"/>
  <c r="A474" i="1"/>
  <c r="B474" i="1"/>
  <c r="AI474" i="1" s="1"/>
  <c r="C474" i="1"/>
  <c r="D474" i="1"/>
  <c r="E474" i="1"/>
  <c r="F474" i="1"/>
  <c r="G474" i="1"/>
  <c r="H474" i="1"/>
  <c r="I474" i="1"/>
  <c r="J474" i="1"/>
  <c r="K474" i="1"/>
  <c r="L474" i="1"/>
  <c r="Q474" i="1" s="1"/>
  <c r="N474" i="1"/>
  <c r="Z474" i="1"/>
  <c r="A475" i="1"/>
  <c r="B475" i="1"/>
  <c r="AI475" i="1" s="1"/>
  <c r="C475" i="1"/>
  <c r="D475" i="1"/>
  <c r="E475" i="1"/>
  <c r="F475" i="1"/>
  <c r="G475" i="1"/>
  <c r="H475" i="1"/>
  <c r="I475" i="1"/>
  <c r="J475" i="1"/>
  <c r="K475" i="1"/>
  <c r="L475" i="1"/>
  <c r="Q475" i="1" s="1"/>
  <c r="N475" i="1"/>
  <c r="Z475" i="1"/>
  <c r="A476" i="1"/>
  <c r="B476" i="1"/>
  <c r="AI476" i="1" s="1"/>
  <c r="C476" i="1"/>
  <c r="D476" i="1"/>
  <c r="E476" i="1"/>
  <c r="F476" i="1"/>
  <c r="G476" i="1"/>
  <c r="H476" i="1"/>
  <c r="I476" i="1"/>
  <c r="J476" i="1"/>
  <c r="K476" i="1"/>
  <c r="L476" i="1"/>
  <c r="Q476" i="1" s="1"/>
  <c r="N476" i="1"/>
  <c r="Z476" i="1"/>
  <c r="A477" i="1"/>
  <c r="B477" i="1"/>
  <c r="AI477" i="1" s="1"/>
  <c r="C477" i="1"/>
  <c r="D477" i="1"/>
  <c r="E477" i="1"/>
  <c r="F477" i="1"/>
  <c r="G477" i="1"/>
  <c r="H477" i="1"/>
  <c r="I477" i="1"/>
  <c r="J477" i="1"/>
  <c r="K477" i="1"/>
  <c r="L477" i="1"/>
  <c r="Q477" i="1" s="1"/>
  <c r="N477" i="1"/>
  <c r="Z477" i="1"/>
  <c r="A478" i="1"/>
  <c r="B478" i="1"/>
  <c r="AI478" i="1" s="1"/>
  <c r="C478" i="1"/>
  <c r="D478" i="1"/>
  <c r="E478" i="1"/>
  <c r="F478" i="1"/>
  <c r="G478" i="1"/>
  <c r="H478" i="1"/>
  <c r="I478" i="1"/>
  <c r="J478" i="1"/>
  <c r="K478" i="1"/>
  <c r="L478" i="1"/>
  <c r="Q478" i="1" s="1"/>
  <c r="N478" i="1"/>
  <c r="Z478" i="1"/>
  <c r="A479" i="1"/>
  <c r="B479" i="1"/>
  <c r="AI479" i="1" s="1"/>
  <c r="C479" i="1"/>
  <c r="D479" i="1"/>
  <c r="E479" i="1"/>
  <c r="F479" i="1"/>
  <c r="G479" i="1"/>
  <c r="H479" i="1"/>
  <c r="I479" i="1"/>
  <c r="J479" i="1"/>
  <c r="K479" i="1"/>
  <c r="L479" i="1"/>
  <c r="Q479" i="1" s="1"/>
  <c r="N479" i="1"/>
  <c r="Z479" i="1"/>
  <c r="A480" i="1"/>
  <c r="B480" i="1"/>
  <c r="AI480" i="1" s="1"/>
  <c r="C480" i="1"/>
  <c r="D480" i="1"/>
  <c r="E480" i="1"/>
  <c r="F480" i="1"/>
  <c r="G480" i="1"/>
  <c r="H480" i="1"/>
  <c r="I480" i="1"/>
  <c r="J480" i="1"/>
  <c r="K480" i="1"/>
  <c r="L480" i="1"/>
  <c r="Q480" i="1" s="1"/>
  <c r="N480" i="1"/>
  <c r="Z480" i="1"/>
  <c r="A481" i="1"/>
  <c r="B481" i="1"/>
  <c r="AI481" i="1" s="1"/>
  <c r="C481" i="1"/>
  <c r="D481" i="1"/>
  <c r="E481" i="1"/>
  <c r="F481" i="1"/>
  <c r="G481" i="1"/>
  <c r="H481" i="1"/>
  <c r="I481" i="1"/>
  <c r="J481" i="1"/>
  <c r="K481" i="1"/>
  <c r="L481" i="1"/>
  <c r="Q481" i="1" s="1"/>
  <c r="N481" i="1"/>
  <c r="Z481" i="1"/>
  <c r="A482" i="1"/>
  <c r="B482" i="1"/>
  <c r="AI482" i="1" s="1"/>
  <c r="C482" i="1"/>
  <c r="D482" i="1"/>
  <c r="E482" i="1"/>
  <c r="F482" i="1"/>
  <c r="G482" i="1"/>
  <c r="H482" i="1"/>
  <c r="I482" i="1"/>
  <c r="J482" i="1"/>
  <c r="K482" i="1"/>
  <c r="L482" i="1"/>
  <c r="Q482" i="1" s="1"/>
  <c r="N482" i="1"/>
  <c r="Z482" i="1"/>
  <c r="A483" i="1"/>
  <c r="B483" i="1"/>
  <c r="AI483" i="1" s="1"/>
  <c r="C483" i="1"/>
  <c r="D483" i="1"/>
  <c r="E483" i="1"/>
  <c r="F483" i="1"/>
  <c r="G483" i="1"/>
  <c r="H483" i="1"/>
  <c r="I483" i="1"/>
  <c r="J483" i="1"/>
  <c r="K483" i="1"/>
  <c r="L483" i="1"/>
  <c r="Q483" i="1" s="1"/>
  <c r="N483" i="1"/>
  <c r="Z483" i="1"/>
  <c r="A484" i="1"/>
  <c r="B484" i="1"/>
  <c r="AI484" i="1" s="1"/>
  <c r="C484" i="1"/>
  <c r="D484" i="1"/>
  <c r="E484" i="1"/>
  <c r="F484" i="1"/>
  <c r="G484" i="1"/>
  <c r="H484" i="1"/>
  <c r="I484" i="1"/>
  <c r="J484" i="1"/>
  <c r="K484" i="1"/>
  <c r="L484" i="1"/>
  <c r="Q484" i="1" s="1"/>
  <c r="N484" i="1"/>
  <c r="Z484" i="1"/>
  <c r="A485" i="1"/>
  <c r="B485" i="1"/>
  <c r="AI485" i="1" s="1"/>
  <c r="C485" i="1"/>
  <c r="D485" i="1"/>
  <c r="E485" i="1"/>
  <c r="F485" i="1"/>
  <c r="G485" i="1"/>
  <c r="H485" i="1"/>
  <c r="I485" i="1"/>
  <c r="J485" i="1"/>
  <c r="K485" i="1"/>
  <c r="L485" i="1"/>
  <c r="Q485" i="1" s="1"/>
  <c r="N485" i="1"/>
  <c r="Z485" i="1"/>
  <c r="A486" i="1"/>
  <c r="B486" i="1"/>
  <c r="AI486" i="1" s="1"/>
  <c r="C486" i="1"/>
  <c r="D486" i="1"/>
  <c r="E486" i="1"/>
  <c r="F486" i="1"/>
  <c r="G486" i="1"/>
  <c r="H486" i="1"/>
  <c r="I486" i="1"/>
  <c r="J486" i="1"/>
  <c r="K486" i="1"/>
  <c r="L486" i="1"/>
  <c r="Q486" i="1" s="1"/>
  <c r="N486" i="1"/>
  <c r="Z486" i="1"/>
  <c r="A487" i="1"/>
  <c r="B487" i="1"/>
  <c r="AI487" i="1" s="1"/>
  <c r="C487" i="1"/>
  <c r="D487" i="1"/>
  <c r="E487" i="1"/>
  <c r="F487" i="1"/>
  <c r="G487" i="1"/>
  <c r="H487" i="1"/>
  <c r="I487" i="1"/>
  <c r="J487" i="1"/>
  <c r="K487" i="1"/>
  <c r="L487" i="1"/>
  <c r="Q487" i="1" s="1"/>
  <c r="N487" i="1"/>
  <c r="Z487" i="1"/>
  <c r="A488" i="1"/>
  <c r="B488" i="1"/>
  <c r="AI488" i="1" s="1"/>
  <c r="C488" i="1"/>
  <c r="D488" i="1"/>
  <c r="E488" i="1"/>
  <c r="F488" i="1"/>
  <c r="G488" i="1"/>
  <c r="H488" i="1"/>
  <c r="I488" i="1"/>
  <c r="J488" i="1"/>
  <c r="K488" i="1"/>
  <c r="L488" i="1"/>
  <c r="Q488" i="1" s="1"/>
  <c r="N488" i="1"/>
  <c r="Z488" i="1"/>
  <c r="A489" i="1"/>
  <c r="B489" i="1"/>
  <c r="AI489" i="1" s="1"/>
  <c r="C489" i="1"/>
  <c r="D489" i="1"/>
  <c r="E489" i="1"/>
  <c r="F489" i="1"/>
  <c r="G489" i="1"/>
  <c r="H489" i="1"/>
  <c r="I489" i="1"/>
  <c r="J489" i="1"/>
  <c r="K489" i="1"/>
  <c r="L489" i="1"/>
  <c r="Q489" i="1" s="1"/>
  <c r="N489" i="1"/>
  <c r="Z489" i="1"/>
  <c r="A490" i="1"/>
  <c r="B490" i="1"/>
  <c r="AI490" i="1" s="1"/>
  <c r="C490" i="1"/>
  <c r="D490" i="1"/>
  <c r="E490" i="1"/>
  <c r="F490" i="1"/>
  <c r="G490" i="1"/>
  <c r="H490" i="1"/>
  <c r="I490" i="1"/>
  <c r="J490" i="1"/>
  <c r="K490" i="1"/>
  <c r="L490" i="1"/>
  <c r="Q490" i="1" s="1"/>
  <c r="N490" i="1"/>
  <c r="Z490" i="1"/>
  <c r="A491" i="1"/>
  <c r="AI491" i="1"/>
  <c r="C491" i="1"/>
  <c r="D491" i="1"/>
  <c r="E491" i="1"/>
  <c r="F491" i="1"/>
  <c r="G491" i="1"/>
  <c r="H491" i="1"/>
  <c r="I491" i="1"/>
  <c r="J491" i="1"/>
  <c r="K491" i="1"/>
  <c r="L491" i="1"/>
  <c r="Q491" i="1" s="1"/>
  <c r="N491" i="1"/>
  <c r="Z491" i="1"/>
  <c r="A492" i="1"/>
  <c r="B492" i="1"/>
  <c r="AI492" i="1" s="1"/>
  <c r="C492" i="1"/>
  <c r="D492" i="1"/>
  <c r="E492" i="1"/>
  <c r="F492" i="1"/>
  <c r="G492" i="1"/>
  <c r="H492" i="1"/>
  <c r="I492" i="1"/>
  <c r="J492" i="1"/>
  <c r="K492" i="1"/>
  <c r="L492" i="1"/>
  <c r="Q492" i="1" s="1"/>
  <c r="N492" i="1"/>
  <c r="Z492" i="1"/>
  <c r="A493" i="1"/>
  <c r="B493" i="1"/>
  <c r="AI493" i="1" s="1"/>
  <c r="C493" i="1"/>
  <c r="D493" i="1"/>
  <c r="E493" i="1"/>
  <c r="F493" i="1"/>
  <c r="G493" i="1"/>
  <c r="H493" i="1"/>
  <c r="I493" i="1"/>
  <c r="J493" i="1"/>
  <c r="K493" i="1"/>
  <c r="L493" i="1"/>
  <c r="Q493" i="1" s="1"/>
  <c r="N493" i="1"/>
  <c r="Z493" i="1"/>
  <c r="A494" i="1"/>
  <c r="B494" i="1"/>
  <c r="AI494" i="1" s="1"/>
  <c r="C494" i="1"/>
  <c r="D494" i="1"/>
  <c r="E494" i="1"/>
  <c r="F494" i="1"/>
  <c r="G494" i="1"/>
  <c r="H494" i="1"/>
  <c r="I494" i="1"/>
  <c r="J494" i="1"/>
  <c r="K494" i="1"/>
  <c r="L494" i="1"/>
  <c r="Q494" i="1" s="1"/>
  <c r="N494" i="1"/>
  <c r="Z494" i="1"/>
  <c r="A495" i="1"/>
  <c r="B495" i="1"/>
  <c r="AI495" i="1" s="1"/>
  <c r="C495" i="1"/>
  <c r="D495" i="1"/>
  <c r="E495" i="1"/>
  <c r="F495" i="1"/>
  <c r="G495" i="1"/>
  <c r="H495" i="1"/>
  <c r="I495" i="1"/>
  <c r="J495" i="1"/>
  <c r="K495" i="1"/>
  <c r="L495" i="1"/>
  <c r="Q495" i="1" s="1"/>
  <c r="N495" i="1"/>
  <c r="Z495" i="1"/>
  <c r="A496" i="1"/>
  <c r="B496" i="1"/>
  <c r="AI496" i="1" s="1"/>
  <c r="C496" i="1"/>
  <c r="D496" i="1"/>
  <c r="E496" i="1"/>
  <c r="F496" i="1"/>
  <c r="G496" i="1"/>
  <c r="H496" i="1"/>
  <c r="I496" i="1"/>
  <c r="J496" i="1"/>
  <c r="K496" i="1"/>
  <c r="L496" i="1"/>
  <c r="Q496" i="1" s="1"/>
  <c r="N496" i="1"/>
  <c r="Z496" i="1"/>
  <c r="A497" i="1"/>
  <c r="B497" i="1"/>
  <c r="AI497" i="1" s="1"/>
  <c r="C497" i="1"/>
  <c r="D497" i="1"/>
  <c r="E497" i="1"/>
  <c r="F497" i="1"/>
  <c r="G497" i="1"/>
  <c r="H497" i="1"/>
  <c r="I497" i="1"/>
  <c r="J497" i="1"/>
  <c r="K497" i="1"/>
  <c r="L497" i="1"/>
  <c r="Q497" i="1" s="1"/>
  <c r="Z497" i="1"/>
  <c r="A498" i="1"/>
  <c r="B498" i="1"/>
  <c r="AI498" i="1" s="1"/>
  <c r="C498" i="1"/>
  <c r="D498" i="1"/>
  <c r="E498" i="1"/>
  <c r="F498" i="1"/>
  <c r="G498" i="1"/>
  <c r="H498" i="1"/>
  <c r="I498" i="1"/>
  <c r="J498" i="1"/>
  <c r="K498" i="1"/>
  <c r="L498" i="1"/>
  <c r="Q498" i="1" s="1"/>
  <c r="Z498" i="1"/>
  <c r="A499" i="1"/>
  <c r="B499" i="1"/>
  <c r="AI499" i="1" s="1"/>
  <c r="C499" i="1"/>
  <c r="D499" i="1"/>
  <c r="E499" i="1"/>
  <c r="F499" i="1"/>
  <c r="G499" i="1"/>
  <c r="H499" i="1"/>
  <c r="I499" i="1"/>
  <c r="J499" i="1"/>
  <c r="K499" i="1"/>
  <c r="L499" i="1"/>
  <c r="Q499" i="1" s="1"/>
  <c r="N499" i="1"/>
  <c r="Z499" i="1"/>
  <c r="A500" i="1"/>
  <c r="B500" i="1"/>
  <c r="AI500" i="1" s="1"/>
  <c r="C500" i="1"/>
  <c r="D500" i="1"/>
  <c r="E500" i="1"/>
  <c r="F500" i="1"/>
  <c r="G500" i="1"/>
  <c r="H500" i="1"/>
  <c r="I500" i="1"/>
  <c r="J500" i="1"/>
  <c r="K500" i="1"/>
  <c r="L500" i="1"/>
  <c r="Q500" i="1" s="1"/>
  <c r="N500" i="1"/>
  <c r="Z500" i="1"/>
  <c r="A501" i="1"/>
  <c r="B501" i="1"/>
  <c r="AI501" i="1" s="1"/>
  <c r="C501" i="1"/>
  <c r="D501" i="1"/>
  <c r="E501" i="1"/>
  <c r="F501" i="1"/>
  <c r="G501" i="1"/>
  <c r="H501" i="1"/>
  <c r="I501" i="1"/>
  <c r="J501" i="1"/>
  <c r="K501" i="1"/>
  <c r="L501" i="1"/>
  <c r="Q501" i="1" s="1"/>
  <c r="N501" i="1"/>
  <c r="Z501" i="1"/>
  <c r="A502" i="1"/>
  <c r="B502" i="1"/>
  <c r="AI502" i="1" s="1"/>
  <c r="C502" i="1"/>
  <c r="D502" i="1"/>
  <c r="E502" i="1"/>
  <c r="F502" i="1"/>
  <c r="G502" i="1"/>
  <c r="H502" i="1"/>
  <c r="I502" i="1"/>
  <c r="J502" i="1"/>
  <c r="K502" i="1"/>
  <c r="L502" i="1"/>
  <c r="N502" i="1"/>
  <c r="Z502" i="1"/>
  <c r="A503" i="1"/>
  <c r="B503" i="1"/>
  <c r="AI503" i="1" s="1"/>
  <c r="C503" i="1"/>
  <c r="D503" i="1"/>
  <c r="E503" i="1"/>
  <c r="F503" i="1"/>
  <c r="G503" i="1"/>
  <c r="H503" i="1"/>
  <c r="I503" i="1"/>
  <c r="J503" i="1"/>
  <c r="K503" i="1"/>
  <c r="L503" i="1"/>
  <c r="Q503" i="1" s="1"/>
  <c r="N503" i="1"/>
  <c r="Z503" i="1"/>
  <c r="A504" i="1"/>
  <c r="B504" i="1"/>
  <c r="AI504" i="1" s="1"/>
  <c r="C504" i="1"/>
  <c r="D504" i="1"/>
  <c r="E504" i="1"/>
  <c r="F504" i="1"/>
  <c r="G504" i="1"/>
  <c r="H504" i="1"/>
  <c r="I504" i="1"/>
  <c r="J504" i="1"/>
  <c r="K504" i="1"/>
  <c r="L504" i="1"/>
  <c r="Q504" i="1" s="1"/>
  <c r="N504" i="1"/>
  <c r="Z504" i="1"/>
  <c r="A505" i="1"/>
  <c r="B505" i="1"/>
  <c r="AI505" i="1" s="1"/>
  <c r="C505" i="1"/>
  <c r="D505" i="1"/>
  <c r="E505" i="1"/>
  <c r="F505" i="1"/>
  <c r="G505" i="1"/>
  <c r="H505" i="1"/>
  <c r="I505" i="1"/>
  <c r="J505" i="1"/>
  <c r="K505" i="1"/>
  <c r="L505" i="1"/>
  <c r="Q505" i="1" s="1"/>
  <c r="N505" i="1"/>
  <c r="Z505" i="1"/>
  <c r="A506" i="1"/>
  <c r="B506" i="1"/>
  <c r="AI506" i="1" s="1"/>
  <c r="C506" i="1"/>
  <c r="D506" i="1"/>
  <c r="E506" i="1"/>
  <c r="F506" i="1"/>
  <c r="G506" i="1"/>
  <c r="H506" i="1"/>
  <c r="I506" i="1"/>
  <c r="J506" i="1"/>
  <c r="K506" i="1"/>
  <c r="L506" i="1"/>
  <c r="Q506" i="1" s="1"/>
  <c r="Z506" i="1"/>
  <c r="A507" i="1"/>
  <c r="B507" i="1"/>
  <c r="AI507" i="1" s="1"/>
  <c r="C507" i="1"/>
  <c r="D507" i="1"/>
  <c r="E507" i="1"/>
  <c r="F507" i="1"/>
  <c r="G507" i="1"/>
  <c r="H507" i="1"/>
  <c r="I507" i="1"/>
  <c r="J507" i="1"/>
  <c r="K507" i="1"/>
  <c r="L507" i="1"/>
  <c r="Q507" i="1" s="1"/>
  <c r="N507" i="1"/>
  <c r="Z507" i="1"/>
  <c r="A508" i="1"/>
  <c r="B508" i="1"/>
  <c r="AI508" i="1" s="1"/>
  <c r="C508" i="1"/>
  <c r="D508" i="1"/>
  <c r="E508" i="1"/>
  <c r="F508" i="1"/>
  <c r="G508" i="1"/>
  <c r="H508" i="1"/>
  <c r="I508" i="1"/>
  <c r="J508" i="1"/>
  <c r="K508" i="1"/>
  <c r="L508" i="1"/>
  <c r="Q508" i="1" s="1"/>
  <c r="Z508" i="1"/>
  <c r="A509" i="1"/>
  <c r="B509" i="1"/>
  <c r="AI509" i="1" s="1"/>
  <c r="C509" i="1"/>
  <c r="D509" i="1"/>
  <c r="E509" i="1"/>
  <c r="F509" i="1"/>
  <c r="G509" i="1"/>
  <c r="H509" i="1"/>
  <c r="I509" i="1"/>
  <c r="J509" i="1"/>
  <c r="K509" i="1"/>
  <c r="L509" i="1"/>
  <c r="Q509" i="1" s="1"/>
  <c r="N509" i="1"/>
  <c r="Z509" i="1"/>
  <c r="A510" i="1"/>
  <c r="B510" i="1"/>
  <c r="AI510" i="1" s="1"/>
  <c r="C510" i="1"/>
  <c r="D510" i="1"/>
  <c r="E510" i="1"/>
  <c r="F510" i="1"/>
  <c r="G510" i="1"/>
  <c r="H510" i="1"/>
  <c r="I510" i="1"/>
  <c r="J510" i="1"/>
  <c r="K510" i="1"/>
  <c r="L510" i="1"/>
  <c r="Q510" i="1" s="1"/>
  <c r="N510" i="1"/>
  <c r="Z510" i="1"/>
  <c r="A511" i="1"/>
  <c r="B511" i="1"/>
  <c r="AI511" i="1" s="1"/>
  <c r="C511" i="1"/>
  <c r="D511" i="1"/>
  <c r="E511" i="1"/>
  <c r="F511" i="1"/>
  <c r="G511" i="1"/>
  <c r="H511" i="1"/>
  <c r="I511" i="1"/>
  <c r="J511" i="1"/>
  <c r="K511" i="1"/>
  <c r="L511" i="1"/>
  <c r="Q511" i="1" s="1"/>
  <c r="N511" i="1"/>
  <c r="Z511" i="1"/>
  <c r="A512" i="1"/>
  <c r="B512" i="1"/>
  <c r="AI512" i="1" s="1"/>
  <c r="C512" i="1"/>
  <c r="D512" i="1"/>
  <c r="E512" i="1"/>
  <c r="F512" i="1"/>
  <c r="G512" i="1"/>
  <c r="H512" i="1"/>
  <c r="I512" i="1"/>
  <c r="J512" i="1"/>
  <c r="K512" i="1"/>
  <c r="L512" i="1"/>
  <c r="N512" i="1"/>
  <c r="Z512" i="1"/>
  <c r="A513" i="1"/>
  <c r="B513" i="1"/>
  <c r="AI513" i="1" s="1"/>
  <c r="C513" i="1"/>
  <c r="D513" i="1"/>
  <c r="E513" i="1"/>
  <c r="F513" i="1"/>
  <c r="G513" i="1"/>
  <c r="H513" i="1"/>
  <c r="I513" i="1"/>
  <c r="J513" i="1"/>
  <c r="K513" i="1"/>
  <c r="L513" i="1"/>
  <c r="Q513" i="1" s="1"/>
  <c r="N513" i="1"/>
  <c r="Z513" i="1"/>
  <c r="A514" i="1"/>
  <c r="B514" i="1"/>
  <c r="AI514" i="1" s="1"/>
  <c r="C514" i="1"/>
  <c r="D514" i="1"/>
  <c r="E514" i="1"/>
  <c r="F514" i="1"/>
  <c r="G514" i="1"/>
  <c r="H514" i="1"/>
  <c r="I514" i="1"/>
  <c r="J514" i="1"/>
  <c r="K514" i="1"/>
  <c r="L514" i="1"/>
  <c r="Q514" i="1" s="1"/>
  <c r="Z514" i="1"/>
  <c r="A515" i="1"/>
  <c r="B515" i="1"/>
  <c r="AI515" i="1" s="1"/>
  <c r="C515" i="1"/>
  <c r="D515" i="1"/>
  <c r="E515" i="1"/>
  <c r="F515" i="1"/>
  <c r="G515" i="1"/>
  <c r="H515" i="1"/>
  <c r="I515" i="1"/>
  <c r="J515" i="1"/>
  <c r="K515" i="1"/>
  <c r="L515" i="1"/>
  <c r="Q515" i="1" s="1"/>
  <c r="N515" i="1"/>
  <c r="Z515" i="1"/>
  <c r="A516" i="1"/>
  <c r="B516" i="1"/>
  <c r="AI516" i="1" s="1"/>
  <c r="C516" i="1"/>
  <c r="D516" i="1"/>
  <c r="E516" i="1"/>
  <c r="F516" i="1"/>
  <c r="G516" i="1"/>
  <c r="H516" i="1"/>
  <c r="I516" i="1"/>
  <c r="J516" i="1"/>
  <c r="K516" i="1"/>
  <c r="L516" i="1"/>
  <c r="Q516" i="1" s="1"/>
  <c r="Z516" i="1"/>
  <c r="A517" i="1"/>
  <c r="B517" i="1"/>
  <c r="AI517" i="1" s="1"/>
  <c r="C517" i="1"/>
  <c r="D517" i="1"/>
  <c r="E517" i="1"/>
  <c r="F517" i="1"/>
  <c r="G517" i="1"/>
  <c r="H517" i="1"/>
  <c r="I517" i="1"/>
  <c r="J517" i="1"/>
  <c r="K517" i="1"/>
  <c r="L517" i="1"/>
  <c r="Q517" i="1" s="1"/>
  <c r="N517" i="1"/>
  <c r="Z517" i="1"/>
  <c r="A518" i="1"/>
  <c r="B518" i="1"/>
  <c r="AI518" i="1" s="1"/>
  <c r="C518" i="1"/>
  <c r="D518" i="1"/>
  <c r="E518" i="1"/>
  <c r="F518" i="1"/>
  <c r="G518" i="1"/>
  <c r="H518" i="1"/>
  <c r="I518" i="1"/>
  <c r="J518" i="1"/>
  <c r="K518" i="1"/>
  <c r="L518" i="1"/>
  <c r="Q518" i="1" s="1"/>
  <c r="N518" i="1"/>
  <c r="Z518" i="1"/>
  <c r="A519" i="1"/>
  <c r="B519" i="1"/>
  <c r="AI519" i="1" s="1"/>
  <c r="C519" i="1"/>
  <c r="D519" i="1"/>
  <c r="E519" i="1"/>
  <c r="F519" i="1"/>
  <c r="G519" i="1"/>
  <c r="H519" i="1"/>
  <c r="I519" i="1"/>
  <c r="J519" i="1"/>
  <c r="K519" i="1"/>
  <c r="L519" i="1"/>
  <c r="Q519" i="1" s="1"/>
  <c r="N519" i="1"/>
  <c r="Z519" i="1"/>
  <c r="A520" i="1"/>
  <c r="B520" i="1"/>
  <c r="AI520" i="1" s="1"/>
  <c r="C520" i="1"/>
  <c r="D520" i="1"/>
  <c r="E520" i="1"/>
  <c r="F520" i="1"/>
  <c r="G520" i="1"/>
  <c r="H520" i="1"/>
  <c r="I520" i="1"/>
  <c r="J520" i="1"/>
  <c r="K520" i="1"/>
  <c r="L520" i="1"/>
  <c r="Q520" i="1" s="1"/>
  <c r="N520" i="1"/>
  <c r="Z520" i="1"/>
  <c r="A521" i="1"/>
  <c r="B521" i="1"/>
  <c r="AI521" i="1" s="1"/>
  <c r="C521" i="1"/>
  <c r="D521" i="1"/>
  <c r="E521" i="1"/>
  <c r="F521" i="1"/>
  <c r="G521" i="1"/>
  <c r="H521" i="1"/>
  <c r="I521" i="1"/>
  <c r="J521" i="1"/>
  <c r="K521" i="1"/>
  <c r="L521" i="1"/>
  <c r="Q521" i="1" s="1"/>
  <c r="N521" i="1"/>
  <c r="Z521" i="1"/>
  <c r="A522" i="1"/>
  <c r="B522" i="1"/>
  <c r="AI522" i="1" s="1"/>
  <c r="C522" i="1"/>
  <c r="D522" i="1"/>
  <c r="E522" i="1"/>
  <c r="F522" i="1"/>
  <c r="G522" i="1"/>
  <c r="H522" i="1"/>
  <c r="I522" i="1"/>
  <c r="J522" i="1"/>
  <c r="K522" i="1"/>
  <c r="L522" i="1"/>
  <c r="Q522" i="1" s="1"/>
  <c r="N522" i="1"/>
  <c r="Z522" i="1"/>
  <c r="A523" i="1"/>
  <c r="B523" i="1"/>
  <c r="AI523" i="1" s="1"/>
  <c r="C523" i="1"/>
  <c r="D523" i="1"/>
  <c r="E523" i="1"/>
  <c r="F523" i="1"/>
  <c r="G523" i="1"/>
  <c r="H523" i="1"/>
  <c r="I523" i="1"/>
  <c r="J523" i="1"/>
  <c r="K523" i="1"/>
  <c r="L523" i="1"/>
  <c r="Q523" i="1" s="1"/>
  <c r="N523" i="1"/>
  <c r="Z523" i="1"/>
  <c r="A524" i="1"/>
  <c r="B524" i="1"/>
  <c r="AI524" i="1" s="1"/>
  <c r="C524" i="1"/>
  <c r="D524" i="1"/>
  <c r="E524" i="1"/>
  <c r="F524" i="1"/>
  <c r="G524" i="1"/>
  <c r="H524" i="1"/>
  <c r="I524" i="1"/>
  <c r="J524" i="1"/>
  <c r="K524" i="1"/>
  <c r="L524" i="1"/>
  <c r="Q524" i="1" s="1"/>
  <c r="N524" i="1"/>
  <c r="Z524" i="1"/>
  <c r="A525" i="1"/>
  <c r="B525" i="1"/>
  <c r="AI525" i="1" s="1"/>
  <c r="C525" i="1"/>
  <c r="D525" i="1"/>
  <c r="E525" i="1"/>
  <c r="F525" i="1"/>
  <c r="G525" i="1"/>
  <c r="H525" i="1"/>
  <c r="I525" i="1"/>
  <c r="J525" i="1"/>
  <c r="K525" i="1"/>
  <c r="L525" i="1"/>
  <c r="Q525" i="1" s="1"/>
  <c r="N525" i="1"/>
  <c r="Z525" i="1"/>
  <c r="A526" i="1"/>
  <c r="B526" i="1"/>
  <c r="AI526" i="1" s="1"/>
  <c r="C526" i="1"/>
  <c r="D526" i="1"/>
  <c r="E526" i="1"/>
  <c r="F526" i="1"/>
  <c r="G526" i="1"/>
  <c r="H526" i="1"/>
  <c r="I526" i="1"/>
  <c r="J526" i="1"/>
  <c r="K526" i="1"/>
  <c r="L526" i="1"/>
  <c r="Q526" i="1" s="1"/>
  <c r="N526" i="1"/>
  <c r="Z526" i="1"/>
  <c r="A527" i="1"/>
  <c r="B527" i="1"/>
  <c r="AI527" i="1" s="1"/>
  <c r="C527" i="1"/>
  <c r="D527" i="1"/>
  <c r="E527" i="1"/>
  <c r="F527" i="1"/>
  <c r="G527" i="1"/>
  <c r="H527" i="1"/>
  <c r="I527" i="1"/>
  <c r="J527" i="1"/>
  <c r="K527" i="1"/>
  <c r="L527" i="1"/>
  <c r="N527" i="1"/>
  <c r="Z527" i="1"/>
  <c r="A528" i="1"/>
  <c r="B528" i="1"/>
  <c r="AI528" i="1" s="1"/>
  <c r="C528" i="1"/>
  <c r="D528" i="1"/>
  <c r="E528" i="1"/>
  <c r="F528" i="1"/>
  <c r="G528" i="1"/>
  <c r="H528" i="1"/>
  <c r="I528" i="1"/>
  <c r="J528" i="1"/>
  <c r="K528" i="1"/>
  <c r="L528" i="1"/>
  <c r="Q528" i="1" s="1"/>
  <c r="N528" i="1"/>
  <c r="Z528" i="1"/>
  <c r="A529" i="1"/>
  <c r="B529" i="1"/>
  <c r="AI529" i="1" s="1"/>
  <c r="C529" i="1"/>
  <c r="D529" i="1"/>
  <c r="E529" i="1"/>
  <c r="F529" i="1"/>
  <c r="G529" i="1"/>
  <c r="H529" i="1"/>
  <c r="I529" i="1"/>
  <c r="J529" i="1"/>
  <c r="K529" i="1"/>
  <c r="L529" i="1"/>
  <c r="Q529" i="1" s="1"/>
  <c r="N529" i="1"/>
  <c r="Z529" i="1"/>
  <c r="A530" i="1"/>
  <c r="B530" i="1"/>
  <c r="AI530" i="1" s="1"/>
  <c r="C530" i="1"/>
  <c r="D530" i="1"/>
  <c r="E530" i="1"/>
  <c r="F530" i="1"/>
  <c r="G530" i="1"/>
  <c r="H530" i="1"/>
  <c r="I530" i="1"/>
  <c r="J530" i="1"/>
  <c r="K530" i="1"/>
  <c r="L530" i="1"/>
  <c r="Q530" i="1" s="1"/>
  <c r="N530" i="1"/>
  <c r="Z530" i="1"/>
  <c r="A531" i="1"/>
  <c r="B531" i="1"/>
  <c r="AI531" i="1" s="1"/>
  <c r="C531" i="1"/>
  <c r="D531" i="1"/>
  <c r="E531" i="1"/>
  <c r="F531" i="1"/>
  <c r="G531" i="1"/>
  <c r="H531" i="1"/>
  <c r="I531" i="1"/>
  <c r="J531" i="1"/>
  <c r="K531" i="1"/>
  <c r="L531" i="1"/>
  <c r="Q531" i="1" s="1"/>
  <c r="N531" i="1"/>
  <c r="Z531" i="1"/>
  <c r="A532" i="1"/>
  <c r="B532" i="1"/>
  <c r="AI532" i="1" s="1"/>
  <c r="C532" i="1"/>
  <c r="D532" i="1"/>
  <c r="E532" i="1"/>
  <c r="F532" i="1"/>
  <c r="G532" i="1"/>
  <c r="H532" i="1"/>
  <c r="I532" i="1"/>
  <c r="J532" i="1"/>
  <c r="K532" i="1"/>
  <c r="L532" i="1"/>
  <c r="Q532" i="1" s="1"/>
  <c r="N532" i="1"/>
  <c r="Z532" i="1"/>
  <c r="A533" i="1"/>
  <c r="B533" i="1"/>
  <c r="AI533" i="1" s="1"/>
  <c r="C533" i="1"/>
  <c r="D533" i="1"/>
  <c r="E533" i="1"/>
  <c r="F533" i="1"/>
  <c r="G533" i="1"/>
  <c r="H533" i="1"/>
  <c r="I533" i="1"/>
  <c r="J533" i="1"/>
  <c r="K533" i="1"/>
  <c r="L533" i="1"/>
  <c r="Q533" i="1" s="1"/>
  <c r="N533" i="1"/>
  <c r="Z533" i="1"/>
  <c r="A534" i="1"/>
  <c r="B534" i="1"/>
  <c r="AI534" i="1" s="1"/>
  <c r="C534" i="1"/>
  <c r="D534" i="1"/>
  <c r="E534" i="1"/>
  <c r="F534" i="1"/>
  <c r="G534" i="1"/>
  <c r="H534" i="1"/>
  <c r="I534" i="1"/>
  <c r="J534" i="1"/>
  <c r="K534" i="1"/>
  <c r="L534" i="1"/>
  <c r="Q534" i="1" s="1"/>
  <c r="N534" i="1"/>
  <c r="Z534" i="1"/>
  <c r="A535" i="1"/>
  <c r="B535" i="1"/>
  <c r="AI535" i="1" s="1"/>
  <c r="C535" i="1"/>
  <c r="D535" i="1"/>
  <c r="E535" i="1"/>
  <c r="F535" i="1"/>
  <c r="G535" i="1"/>
  <c r="H535" i="1"/>
  <c r="I535" i="1"/>
  <c r="J535" i="1"/>
  <c r="K535" i="1"/>
  <c r="L535" i="1"/>
  <c r="Q535" i="1" s="1"/>
  <c r="N535" i="1"/>
  <c r="Z535" i="1"/>
  <c r="A536" i="1"/>
  <c r="B536" i="1"/>
  <c r="AI536" i="1" s="1"/>
  <c r="C536" i="1"/>
  <c r="D536" i="1"/>
  <c r="E536" i="1"/>
  <c r="F536" i="1"/>
  <c r="G536" i="1"/>
  <c r="H536" i="1"/>
  <c r="I536" i="1"/>
  <c r="J536" i="1"/>
  <c r="K536" i="1"/>
  <c r="L536" i="1"/>
  <c r="Q536" i="1" s="1"/>
  <c r="N536" i="1"/>
  <c r="Z536" i="1"/>
  <c r="A537" i="1"/>
  <c r="B537" i="1"/>
  <c r="AI537" i="1" s="1"/>
  <c r="C537" i="1"/>
  <c r="D537" i="1"/>
  <c r="E537" i="1"/>
  <c r="F537" i="1"/>
  <c r="G537" i="1"/>
  <c r="H537" i="1"/>
  <c r="I537" i="1"/>
  <c r="J537" i="1"/>
  <c r="K537" i="1"/>
  <c r="L537" i="1"/>
  <c r="Q537" i="1" s="1"/>
  <c r="N537" i="1"/>
  <c r="Z537" i="1"/>
  <c r="A538" i="1"/>
  <c r="B538" i="1"/>
  <c r="AI538" i="1" s="1"/>
  <c r="C538" i="1"/>
  <c r="D538" i="1"/>
  <c r="E538" i="1"/>
  <c r="F538" i="1"/>
  <c r="G538" i="1"/>
  <c r="H538" i="1"/>
  <c r="I538" i="1"/>
  <c r="J538" i="1"/>
  <c r="K538" i="1"/>
  <c r="L538" i="1"/>
  <c r="N538" i="1"/>
  <c r="Z538" i="1"/>
  <c r="A539" i="1"/>
  <c r="B539" i="1"/>
  <c r="AI539" i="1" s="1"/>
  <c r="C539" i="1"/>
  <c r="D539" i="1"/>
  <c r="E539" i="1"/>
  <c r="F539" i="1"/>
  <c r="G539" i="1"/>
  <c r="H539" i="1"/>
  <c r="I539" i="1"/>
  <c r="J539" i="1"/>
  <c r="K539" i="1"/>
  <c r="L539" i="1"/>
  <c r="Q539" i="1" s="1"/>
  <c r="N539" i="1"/>
  <c r="Z539" i="1"/>
  <c r="A540" i="1"/>
  <c r="B540" i="1"/>
  <c r="AI540" i="1" s="1"/>
  <c r="C540" i="1"/>
  <c r="D540" i="1"/>
  <c r="E540" i="1"/>
  <c r="F540" i="1"/>
  <c r="G540" i="1"/>
  <c r="H540" i="1"/>
  <c r="I540" i="1"/>
  <c r="J540" i="1"/>
  <c r="K540" i="1"/>
  <c r="L540" i="1"/>
  <c r="Q540" i="1" s="1"/>
  <c r="Z540" i="1"/>
  <c r="A541" i="1"/>
  <c r="B541" i="1"/>
  <c r="AI541" i="1" s="1"/>
  <c r="C541" i="1"/>
  <c r="D541" i="1"/>
  <c r="E541" i="1"/>
  <c r="F541" i="1"/>
  <c r="G541" i="1"/>
  <c r="H541" i="1"/>
  <c r="I541" i="1"/>
  <c r="J541" i="1"/>
  <c r="K541" i="1"/>
  <c r="L541" i="1"/>
  <c r="Q541" i="1" s="1"/>
  <c r="N541" i="1"/>
  <c r="Z541" i="1"/>
  <c r="A542" i="1"/>
  <c r="B542" i="1"/>
  <c r="AI542" i="1" s="1"/>
  <c r="C542" i="1"/>
  <c r="D542" i="1"/>
  <c r="E542" i="1"/>
  <c r="F542" i="1"/>
  <c r="G542" i="1"/>
  <c r="H542" i="1"/>
  <c r="I542" i="1"/>
  <c r="J542" i="1"/>
  <c r="K542" i="1"/>
  <c r="L542" i="1"/>
  <c r="Q542" i="1" s="1"/>
  <c r="N542" i="1"/>
  <c r="Z542" i="1"/>
  <c r="A543" i="1"/>
  <c r="B543" i="1"/>
  <c r="AI543" i="1" s="1"/>
  <c r="C543" i="1"/>
  <c r="D543" i="1"/>
  <c r="E543" i="1"/>
  <c r="F543" i="1"/>
  <c r="G543" i="1"/>
  <c r="H543" i="1"/>
  <c r="I543" i="1"/>
  <c r="J543" i="1"/>
  <c r="K543" i="1"/>
  <c r="L543" i="1"/>
  <c r="Q543" i="1" s="1"/>
  <c r="N543" i="1"/>
  <c r="Z543" i="1"/>
  <c r="A544" i="1"/>
  <c r="B544" i="1"/>
  <c r="AI544" i="1" s="1"/>
  <c r="C544" i="1"/>
  <c r="D544" i="1"/>
  <c r="E544" i="1"/>
  <c r="F544" i="1"/>
  <c r="G544" i="1"/>
  <c r="H544" i="1"/>
  <c r="I544" i="1"/>
  <c r="J544" i="1"/>
  <c r="K544" i="1"/>
  <c r="L544" i="1"/>
  <c r="N544" i="1"/>
  <c r="Z544" i="1"/>
  <c r="A545" i="1"/>
  <c r="B545" i="1"/>
  <c r="AI545" i="1" s="1"/>
  <c r="C545" i="1"/>
  <c r="D545" i="1"/>
  <c r="E545" i="1"/>
  <c r="F545" i="1"/>
  <c r="G545" i="1"/>
  <c r="H545" i="1"/>
  <c r="I545" i="1"/>
  <c r="J545" i="1"/>
  <c r="K545" i="1"/>
  <c r="L545" i="1"/>
  <c r="Q545" i="1" s="1"/>
  <c r="N545" i="1"/>
  <c r="Z545" i="1"/>
  <c r="A546" i="1"/>
  <c r="B546" i="1"/>
  <c r="AI546" i="1" s="1"/>
  <c r="C546" i="1"/>
  <c r="D546" i="1"/>
  <c r="E546" i="1"/>
  <c r="F546" i="1"/>
  <c r="G546" i="1"/>
  <c r="H546" i="1"/>
  <c r="I546" i="1"/>
  <c r="J546" i="1"/>
  <c r="K546" i="1"/>
  <c r="L546" i="1"/>
  <c r="Q546" i="1" s="1"/>
  <c r="Z546" i="1"/>
  <c r="A547" i="1"/>
  <c r="B547" i="1"/>
  <c r="AI547" i="1" s="1"/>
  <c r="C547" i="1"/>
  <c r="D547" i="1"/>
  <c r="E547" i="1"/>
  <c r="F547" i="1"/>
  <c r="G547" i="1"/>
  <c r="H547" i="1"/>
  <c r="I547" i="1"/>
  <c r="J547" i="1"/>
  <c r="K547" i="1"/>
  <c r="L547" i="1"/>
  <c r="Q547" i="1" s="1"/>
  <c r="N547" i="1"/>
  <c r="Z547" i="1"/>
  <c r="A548" i="1"/>
  <c r="B548" i="1"/>
  <c r="AI548" i="1" s="1"/>
  <c r="C548" i="1"/>
  <c r="D548" i="1"/>
  <c r="E548" i="1"/>
  <c r="F548" i="1"/>
  <c r="G548" i="1"/>
  <c r="H548" i="1"/>
  <c r="I548" i="1"/>
  <c r="J548" i="1"/>
  <c r="K548" i="1"/>
  <c r="L548" i="1"/>
  <c r="Q548" i="1" s="1"/>
  <c r="N548" i="1"/>
  <c r="Z548" i="1"/>
  <c r="A549" i="1"/>
  <c r="B549" i="1"/>
  <c r="AI549" i="1" s="1"/>
  <c r="C549" i="1"/>
  <c r="D549" i="1"/>
  <c r="E549" i="1"/>
  <c r="F549" i="1"/>
  <c r="G549" i="1"/>
  <c r="H549" i="1"/>
  <c r="I549" i="1"/>
  <c r="J549" i="1"/>
  <c r="K549" i="1"/>
  <c r="L549" i="1"/>
  <c r="Q549" i="1" s="1"/>
  <c r="N549" i="1"/>
  <c r="Z549" i="1"/>
  <c r="A550" i="1"/>
  <c r="B550" i="1"/>
  <c r="AI550" i="1" s="1"/>
  <c r="C550" i="1"/>
  <c r="D550" i="1"/>
  <c r="E550" i="1"/>
  <c r="F550" i="1"/>
  <c r="G550" i="1"/>
  <c r="H550" i="1"/>
  <c r="I550" i="1"/>
  <c r="J550" i="1"/>
  <c r="K550" i="1"/>
  <c r="L550" i="1"/>
  <c r="Q550" i="1" s="1"/>
  <c r="N550" i="1"/>
  <c r="Z550" i="1"/>
  <c r="A551" i="1"/>
  <c r="B551" i="1"/>
  <c r="AI551" i="1" s="1"/>
  <c r="C551" i="1"/>
  <c r="D551" i="1"/>
  <c r="E551" i="1"/>
  <c r="F551" i="1"/>
  <c r="G551" i="1"/>
  <c r="H551" i="1"/>
  <c r="I551" i="1"/>
  <c r="J551" i="1"/>
  <c r="K551" i="1"/>
  <c r="L551" i="1"/>
  <c r="Q551" i="1" s="1"/>
  <c r="N551" i="1"/>
  <c r="Z551" i="1"/>
  <c r="A552" i="1"/>
  <c r="B552" i="1"/>
  <c r="AI552" i="1" s="1"/>
  <c r="C552" i="1"/>
  <c r="D552" i="1"/>
  <c r="E552" i="1"/>
  <c r="F552" i="1"/>
  <c r="G552" i="1"/>
  <c r="H552" i="1"/>
  <c r="I552" i="1"/>
  <c r="J552" i="1"/>
  <c r="K552" i="1"/>
  <c r="L552" i="1"/>
  <c r="Q552" i="1" s="1"/>
  <c r="N552" i="1"/>
  <c r="Z552" i="1"/>
  <c r="A553" i="1"/>
  <c r="B553" i="1"/>
  <c r="AI553" i="1" s="1"/>
  <c r="C553" i="1"/>
  <c r="D553" i="1"/>
  <c r="E553" i="1"/>
  <c r="F553" i="1"/>
  <c r="G553" i="1"/>
  <c r="H553" i="1"/>
  <c r="I553" i="1"/>
  <c r="J553" i="1"/>
  <c r="K553" i="1"/>
  <c r="L553" i="1"/>
  <c r="Q553" i="1" s="1"/>
  <c r="N553" i="1"/>
  <c r="Z553" i="1"/>
  <c r="A554" i="1"/>
  <c r="B554" i="1"/>
  <c r="AI554" i="1" s="1"/>
  <c r="C554" i="1"/>
  <c r="D554" i="1"/>
  <c r="E554" i="1"/>
  <c r="F554" i="1"/>
  <c r="G554" i="1"/>
  <c r="H554" i="1"/>
  <c r="I554" i="1"/>
  <c r="J554" i="1"/>
  <c r="K554" i="1"/>
  <c r="L554" i="1"/>
  <c r="Q554" i="1" s="1"/>
  <c r="N554" i="1"/>
  <c r="Z554" i="1"/>
  <c r="A555" i="1"/>
  <c r="B555" i="1"/>
  <c r="AI555" i="1" s="1"/>
  <c r="C555" i="1"/>
  <c r="D555" i="1"/>
  <c r="E555" i="1"/>
  <c r="F555" i="1"/>
  <c r="G555" i="1"/>
  <c r="H555" i="1"/>
  <c r="I555" i="1"/>
  <c r="J555" i="1"/>
  <c r="K555" i="1"/>
  <c r="L555" i="1"/>
  <c r="N555" i="1"/>
  <c r="Z555" i="1"/>
  <c r="A556" i="1"/>
  <c r="B556" i="1"/>
  <c r="AI556" i="1" s="1"/>
  <c r="C556" i="1"/>
  <c r="D556" i="1"/>
  <c r="E556" i="1"/>
  <c r="F556" i="1"/>
  <c r="G556" i="1"/>
  <c r="H556" i="1"/>
  <c r="I556" i="1"/>
  <c r="J556" i="1"/>
  <c r="K556" i="1"/>
  <c r="L556" i="1"/>
  <c r="N556" i="1"/>
  <c r="Z556" i="1"/>
  <c r="A557" i="1"/>
  <c r="B557" i="1"/>
  <c r="AI557" i="1" s="1"/>
  <c r="C557" i="1"/>
  <c r="D557" i="1"/>
  <c r="E557" i="1"/>
  <c r="F557" i="1"/>
  <c r="G557" i="1"/>
  <c r="H557" i="1"/>
  <c r="I557" i="1"/>
  <c r="J557" i="1"/>
  <c r="K557" i="1"/>
  <c r="L557" i="1"/>
  <c r="Q557" i="1" s="1"/>
  <c r="N557" i="1"/>
  <c r="Z557" i="1"/>
  <c r="A558" i="1"/>
  <c r="B558" i="1"/>
  <c r="AI558" i="1" s="1"/>
  <c r="C558" i="1"/>
  <c r="D558" i="1"/>
  <c r="E558" i="1"/>
  <c r="F558" i="1"/>
  <c r="G558" i="1"/>
  <c r="H558" i="1"/>
  <c r="I558" i="1"/>
  <c r="J558" i="1"/>
  <c r="K558" i="1"/>
  <c r="L558" i="1"/>
  <c r="Q558" i="1" s="1"/>
  <c r="Z558" i="1"/>
  <c r="A559" i="1"/>
  <c r="B559" i="1"/>
  <c r="AI559" i="1" s="1"/>
  <c r="C559" i="1"/>
  <c r="D559" i="1"/>
  <c r="E559" i="1"/>
  <c r="F559" i="1"/>
  <c r="G559" i="1"/>
  <c r="H559" i="1"/>
  <c r="I559" i="1"/>
  <c r="J559" i="1"/>
  <c r="K559" i="1"/>
  <c r="L559" i="1"/>
  <c r="Q559" i="1" s="1"/>
  <c r="N559" i="1"/>
  <c r="Z559" i="1"/>
  <c r="A560" i="1"/>
  <c r="B560" i="1"/>
  <c r="AI560" i="1" s="1"/>
  <c r="C560" i="1"/>
  <c r="D560" i="1"/>
  <c r="E560" i="1"/>
  <c r="F560" i="1"/>
  <c r="G560" i="1"/>
  <c r="H560" i="1"/>
  <c r="I560" i="1"/>
  <c r="J560" i="1"/>
  <c r="K560" i="1"/>
  <c r="L560" i="1"/>
  <c r="Q560" i="1" s="1"/>
  <c r="N560" i="1"/>
  <c r="Z560" i="1"/>
  <c r="A561" i="1"/>
  <c r="B561" i="1"/>
  <c r="AI561" i="1" s="1"/>
  <c r="C561" i="1"/>
  <c r="D561" i="1"/>
  <c r="E561" i="1"/>
  <c r="F561" i="1"/>
  <c r="G561" i="1"/>
  <c r="H561" i="1"/>
  <c r="I561" i="1"/>
  <c r="J561" i="1"/>
  <c r="K561" i="1"/>
  <c r="L561" i="1"/>
  <c r="Q561" i="1" s="1"/>
  <c r="N561" i="1"/>
  <c r="Z561" i="1"/>
  <c r="A562" i="1"/>
  <c r="B562" i="1"/>
  <c r="AI562" i="1" s="1"/>
  <c r="C562" i="1"/>
  <c r="D562" i="1"/>
  <c r="E562" i="1"/>
  <c r="F562" i="1"/>
  <c r="G562" i="1"/>
  <c r="H562" i="1"/>
  <c r="I562" i="1"/>
  <c r="J562" i="1"/>
  <c r="K562" i="1"/>
  <c r="L562" i="1"/>
  <c r="N562" i="1"/>
  <c r="Z562" i="1"/>
  <c r="A563" i="1"/>
  <c r="B563" i="1"/>
  <c r="AI563" i="1" s="1"/>
  <c r="C563" i="1"/>
  <c r="D563" i="1"/>
  <c r="E563" i="1"/>
  <c r="F563" i="1"/>
  <c r="G563" i="1"/>
  <c r="H563" i="1"/>
  <c r="I563" i="1"/>
  <c r="J563" i="1"/>
  <c r="K563" i="1"/>
  <c r="L563" i="1"/>
  <c r="N563" i="1"/>
  <c r="Z563" i="1"/>
  <c r="A564" i="1"/>
  <c r="B564" i="1"/>
  <c r="AI564" i="1" s="1"/>
  <c r="C564" i="1"/>
  <c r="D564" i="1"/>
  <c r="E564" i="1"/>
  <c r="F564" i="1"/>
  <c r="G564" i="1"/>
  <c r="H564" i="1"/>
  <c r="I564" i="1"/>
  <c r="J564" i="1"/>
  <c r="K564" i="1"/>
  <c r="L564" i="1"/>
  <c r="N564" i="1"/>
  <c r="Z564" i="1"/>
  <c r="A565" i="1"/>
  <c r="B565" i="1"/>
  <c r="AI565" i="1" s="1"/>
  <c r="C565" i="1"/>
  <c r="D565" i="1"/>
  <c r="E565" i="1"/>
  <c r="F565" i="1"/>
  <c r="G565" i="1"/>
  <c r="H565" i="1"/>
  <c r="I565" i="1"/>
  <c r="J565" i="1"/>
  <c r="K565" i="1"/>
  <c r="L565" i="1"/>
  <c r="N565" i="1"/>
  <c r="Z565" i="1"/>
  <c r="A566" i="1"/>
  <c r="B566" i="1"/>
  <c r="AI566" i="1" s="1"/>
  <c r="C566" i="1"/>
  <c r="D566" i="1"/>
  <c r="E566" i="1"/>
  <c r="F566" i="1"/>
  <c r="G566" i="1"/>
  <c r="H566" i="1"/>
  <c r="I566" i="1"/>
  <c r="J566" i="1"/>
  <c r="K566" i="1"/>
  <c r="L566" i="1"/>
  <c r="N566" i="1"/>
  <c r="Z566" i="1"/>
  <c r="A567" i="1"/>
  <c r="B567" i="1"/>
  <c r="AI567" i="1" s="1"/>
  <c r="C567" i="1"/>
  <c r="D567" i="1"/>
  <c r="E567" i="1"/>
  <c r="F567" i="1"/>
  <c r="G567" i="1"/>
  <c r="H567" i="1"/>
  <c r="I567" i="1"/>
  <c r="J567" i="1"/>
  <c r="K567" i="1"/>
  <c r="L567" i="1"/>
  <c r="N567" i="1"/>
  <c r="Z567" i="1"/>
  <c r="A568" i="1"/>
  <c r="B568" i="1"/>
  <c r="AI568" i="1" s="1"/>
  <c r="C568" i="1"/>
  <c r="D568" i="1"/>
  <c r="E568" i="1"/>
  <c r="F568" i="1"/>
  <c r="G568" i="1"/>
  <c r="H568" i="1"/>
  <c r="I568" i="1"/>
  <c r="J568" i="1"/>
  <c r="K568" i="1"/>
  <c r="L568" i="1"/>
  <c r="N568" i="1"/>
  <c r="Z568" i="1"/>
  <c r="A569" i="1"/>
  <c r="B569" i="1"/>
  <c r="AI569" i="1" s="1"/>
  <c r="C569" i="1"/>
  <c r="D569" i="1"/>
  <c r="E569" i="1"/>
  <c r="F569" i="1"/>
  <c r="G569" i="1"/>
  <c r="H569" i="1"/>
  <c r="I569" i="1"/>
  <c r="J569" i="1"/>
  <c r="K569" i="1"/>
  <c r="L569" i="1"/>
  <c r="N569" i="1"/>
  <c r="Z569" i="1"/>
  <c r="A570" i="1"/>
  <c r="B570" i="1"/>
  <c r="AI570" i="1" s="1"/>
  <c r="C570" i="1"/>
  <c r="D570" i="1"/>
  <c r="E570" i="1"/>
  <c r="F570" i="1"/>
  <c r="G570" i="1"/>
  <c r="H570" i="1"/>
  <c r="I570" i="1"/>
  <c r="J570" i="1"/>
  <c r="K570" i="1"/>
  <c r="L570" i="1"/>
  <c r="N570" i="1"/>
  <c r="Z570" i="1"/>
  <c r="A571" i="1"/>
  <c r="B571" i="1"/>
  <c r="AI571" i="1" s="1"/>
  <c r="C571" i="1"/>
  <c r="D571" i="1"/>
  <c r="E571" i="1"/>
  <c r="F571" i="1"/>
  <c r="G571" i="1"/>
  <c r="H571" i="1"/>
  <c r="I571" i="1"/>
  <c r="J571" i="1"/>
  <c r="K571" i="1"/>
  <c r="L571" i="1"/>
  <c r="N571" i="1"/>
  <c r="Z571" i="1"/>
  <c r="A572" i="1"/>
  <c r="B572" i="1"/>
  <c r="AI572" i="1" s="1"/>
  <c r="C572" i="1"/>
  <c r="D572" i="1"/>
  <c r="E572" i="1"/>
  <c r="F572" i="1"/>
  <c r="G572" i="1"/>
  <c r="H572" i="1"/>
  <c r="I572" i="1"/>
  <c r="J572" i="1"/>
  <c r="K572" i="1"/>
  <c r="L572" i="1"/>
  <c r="N572" i="1"/>
  <c r="Z572" i="1"/>
  <c r="A573" i="1"/>
  <c r="B573" i="1"/>
  <c r="AI573" i="1" s="1"/>
  <c r="C573" i="1"/>
  <c r="D573" i="1"/>
  <c r="E573" i="1"/>
  <c r="F573" i="1"/>
  <c r="G573" i="1"/>
  <c r="H573" i="1"/>
  <c r="I573" i="1"/>
  <c r="J573" i="1"/>
  <c r="K573" i="1"/>
  <c r="L573" i="1"/>
  <c r="N573" i="1"/>
  <c r="Z573" i="1"/>
  <c r="A574" i="1"/>
  <c r="B574" i="1"/>
  <c r="AI574" i="1" s="1"/>
  <c r="C574" i="1"/>
  <c r="D574" i="1"/>
  <c r="E574" i="1"/>
  <c r="F574" i="1"/>
  <c r="G574" i="1"/>
  <c r="H574" i="1"/>
  <c r="I574" i="1"/>
  <c r="J574" i="1"/>
  <c r="K574" i="1"/>
  <c r="L574" i="1"/>
  <c r="N574" i="1"/>
  <c r="Z574" i="1"/>
  <c r="A575" i="1"/>
  <c r="B575" i="1"/>
  <c r="AI575" i="1" s="1"/>
  <c r="C575" i="1"/>
  <c r="D575" i="1"/>
  <c r="E575" i="1"/>
  <c r="F575" i="1"/>
  <c r="G575" i="1"/>
  <c r="H575" i="1"/>
  <c r="I575" i="1"/>
  <c r="J575" i="1"/>
  <c r="K575" i="1"/>
  <c r="L575" i="1"/>
  <c r="N575" i="1"/>
  <c r="Z575" i="1"/>
  <c r="A576" i="1"/>
  <c r="B576" i="1"/>
  <c r="AI576" i="1" s="1"/>
  <c r="C576" i="1"/>
  <c r="D576" i="1"/>
  <c r="E576" i="1"/>
  <c r="F576" i="1"/>
  <c r="G576" i="1"/>
  <c r="H576" i="1"/>
  <c r="I576" i="1"/>
  <c r="J576" i="1"/>
  <c r="K576" i="1"/>
  <c r="L576" i="1"/>
  <c r="N576" i="1"/>
  <c r="Z576" i="1"/>
  <c r="A577" i="1"/>
  <c r="B577" i="1"/>
  <c r="AI577" i="1" s="1"/>
  <c r="C577" i="1"/>
  <c r="D577" i="1"/>
  <c r="E577" i="1"/>
  <c r="F577" i="1"/>
  <c r="G577" i="1"/>
  <c r="H577" i="1"/>
  <c r="I577" i="1"/>
  <c r="J577" i="1"/>
  <c r="K577" i="1"/>
  <c r="L577" i="1"/>
  <c r="N577" i="1"/>
  <c r="Z577" i="1"/>
  <c r="A578" i="1"/>
  <c r="B578" i="1"/>
  <c r="AI578" i="1" s="1"/>
  <c r="C578" i="1"/>
  <c r="D578" i="1"/>
  <c r="E578" i="1"/>
  <c r="F578" i="1"/>
  <c r="G578" i="1"/>
  <c r="H578" i="1"/>
  <c r="I578" i="1"/>
  <c r="J578" i="1"/>
  <c r="K578" i="1"/>
  <c r="L578" i="1"/>
  <c r="N578" i="1"/>
  <c r="Z578" i="1"/>
  <c r="A579" i="1"/>
  <c r="B579" i="1"/>
  <c r="AI579" i="1" s="1"/>
  <c r="C579" i="1"/>
  <c r="D579" i="1"/>
  <c r="E579" i="1"/>
  <c r="F579" i="1"/>
  <c r="G579" i="1"/>
  <c r="H579" i="1"/>
  <c r="I579" i="1"/>
  <c r="J579" i="1"/>
  <c r="K579" i="1"/>
  <c r="L579" i="1"/>
  <c r="Q579" i="1" s="1"/>
  <c r="N579" i="1"/>
  <c r="Z579" i="1"/>
  <c r="A580" i="1"/>
  <c r="B580" i="1"/>
  <c r="AI580" i="1" s="1"/>
  <c r="C580" i="1"/>
  <c r="D580" i="1"/>
  <c r="E580" i="1"/>
  <c r="F580" i="1"/>
  <c r="G580" i="1"/>
  <c r="H580" i="1"/>
  <c r="I580" i="1"/>
  <c r="J580" i="1"/>
  <c r="K580" i="1"/>
  <c r="L580" i="1"/>
  <c r="N580" i="1"/>
  <c r="Z580" i="1"/>
  <c r="A581" i="1"/>
  <c r="B581" i="1"/>
  <c r="AI581" i="1" s="1"/>
  <c r="C581" i="1"/>
  <c r="D581" i="1"/>
  <c r="E581" i="1"/>
  <c r="F581" i="1"/>
  <c r="G581" i="1"/>
  <c r="H581" i="1"/>
  <c r="I581" i="1"/>
  <c r="J581" i="1"/>
  <c r="K581" i="1"/>
  <c r="L581" i="1"/>
  <c r="N581" i="1"/>
  <c r="Z581" i="1"/>
  <c r="A582" i="1"/>
  <c r="B582" i="1"/>
  <c r="AI582" i="1" s="1"/>
  <c r="C582" i="1"/>
  <c r="D582" i="1"/>
  <c r="E582" i="1"/>
  <c r="F582" i="1"/>
  <c r="G582" i="1"/>
  <c r="H582" i="1"/>
  <c r="I582" i="1"/>
  <c r="J582" i="1"/>
  <c r="K582" i="1"/>
  <c r="L582" i="1"/>
  <c r="Q582" i="1" s="1"/>
  <c r="N582" i="1"/>
  <c r="Z582" i="1"/>
  <c r="A583" i="1"/>
  <c r="B583" i="1"/>
  <c r="AI583" i="1" s="1"/>
  <c r="C583" i="1"/>
  <c r="D583" i="1"/>
  <c r="E583" i="1"/>
  <c r="F583" i="1"/>
  <c r="G583" i="1"/>
  <c r="H583" i="1"/>
  <c r="I583" i="1"/>
  <c r="J583" i="1"/>
  <c r="K583" i="1"/>
  <c r="L583" i="1"/>
  <c r="Q583" i="1" s="1"/>
  <c r="N583" i="1"/>
  <c r="Z583" i="1"/>
  <c r="A584" i="1"/>
  <c r="B584" i="1"/>
  <c r="AI584" i="1" s="1"/>
  <c r="C584" i="1"/>
  <c r="D584" i="1"/>
  <c r="E584" i="1"/>
  <c r="F584" i="1"/>
  <c r="G584" i="1"/>
  <c r="H584" i="1"/>
  <c r="I584" i="1"/>
  <c r="J584" i="1"/>
  <c r="K584" i="1"/>
  <c r="L584" i="1"/>
  <c r="Q584" i="1" s="1"/>
  <c r="N584" i="1"/>
  <c r="Z584" i="1"/>
  <c r="A585" i="1"/>
  <c r="B585" i="1"/>
  <c r="AI585" i="1" s="1"/>
  <c r="C585" i="1"/>
  <c r="D585" i="1"/>
  <c r="E585" i="1"/>
  <c r="F585" i="1"/>
  <c r="G585" i="1"/>
  <c r="H585" i="1"/>
  <c r="I585" i="1"/>
  <c r="J585" i="1"/>
  <c r="K585" i="1"/>
  <c r="L585" i="1"/>
  <c r="Q585" i="1" s="1"/>
  <c r="N585" i="1"/>
  <c r="Z585" i="1"/>
  <c r="A586" i="1"/>
  <c r="B586" i="1"/>
  <c r="AI586" i="1" s="1"/>
  <c r="C586" i="1"/>
  <c r="D586" i="1"/>
  <c r="E586" i="1"/>
  <c r="F586" i="1"/>
  <c r="G586" i="1"/>
  <c r="H586" i="1"/>
  <c r="I586" i="1"/>
  <c r="J586" i="1"/>
  <c r="K586" i="1"/>
  <c r="L586" i="1"/>
  <c r="Q586" i="1" s="1"/>
  <c r="N586" i="1"/>
  <c r="Z586" i="1"/>
  <c r="A587" i="1"/>
  <c r="B587" i="1"/>
  <c r="AI587" i="1" s="1"/>
  <c r="C587" i="1"/>
  <c r="D587" i="1"/>
  <c r="E587" i="1"/>
  <c r="F587" i="1"/>
  <c r="G587" i="1"/>
  <c r="H587" i="1"/>
  <c r="I587" i="1"/>
  <c r="J587" i="1"/>
  <c r="K587" i="1"/>
  <c r="L587" i="1"/>
  <c r="Q587" i="1" s="1"/>
  <c r="N587" i="1"/>
  <c r="Z587" i="1"/>
  <c r="A588" i="1"/>
  <c r="B588" i="1"/>
  <c r="AI588" i="1" s="1"/>
  <c r="C588" i="1"/>
  <c r="D588" i="1"/>
  <c r="E588" i="1"/>
  <c r="F588" i="1"/>
  <c r="G588" i="1"/>
  <c r="H588" i="1"/>
  <c r="I588" i="1"/>
  <c r="J588" i="1"/>
  <c r="K588" i="1"/>
  <c r="L588" i="1"/>
  <c r="Q588" i="1" s="1"/>
  <c r="N588" i="1"/>
  <c r="Z588" i="1"/>
  <c r="A589" i="1"/>
  <c r="B589" i="1"/>
  <c r="AI589" i="1" s="1"/>
  <c r="C589" i="1"/>
  <c r="D589" i="1"/>
  <c r="E589" i="1"/>
  <c r="F589" i="1"/>
  <c r="G589" i="1"/>
  <c r="H589" i="1"/>
  <c r="I589" i="1"/>
  <c r="J589" i="1"/>
  <c r="K589" i="1"/>
  <c r="L589" i="1"/>
  <c r="Q589" i="1" s="1"/>
  <c r="N589" i="1"/>
  <c r="Z589" i="1"/>
  <c r="A590" i="1"/>
  <c r="B590" i="1"/>
  <c r="AI590" i="1" s="1"/>
  <c r="C590" i="1"/>
  <c r="D590" i="1"/>
  <c r="E590" i="1"/>
  <c r="F590" i="1"/>
  <c r="G590" i="1"/>
  <c r="H590" i="1"/>
  <c r="I590" i="1"/>
  <c r="J590" i="1"/>
  <c r="K590" i="1"/>
  <c r="L590" i="1"/>
  <c r="Q590" i="1" s="1"/>
  <c r="N590" i="1"/>
  <c r="Z590" i="1"/>
  <c r="A591" i="1"/>
  <c r="B591" i="1"/>
  <c r="AI591" i="1" s="1"/>
  <c r="C591" i="1"/>
  <c r="D591" i="1"/>
  <c r="E591" i="1"/>
  <c r="F591" i="1"/>
  <c r="G591" i="1"/>
  <c r="H591" i="1"/>
  <c r="I591" i="1"/>
  <c r="J591" i="1"/>
  <c r="K591" i="1"/>
  <c r="L591" i="1"/>
  <c r="Q591" i="1" s="1"/>
  <c r="N591" i="1"/>
  <c r="Z591" i="1"/>
  <c r="A592" i="1"/>
  <c r="B592" i="1"/>
  <c r="AI592" i="1" s="1"/>
  <c r="C592" i="1"/>
  <c r="D592" i="1"/>
  <c r="E592" i="1"/>
  <c r="F592" i="1"/>
  <c r="G592" i="1"/>
  <c r="H592" i="1"/>
  <c r="I592" i="1"/>
  <c r="J592" i="1"/>
  <c r="K592" i="1"/>
  <c r="L592" i="1"/>
  <c r="Q592" i="1" s="1"/>
  <c r="N592" i="1"/>
  <c r="Z592" i="1"/>
  <c r="A593" i="1"/>
  <c r="B593" i="1"/>
  <c r="AI593" i="1" s="1"/>
  <c r="C593" i="1"/>
  <c r="D593" i="1"/>
  <c r="E593" i="1"/>
  <c r="F593" i="1"/>
  <c r="G593" i="1"/>
  <c r="H593" i="1"/>
  <c r="I593" i="1"/>
  <c r="J593" i="1"/>
  <c r="K593" i="1"/>
  <c r="L593" i="1"/>
  <c r="Q593" i="1" s="1"/>
  <c r="N593" i="1"/>
  <c r="Z593" i="1"/>
  <c r="A594" i="1"/>
  <c r="B594" i="1"/>
  <c r="AI594" i="1" s="1"/>
  <c r="C594" i="1"/>
  <c r="D594" i="1"/>
  <c r="E594" i="1"/>
  <c r="F594" i="1"/>
  <c r="G594" i="1"/>
  <c r="H594" i="1"/>
  <c r="I594" i="1"/>
  <c r="J594" i="1"/>
  <c r="K594" i="1"/>
  <c r="L594" i="1"/>
  <c r="Q594" i="1" s="1"/>
  <c r="N594" i="1"/>
  <c r="Z594" i="1"/>
  <c r="A595" i="1"/>
  <c r="B595" i="1"/>
  <c r="AI595" i="1" s="1"/>
  <c r="C595" i="1"/>
  <c r="D595" i="1"/>
  <c r="E595" i="1"/>
  <c r="F595" i="1"/>
  <c r="G595" i="1"/>
  <c r="H595" i="1"/>
  <c r="I595" i="1"/>
  <c r="J595" i="1"/>
  <c r="K595" i="1"/>
  <c r="L595" i="1"/>
  <c r="Q595" i="1" s="1"/>
  <c r="N595" i="1"/>
  <c r="Z595" i="1"/>
  <c r="A596" i="1"/>
  <c r="B596" i="1"/>
  <c r="AI596" i="1" s="1"/>
  <c r="C596" i="1"/>
  <c r="D596" i="1"/>
  <c r="E596" i="1"/>
  <c r="F596" i="1"/>
  <c r="G596" i="1"/>
  <c r="H596" i="1"/>
  <c r="I596" i="1"/>
  <c r="J596" i="1"/>
  <c r="K596" i="1"/>
  <c r="L596" i="1"/>
  <c r="Q596" i="1" s="1"/>
  <c r="N596" i="1"/>
  <c r="Z596" i="1"/>
  <c r="A597" i="1"/>
  <c r="B597" i="1"/>
  <c r="AI597" i="1" s="1"/>
  <c r="C597" i="1"/>
  <c r="D597" i="1"/>
  <c r="E597" i="1"/>
  <c r="F597" i="1"/>
  <c r="G597" i="1"/>
  <c r="H597" i="1"/>
  <c r="I597" i="1"/>
  <c r="J597" i="1"/>
  <c r="K597" i="1"/>
  <c r="L597" i="1"/>
  <c r="Q597" i="1" s="1"/>
  <c r="N597" i="1"/>
  <c r="Z597" i="1"/>
  <c r="A598" i="1"/>
  <c r="B598" i="1"/>
  <c r="AI598" i="1" s="1"/>
  <c r="C598" i="1"/>
  <c r="D598" i="1"/>
  <c r="E598" i="1"/>
  <c r="F598" i="1"/>
  <c r="G598" i="1"/>
  <c r="H598" i="1"/>
  <c r="I598" i="1"/>
  <c r="J598" i="1"/>
  <c r="K598" i="1"/>
  <c r="L598" i="1"/>
  <c r="Q598" i="1" s="1"/>
  <c r="N598" i="1"/>
  <c r="Z598" i="1"/>
  <c r="A599" i="1"/>
  <c r="B599" i="1"/>
  <c r="AI599" i="1" s="1"/>
  <c r="C599" i="1"/>
  <c r="D599" i="1"/>
  <c r="E599" i="1"/>
  <c r="F599" i="1"/>
  <c r="G599" i="1"/>
  <c r="H599" i="1"/>
  <c r="I599" i="1"/>
  <c r="J599" i="1"/>
  <c r="K599" i="1"/>
  <c r="L599" i="1"/>
  <c r="Q599" i="1" s="1"/>
  <c r="N599" i="1"/>
  <c r="Z599" i="1"/>
  <c r="A600" i="1"/>
  <c r="B600" i="1"/>
  <c r="AI600" i="1" s="1"/>
  <c r="C600" i="1"/>
  <c r="D600" i="1"/>
  <c r="E600" i="1"/>
  <c r="F600" i="1"/>
  <c r="G600" i="1"/>
  <c r="H600" i="1"/>
  <c r="I600" i="1"/>
  <c r="J600" i="1"/>
  <c r="K600" i="1"/>
  <c r="L600" i="1"/>
  <c r="Q600" i="1" s="1"/>
  <c r="N600" i="1"/>
  <c r="Z600" i="1"/>
  <c r="A601" i="1"/>
  <c r="B601" i="1"/>
  <c r="AI601" i="1" s="1"/>
  <c r="C601" i="1"/>
  <c r="D601" i="1"/>
  <c r="E601" i="1"/>
  <c r="F601" i="1"/>
  <c r="G601" i="1"/>
  <c r="H601" i="1"/>
  <c r="I601" i="1"/>
  <c r="J601" i="1"/>
  <c r="K601" i="1"/>
  <c r="L601" i="1"/>
  <c r="Q601" i="1" s="1"/>
  <c r="N601" i="1"/>
  <c r="Z601" i="1"/>
  <c r="A602" i="1"/>
  <c r="B602" i="1"/>
  <c r="AI602" i="1" s="1"/>
  <c r="C602" i="1"/>
  <c r="D602" i="1"/>
  <c r="E602" i="1"/>
  <c r="F602" i="1"/>
  <c r="G602" i="1"/>
  <c r="H602" i="1"/>
  <c r="I602" i="1"/>
  <c r="J602" i="1"/>
  <c r="K602" i="1"/>
  <c r="L602" i="1"/>
  <c r="Q602" i="1" s="1"/>
  <c r="N602" i="1"/>
  <c r="Z602" i="1"/>
  <c r="A603" i="1"/>
  <c r="B603" i="1"/>
  <c r="AI603" i="1" s="1"/>
  <c r="C603" i="1"/>
  <c r="D603" i="1"/>
  <c r="E603" i="1"/>
  <c r="F603" i="1"/>
  <c r="G603" i="1"/>
  <c r="H603" i="1"/>
  <c r="I603" i="1"/>
  <c r="J603" i="1"/>
  <c r="K603" i="1"/>
  <c r="L603" i="1"/>
  <c r="N603" i="1"/>
  <c r="Z603" i="1"/>
  <c r="A604" i="1"/>
  <c r="B604" i="1"/>
  <c r="AI604" i="1" s="1"/>
  <c r="C604" i="1"/>
  <c r="D604" i="1"/>
  <c r="E604" i="1"/>
  <c r="I604" i="1"/>
  <c r="N604" i="1"/>
  <c r="Z604" i="1"/>
  <c r="A605" i="1"/>
  <c r="B605" i="1"/>
  <c r="AI605" i="1" s="1"/>
  <c r="C605" i="1"/>
  <c r="D605" i="1"/>
  <c r="E605" i="1"/>
  <c r="I605" i="1"/>
  <c r="N605" i="1"/>
  <c r="Z605" i="1"/>
  <c r="A606" i="1"/>
  <c r="B606" i="1"/>
  <c r="AI606" i="1" s="1"/>
  <c r="C606" i="1"/>
  <c r="D606" i="1"/>
  <c r="E606" i="1"/>
  <c r="I606" i="1"/>
  <c r="N606" i="1"/>
  <c r="Z606" i="1"/>
  <c r="A607" i="1"/>
  <c r="B607" i="1"/>
  <c r="AI607" i="1" s="1"/>
  <c r="C607" i="1"/>
  <c r="D607" i="1"/>
  <c r="E607" i="1"/>
  <c r="I607" i="1"/>
  <c r="N607" i="1"/>
  <c r="Z607" i="1"/>
  <c r="A608" i="1"/>
  <c r="B608" i="1"/>
  <c r="AI608" i="1" s="1"/>
  <c r="C608" i="1"/>
  <c r="D608" i="1"/>
  <c r="E608" i="1"/>
  <c r="I608" i="1"/>
  <c r="N608" i="1"/>
  <c r="Z608" i="1"/>
  <c r="A609" i="1"/>
  <c r="B609" i="1"/>
  <c r="AI609" i="1" s="1"/>
  <c r="C609" i="1"/>
  <c r="D609" i="1"/>
  <c r="E609" i="1"/>
  <c r="I609" i="1"/>
  <c r="N609" i="1"/>
  <c r="Z609" i="1"/>
  <c r="A610" i="1"/>
  <c r="B610" i="1"/>
  <c r="AI610" i="1" s="1"/>
  <c r="C610" i="1"/>
  <c r="D610" i="1"/>
  <c r="E610" i="1"/>
  <c r="I610" i="1"/>
  <c r="N610" i="1"/>
  <c r="Z610" i="1"/>
  <c r="A611" i="1"/>
  <c r="B611" i="1"/>
  <c r="AI611" i="1" s="1"/>
  <c r="C611" i="1"/>
  <c r="D611" i="1"/>
  <c r="E611" i="1"/>
  <c r="I611" i="1"/>
  <c r="N611" i="1"/>
  <c r="Z611" i="1"/>
  <c r="A612" i="1"/>
  <c r="B612" i="1"/>
  <c r="AI612" i="1" s="1"/>
  <c r="C612" i="1"/>
  <c r="D612" i="1"/>
  <c r="E612" i="1"/>
  <c r="I612" i="1"/>
  <c r="N612" i="1"/>
  <c r="Z612" i="1"/>
  <c r="A613" i="1"/>
  <c r="B613" i="1"/>
  <c r="AI613" i="1" s="1"/>
  <c r="C613" i="1"/>
  <c r="D613" i="1"/>
  <c r="E613" i="1"/>
  <c r="I613" i="1"/>
  <c r="N613" i="1"/>
  <c r="Z613" i="1"/>
  <c r="A614" i="1"/>
  <c r="B614" i="1"/>
  <c r="AI614" i="1" s="1"/>
  <c r="C614" i="1"/>
  <c r="D614" i="1"/>
  <c r="E614" i="1"/>
  <c r="I614" i="1"/>
  <c r="N614" i="1"/>
  <c r="A615" i="1"/>
  <c r="B615" i="1"/>
  <c r="AI615" i="1" s="1"/>
  <c r="C615" i="1"/>
  <c r="D615" i="1"/>
  <c r="E615" i="1"/>
  <c r="I615" i="1"/>
  <c r="N615" i="1"/>
  <c r="A616" i="1"/>
  <c r="B616" i="1"/>
  <c r="AI616" i="1" s="1"/>
  <c r="C616" i="1"/>
  <c r="D616" i="1"/>
  <c r="E616" i="1"/>
  <c r="I616" i="1"/>
  <c r="N616" i="1"/>
  <c r="A617" i="1"/>
  <c r="B617" i="1"/>
  <c r="AI617" i="1" s="1"/>
  <c r="C617" i="1"/>
  <c r="D617" i="1"/>
  <c r="E617" i="1"/>
  <c r="I617" i="1"/>
  <c r="N617" i="1"/>
  <c r="A618" i="1"/>
  <c r="B618" i="1"/>
  <c r="AI618" i="1" s="1"/>
  <c r="C618" i="1"/>
  <c r="D618" i="1"/>
  <c r="E618" i="1"/>
  <c r="I618" i="1"/>
  <c r="N618" i="1"/>
  <c r="A619" i="1"/>
  <c r="B619" i="1"/>
  <c r="AI619" i="1" s="1"/>
  <c r="C619" i="1"/>
  <c r="D619" i="1"/>
  <c r="E619" i="1"/>
  <c r="I619" i="1"/>
  <c r="N619" i="1"/>
  <c r="B621" i="1"/>
  <c r="C621" i="1"/>
  <c r="D621" i="1"/>
  <c r="B622" i="1"/>
  <c r="C622" i="1"/>
  <c r="I622" i="1"/>
  <c r="I623" i="1"/>
  <c r="I625" i="1"/>
  <c r="I626" i="1"/>
  <c r="I627" i="1"/>
  <c r="I628" i="1"/>
  <c r="I630" i="1"/>
  <c r="I631" i="1"/>
  <c r="I632" i="1"/>
  <c r="I633" i="1"/>
  <c r="I634" i="1"/>
  <c r="I635" i="1"/>
  <c r="I636" i="1"/>
  <c r="I638" i="1"/>
  <c r="I639" i="1"/>
  <c r="I658" i="1"/>
  <c r="I659" i="1"/>
  <c r="I660" i="1"/>
  <c r="I661" i="1"/>
  <c r="I662" i="1"/>
  <c r="I663" i="1"/>
  <c r="I664" i="1"/>
  <c r="I665" i="1"/>
  <c r="I666" i="1"/>
  <c r="I667" i="1"/>
  <c r="I668" i="1"/>
  <c r="I669" i="1"/>
  <c r="I670" i="1"/>
  <c r="I671" i="1"/>
  <c r="I672" i="1"/>
  <c r="Q301" i="1" l="1"/>
  <c r="Q527" i="1"/>
  <c r="Q563" i="1"/>
  <c r="Q580" i="1"/>
  <c r="Q574" i="1"/>
  <c r="Q568" i="1"/>
  <c r="Q242" i="1"/>
  <c r="Q208" i="1"/>
  <c r="Q17" i="1"/>
  <c r="Q76" i="1"/>
  <c r="Q96" i="1"/>
  <c r="Q128" i="1"/>
  <c r="Q318" i="1"/>
  <c r="Q243" i="1"/>
  <c r="Q54" i="1"/>
  <c r="Q38" i="1"/>
  <c r="Q572" i="1"/>
  <c r="Q123" i="1"/>
  <c r="Q322" i="1"/>
  <c r="Q100" i="1"/>
  <c r="Q247" i="1"/>
  <c r="Q429" i="1"/>
  <c r="Q405" i="1"/>
  <c r="Q261" i="1"/>
  <c r="Q253" i="1"/>
  <c r="Q97" i="1"/>
  <c r="Q88" i="1"/>
  <c r="Q8" i="1"/>
  <c r="Q297" i="1"/>
  <c r="Q153" i="1"/>
  <c r="Q212" i="1"/>
  <c r="Q206" i="1"/>
  <c r="Q90" i="1"/>
  <c r="Q21" i="1"/>
  <c r="Q564" i="1"/>
  <c r="Q349" i="1"/>
  <c r="Q181" i="1"/>
  <c r="Q321" i="1"/>
  <c r="Q214" i="1"/>
  <c r="Q34" i="1"/>
  <c r="Q576" i="1"/>
  <c r="Q86" i="1"/>
  <c r="Q39" i="1"/>
  <c r="Q404" i="1"/>
  <c r="Q280" i="1"/>
  <c r="Q274" i="1"/>
  <c r="Q575" i="1"/>
  <c r="Q462" i="1"/>
  <c r="Q427" i="1"/>
  <c r="Q556" i="1"/>
  <c r="Q296" i="1"/>
  <c r="Q555" i="1"/>
  <c r="Q12" i="1"/>
  <c r="Q418" i="1"/>
  <c r="Q129" i="1"/>
  <c r="Q52" i="1"/>
  <c r="Q196" i="1"/>
  <c r="Q538" i="1"/>
  <c r="Q277" i="1"/>
  <c r="Q84" i="1"/>
  <c r="Q567" i="1"/>
  <c r="Q422" i="1"/>
  <c r="Q237" i="1"/>
  <c r="Q571" i="1"/>
  <c r="Q565" i="1"/>
  <c r="Q603" i="1"/>
  <c r="Q281" i="1"/>
  <c r="Q175" i="1"/>
  <c r="Q53" i="1"/>
  <c r="Q36" i="1"/>
  <c r="Q438" i="1"/>
  <c r="Q373" i="1"/>
  <c r="Q356" i="1"/>
  <c r="Q350" i="1"/>
  <c r="Q245" i="1"/>
  <c r="Q239" i="1"/>
  <c r="Q87" i="1"/>
  <c r="Q47" i="1"/>
  <c r="Q337" i="1"/>
  <c r="Q286" i="1"/>
  <c r="Q256" i="1"/>
  <c r="Q366" i="1"/>
  <c r="Q285" i="1"/>
  <c r="Q16" i="1"/>
  <c r="Q410" i="1"/>
  <c r="Q325" i="1"/>
  <c r="Q314" i="1"/>
  <c r="Q236" i="1"/>
  <c r="Q180" i="1"/>
  <c r="Q581" i="1"/>
  <c r="Q426" i="1"/>
  <c r="Q376" i="1"/>
  <c r="Q544" i="1"/>
  <c r="Q453" i="1"/>
  <c r="Q353" i="1"/>
  <c r="Q324" i="1"/>
  <c r="Q302" i="1"/>
  <c r="Q252" i="1"/>
  <c r="Q157" i="1"/>
  <c r="Q19" i="1"/>
  <c r="Q346" i="1"/>
  <c r="Q189" i="1"/>
  <c r="Q134" i="1"/>
  <c r="Q85" i="1"/>
  <c r="Q79" i="1"/>
  <c r="Q41" i="1"/>
  <c r="Q430" i="1"/>
  <c r="Q413" i="1"/>
  <c r="Q407" i="1"/>
  <c r="Q435" i="1"/>
  <c r="Q317" i="1"/>
  <c r="Q289" i="1"/>
  <c r="Q278" i="1"/>
  <c r="Q368" i="1"/>
  <c r="Q294" i="1"/>
  <c r="Q210" i="1"/>
  <c r="Q89" i="1"/>
  <c r="Q45" i="1"/>
  <c r="Q11" i="1"/>
  <c r="Q383" i="1"/>
  <c r="Q367" i="1"/>
  <c r="Q333" i="1"/>
  <c r="Q209" i="1"/>
  <c r="Q77" i="1"/>
  <c r="Q577" i="1"/>
  <c r="Q512" i="1"/>
  <c r="Q315" i="1"/>
  <c r="Q562" i="1"/>
  <c r="Q432" i="1"/>
  <c r="Q340" i="1"/>
  <c r="Q329" i="1"/>
  <c r="Q313" i="1"/>
  <c r="Q270" i="1"/>
  <c r="Q264" i="1"/>
  <c r="Q259" i="1"/>
  <c r="Q215" i="1"/>
  <c r="Q204" i="1"/>
  <c r="Q161" i="1"/>
  <c r="Q156" i="1"/>
  <c r="Q140" i="1"/>
  <c r="Q103" i="1"/>
  <c r="Q93" i="1"/>
  <c r="Q82" i="1"/>
  <c r="Q13" i="1"/>
  <c r="Q566" i="1"/>
  <c r="Q420" i="1"/>
  <c r="Q339" i="1"/>
  <c r="Q328" i="1"/>
  <c r="Q312" i="1"/>
  <c r="Q307" i="1"/>
  <c r="Q269" i="1"/>
  <c r="Q263" i="1"/>
  <c r="Q258" i="1"/>
  <c r="Q192" i="1"/>
  <c r="Q139" i="1"/>
  <c r="Q92" i="1"/>
  <c r="Q81" i="1"/>
  <c r="Q49" i="1"/>
  <c r="Q44" i="1"/>
  <c r="Q23" i="1"/>
  <c r="Q570" i="1"/>
  <c r="Q440" i="1"/>
  <c r="Q344" i="1"/>
  <c r="Q257" i="1"/>
  <c r="Q186" i="1"/>
  <c r="Q143" i="1"/>
  <c r="Q138" i="1"/>
  <c r="Q107" i="1"/>
  <c r="Q91" i="1"/>
  <c r="Q80" i="1"/>
  <c r="Q43" i="1"/>
  <c r="Q22" i="1"/>
  <c r="Q424" i="1"/>
  <c r="Q300" i="1"/>
  <c r="Q246" i="1"/>
  <c r="Q240" i="1"/>
  <c r="Q235" i="1"/>
  <c r="Q132" i="1"/>
  <c r="Q6" i="1"/>
  <c r="Q569" i="1"/>
  <c r="Q396" i="1"/>
  <c r="Q326" i="1"/>
  <c r="Q68" i="1"/>
  <c r="Q578" i="1"/>
  <c r="Q434" i="1"/>
  <c r="Q272" i="1"/>
  <c r="Q174" i="1"/>
  <c r="Q136" i="1"/>
  <c r="Q105" i="1"/>
  <c r="Q15" i="1"/>
  <c r="Q573" i="1"/>
  <c r="Q502" i="1"/>
  <c r="Q428" i="1"/>
  <c r="Q406" i="1"/>
  <c r="Q400" i="1"/>
  <c r="Q390" i="1"/>
  <c r="Q363" i="1"/>
  <c r="Q352" i="1"/>
  <c r="Q320" i="1"/>
  <c r="Q282" i="1"/>
  <c r="Q244" i="1"/>
  <c r="Q211" i="1"/>
  <c r="Q46" i="1"/>
  <c r="Q25" i="1"/>
  <c r="Q20" i="1"/>
  <c r="Q330" i="1"/>
  <c r="Q287" i="1"/>
  <c r="Q276" i="1"/>
  <c r="Q265" i="1"/>
  <c r="Q260" i="1"/>
  <c r="Q254" i="1"/>
  <c r="Q194" i="1"/>
  <c r="Q173" i="1"/>
  <c r="Q162" i="1"/>
  <c r="Q146" i="1"/>
  <c r="Q99" i="1"/>
  <c r="Q18" i="1"/>
  <c r="Q371" i="1"/>
  <c r="Q347" i="1"/>
  <c r="Q323" i="1"/>
  <c r="Q299" i="1"/>
  <c r="Q275" i="1"/>
  <c r="Q227" i="1"/>
  <c r="Q179" i="1"/>
  <c r="Q131" i="1"/>
  <c r="Q98" i="1"/>
  <c r="Q74" i="1"/>
  <c r="Q375" i="1"/>
  <c r="Q351" i="1"/>
  <c r="Q327" i="1"/>
  <c r="Q303" i="1"/>
  <c r="Q279" i="1"/>
  <c r="Q255" i="1"/>
  <c r="Q183" i="1"/>
  <c r="Q78" i="1"/>
  <c r="Q436" i="1"/>
  <c r="Q9" i="1"/>
</calcChain>
</file>

<file path=xl/sharedStrings.xml><?xml version="1.0" encoding="utf-8"?>
<sst xmlns="http://schemas.openxmlformats.org/spreadsheetml/2006/main" count="14325" uniqueCount="3764">
  <si>
    <t>Name</t>
  </si>
  <si>
    <t xml:space="preserve"> GUID</t>
  </si>
  <si>
    <t xml:space="preserve"> Source</t>
  </si>
  <si>
    <t xml:space="preserve"> Peripherals</t>
  </si>
  <si>
    <t>DAC (AD5662)</t>
  </si>
  <si>
    <t>3D87FFE9-97C1-4013-A2CD-82C24D0CCB48</t>
  </si>
  <si>
    <t>ADC_AD5662.fcpx</t>
  </si>
  <si>
    <t>COMMSA</t>
  </si>
  <si>
    <t xml:space="preserve">SPI </t>
  </si>
  <si>
    <t>ADC (AD7680)</t>
  </si>
  <si>
    <t>937E425E-21C0-4B08-8D8F-0BF80A6391D2</t>
  </si>
  <si>
    <t>ADC_AD7680.fcpx</t>
  </si>
  <si>
    <t>DSP Audio Input (EB085)</t>
  </si>
  <si>
    <t>87D8BAD5-6392-41FB-B370-D9B2C0F8F13F</t>
  </si>
  <si>
    <t>ADC_EB085.fcpx</t>
  </si>
  <si>
    <t>ADC (MCP356X)</t>
  </si>
  <si>
    <t>235FD689-BFD1-4C4A-A918-6C3C36E9A49F</t>
  </si>
  <si>
    <t>ADC_MCP356X.fcpx</t>
  </si>
  <si>
    <t>Infrared Array AMG88xx</t>
  </si>
  <si>
    <t>E1D52EFB-00D4-4E19-BA4C-29B292535EA1</t>
  </si>
  <si>
    <t>AMG88xx.fcpx</t>
  </si>
  <si>
    <t>SENSORS</t>
  </si>
  <si>
    <t xml:space="preserve">I2C </t>
  </si>
  <si>
    <t>B81925B1-7504-4D77-AC90-3A4FA700FCC4</t>
  </si>
  <si>
    <t>Accelerometer_EB068.fcpx</t>
  </si>
  <si>
    <t xml:space="preserve">SPI I2C </t>
  </si>
  <si>
    <t>72F0A8C3-2B8F-4723-B22A-4A81873E5151</t>
  </si>
  <si>
    <t>Accelerometer_LIS3LV02DQ.fcpx</t>
  </si>
  <si>
    <t>2C716005-E9B5-46E3-86F9-30E5268341A9</t>
  </si>
  <si>
    <t>Accelerometer_MMA8452Q.fcpx</t>
  </si>
  <si>
    <t>E08872A7-6962-4B61-BCCA-71389F8ED8D7</t>
  </si>
  <si>
    <t>AmbientLight.fcpx</t>
  </si>
  <si>
    <t>Area Chart</t>
  </si>
  <si>
    <t>A907D905-5879-48F3-9ADD-369A2F4E164F</t>
  </si>
  <si>
    <t>AreaChart.fcpx</t>
  </si>
  <si>
    <t>Auto Version Identifier</t>
  </si>
  <si>
    <t>1911D96C-78DD-414A-B23C-6691FB19F63F</t>
  </si>
  <si>
    <t>AutoVersionID.fcpx</t>
  </si>
  <si>
    <t>STORAGE</t>
  </si>
  <si>
    <t>BBC News</t>
  </si>
  <si>
    <t>72CD9559-26F7-4FFD-984C-CF3A82A6DB16</t>
  </si>
  <si>
    <t>BBCNews.fcpx</t>
  </si>
  <si>
    <t>COMMSC</t>
  </si>
  <si>
    <t>BBC Weather Observation</t>
  </si>
  <si>
    <t>BF90426C-1763-4A7A-BE5C-B3E442E3F6D8</t>
  </si>
  <si>
    <t>BBCWeather.fcpx</t>
  </si>
  <si>
    <t>BBC Weather Forecast</t>
  </si>
  <si>
    <t>DF96FFA1-4D36-453A-8877-758F68A2676C</t>
  </si>
  <si>
    <t>BBCWeatherForecast.fcpx</t>
  </si>
  <si>
    <t>Bar Chart</t>
  </si>
  <si>
    <t>60B296CD-5B02-4C9C-9239-CCA36238F480</t>
  </si>
  <si>
    <t>BarChart.fcpx</t>
  </si>
  <si>
    <t>Barometer (DPS310)</t>
  </si>
  <si>
    <t>CA60C1D2-FB77-4E3E-9D01-C4496D35DB1E</t>
  </si>
  <si>
    <t>Barometer_DPS310.fcpx</t>
  </si>
  <si>
    <t>Base2dChart</t>
  </si>
  <si>
    <t>1286CA5C-6453-4A92-9CCE-C6BA47457A69</t>
  </si>
  <si>
    <t>Base2dChart.fcpx</t>
  </si>
  <si>
    <t>Base2dGauge</t>
  </si>
  <si>
    <t>B9285F96-06E8-4CDD-B0E2-A413F5150F1A</t>
  </si>
  <si>
    <t>Base2dGauge.fcpx</t>
  </si>
  <si>
    <t>Base2dObject</t>
  </si>
  <si>
    <t>E11146D4-2D40-4BE6-95CC-FBBDF8338C25</t>
  </si>
  <si>
    <t>Base2dObject.fcpx</t>
  </si>
  <si>
    <t>Base2dStatic</t>
  </si>
  <si>
    <t>6E425786-81B6-4F40-AC24-6C674BFFE958</t>
  </si>
  <si>
    <t>Base2dStatic.fcpx</t>
  </si>
  <si>
    <t>Base 64</t>
  </si>
  <si>
    <t>A78483E1-B293-47E7-984C-55984FC93571</t>
  </si>
  <si>
    <t>Base64.fcpx</t>
  </si>
  <si>
    <t>GLCD Base</t>
  </si>
  <si>
    <t>4384CBA9-0BEA-4359-8C5B-DCD046AA7778</t>
  </si>
  <si>
    <t>Base_GLCD.fcpx</t>
  </si>
  <si>
    <t>Basic IO Shield PCB</t>
  </si>
  <si>
    <t>0CC9193A-1F8B-4D22-85D0-952B37C40B25</t>
  </si>
  <si>
    <t>BasicIOShieldPCB.fcpx</t>
  </si>
  <si>
    <t>Bevel</t>
  </si>
  <si>
    <t>B71C1512-A4C6-4887-A443-1ECF08D14D64</t>
  </si>
  <si>
    <t>Bevel2d.fcpx</t>
  </si>
  <si>
    <t>GLCD Bitmap Drawer ROM</t>
  </si>
  <si>
    <t>52DD90BD-FEC9-4EE5-934C-E4B2297168A5</t>
  </si>
  <si>
    <t>BitmapDrawer.fcpx</t>
  </si>
  <si>
    <t>DISPLAYS</t>
  </si>
  <si>
    <t>GLCD Bitmap Drawer FAT</t>
  </si>
  <si>
    <t>B02B7C75-53CB-4BE4-871F-61BE633D898C</t>
  </si>
  <si>
    <t>BitmapDrawerFAT.fcpx</t>
  </si>
  <si>
    <t>Bluetooth v2 (EB024 Generic AT)</t>
  </si>
  <si>
    <t>76B3EB5C-2D23-4C8D-BDE8-505032BC886A</t>
  </si>
  <si>
    <t>Bluetooth2.fcpx</t>
  </si>
  <si>
    <t>COMMSB</t>
  </si>
  <si>
    <t xml:space="preserve">UART </t>
  </si>
  <si>
    <t>5F9D5A58-6C01-4588-AFA0-DF4C01CE161A</t>
  </si>
  <si>
    <t>BluetoothBL0170.fcpx</t>
  </si>
  <si>
    <t>0C7DF3FC-A46F-4712-8CD3-77079978F4FC</t>
  </si>
  <si>
    <t>BluetoothRN4677.fcpx</t>
  </si>
  <si>
    <t>Bluetooth (HC05 / HC06)</t>
  </si>
  <si>
    <t>A8DBE015-0985-4581-ABD5-1CC44F576FAB</t>
  </si>
  <si>
    <t>Bluetooth_HC05.fcpx</t>
  </si>
  <si>
    <t>Bluetooth (ESP32 SPP)</t>
  </si>
  <si>
    <t>8BE2CE64-4860-468A-AA8A-EAC443274DA3</t>
  </si>
  <si>
    <t>Bluetooth_SPP_ESP32.fcpx</t>
  </si>
  <si>
    <t>Brushless Motor (Standard)</t>
  </si>
  <si>
    <t>DC99E179-216F-4618-AEE7-3F5F87541A9D</t>
  </si>
  <si>
    <t>BrushlessMotor.fcpx</t>
  </si>
  <si>
    <t>MECHATRONICS</t>
  </si>
  <si>
    <t>Bubble Chart</t>
  </si>
  <si>
    <t>5D52E8A2-F248-4318-A0AC-E7B9503237CF</t>
  </si>
  <si>
    <t>BubbleChart.fcpx</t>
  </si>
  <si>
    <t>Buzzer</t>
  </si>
  <si>
    <t>04BBD3B8-EE11-40EB-91E8-1BBBD6F65B8C</t>
  </si>
  <si>
    <t>Buzzer.fcpx</t>
  </si>
  <si>
    <t>BASICIO</t>
  </si>
  <si>
    <t>CAN (Internal MCP2515)</t>
  </si>
  <si>
    <t>DA332928-6342-4C2C-AFC7-EAF33917D33E</t>
  </si>
  <si>
    <t>CAN.fcpx</t>
  </si>
  <si>
    <t xml:space="preserve">CAN SPI </t>
  </si>
  <si>
    <t>CNC Machine</t>
  </si>
  <si>
    <t>93252F96-A8E5-4D65-8C40-11614BB15B52</t>
  </si>
  <si>
    <t>CNCMachine.fcpx</t>
  </si>
  <si>
    <t>MODELS</t>
  </si>
  <si>
    <t>COM Port</t>
  </si>
  <si>
    <t>CBB3C28E-2D73-4442-AC52-23A3B45D9870</t>
  </si>
  <si>
    <t>COMPort.fcpx</t>
  </si>
  <si>
    <t>CSV Read/Write</t>
  </si>
  <si>
    <t>7D0C33A1-0AAA-4250-84BB-F96FC113ABAC</t>
  </si>
  <si>
    <t>CSV_Writer.fcpx</t>
  </si>
  <si>
    <t>Car Seat</t>
  </si>
  <si>
    <t>FDE30DE0-35ED-40CA-937A-88DA6409C1D2</t>
  </si>
  <si>
    <t>CarSeat.fcpx</t>
  </si>
  <si>
    <t>XY Chart</t>
  </si>
  <si>
    <t>0187D13D-8822-4E75-AB22-474C7058EBE4</t>
  </si>
  <si>
    <t>Chart_XY.fcpx</t>
  </si>
  <si>
    <t>Target Chip</t>
  </si>
  <si>
    <t>3D632CD0-B8CB-4CA0-8F7A-59F88AC02FA3</t>
  </si>
  <si>
    <t>ChipComponent.fcpx</t>
  </si>
  <si>
    <t>Circular Buffer (8-bit)</t>
  </si>
  <si>
    <t>C34F9B8A-A915-4F75-AD0C-87F2AD670A8A</t>
  </si>
  <si>
    <t>CircularBuffer.fcpx</t>
  </si>
  <si>
    <t>Circular Buffer (16-bit)</t>
  </si>
  <si>
    <t>201D99F7-ACF8-481D-A703-61860C2BA3EA</t>
  </si>
  <si>
    <t>CircularBuffer16.fcpx</t>
  </si>
  <si>
    <t>Circular Buffer (Float)</t>
  </si>
  <si>
    <t>ED491C82-9F85-4627-93CE-D2B588352539</t>
  </si>
  <si>
    <t>CircularBufferFloat.fcpx</t>
  </si>
  <si>
    <t>Circular Gauge</t>
  </si>
  <si>
    <t>995FA4F2-71CE-4D91-AA62-87F731AE7E7D</t>
  </si>
  <si>
    <t>CircularGauge.fcpx</t>
  </si>
  <si>
    <t>Circular Knob</t>
  </si>
  <si>
    <t>A11AA47B-7C82-4DAD-B62D-B1A263E2A4FE</t>
  </si>
  <si>
    <t>CircularKnob.fcpx</t>
  </si>
  <si>
    <t>D8B85F99-8DE3-41DD-9BAB-F8BFC19E74AF</t>
  </si>
  <si>
    <t>ColourSensor_TCS3200.fcpx</t>
  </si>
  <si>
    <t>Column Chart</t>
  </si>
  <si>
    <t>BA8897FE-8349-47B3-9072-E823E74131AF</t>
  </si>
  <si>
    <t>ColumnChart.fcpx</t>
  </si>
  <si>
    <t>9A7D4E50-8D7E-4C5E-9A93-7948AB47EDAD</t>
  </si>
  <si>
    <t>ComboBoard.fcpx</t>
  </si>
  <si>
    <t xml:space="preserve">ADC </t>
  </si>
  <si>
    <t>D4C04AC8-BBCD-4981-8CE6-9D6C9BB1E26A</t>
  </si>
  <si>
    <t>ComboBoardBL0114.fcpx</t>
  </si>
  <si>
    <t>Panel Console Viewer</t>
  </si>
  <si>
    <t>06DB27A4-C20A-4371-B05E-7CDB55556859</t>
  </si>
  <si>
    <t>ConsoleTextViewer.fcpx</t>
  </si>
  <si>
    <t>Console Writer</t>
  </si>
  <si>
    <t>940E39A6-D035-4E43-8DBB-455EE4679066</t>
  </si>
  <si>
    <t>ConsoleWriter.fcpx</t>
  </si>
  <si>
    <t>BD23228F-B173-4135-AB3B-A4C3C4CAA7A8</t>
  </si>
  <si>
    <t>Control.fcpx</t>
  </si>
  <si>
    <t>NULL</t>
  </si>
  <si>
    <t>Coupling</t>
  </si>
  <si>
    <t>83C095CC-FEFC-4854-A7C5-7FE867753BF4</t>
  </si>
  <si>
    <t>Coupling.fcpx</t>
  </si>
  <si>
    <t>Curiosity PCB</t>
  </si>
  <si>
    <t>8D419CD0-3404-4BEE-8049-22ACCC2C815B</t>
  </si>
  <si>
    <t>CuriosityPCB.fcpx</t>
  </si>
  <si>
    <t>DSP Audio Output (EB086)</t>
  </si>
  <si>
    <t>E83923B3-994A-41C9-B277-5B107AB6E1DD</t>
  </si>
  <si>
    <t>DAC_EB086.fcpx</t>
  </si>
  <si>
    <t>DAC (MCP4725)</t>
  </si>
  <si>
    <t>E78D88A0-E132-4F82-988D-59353009B669</t>
  </si>
  <si>
    <t>DAC_MCP4725.fcpx</t>
  </si>
  <si>
    <t>DAC (MCP47x6)</t>
  </si>
  <si>
    <t>70A3BEAD-E66D-4A76-BC7B-FB1BAA86D2E6</t>
  </si>
  <si>
    <t>DAC_MCP47x6.fcpx</t>
  </si>
  <si>
    <t>DAC (MCP48x1)</t>
  </si>
  <si>
    <t>FAB5CF20-8686-4397-8A21-CC936659D5F6</t>
  </si>
  <si>
    <t>DAC_MCP48x1.fcpx</t>
  </si>
  <si>
    <t>DAC (Internal)</t>
  </si>
  <si>
    <t>09222494-FBEF-455B-9651-9E9E46592EB5</t>
  </si>
  <si>
    <t>DAC_Output.fcpx</t>
  </si>
  <si>
    <t>B6DE5668-E0AE-4C1A-9C16-B16AA3F58024</t>
  </si>
  <si>
    <t>DAC_Output_49x1.fcpx</t>
  </si>
  <si>
    <t>B66F5769-5E9D-40E7-9159-C6A0552FF86E</t>
  </si>
  <si>
    <t>DAC_Output_Dual.fcpx</t>
  </si>
  <si>
    <t>F484E96A-AF4F-434E-A002-70D3F4315DFB</t>
  </si>
  <si>
    <t>DAC_Output_Dual_48x2.fcpx</t>
  </si>
  <si>
    <t>DAC Quad (MCP4728)</t>
  </si>
  <si>
    <t>ADB523DB-DB13-4D19-BFA3-0FBC177E4D3F</t>
  </si>
  <si>
    <t>DAC_Output_MCP4728.fcpx</t>
  </si>
  <si>
    <t>DALI Master</t>
  </si>
  <si>
    <t>5AEFAC05-EE5E-4D51-9F31-05281900A97E</t>
  </si>
  <si>
    <t>DALIMaster.fcpx</t>
  </si>
  <si>
    <t>DALI Slave</t>
  </si>
  <si>
    <t>C714F39E-C8FB-413F-AFDA-2D169E655134</t>
  </si>
  <si>
    <t>DALISlave.fcpx</t>
  </si>
  <si>
    <t>DFPlayer (MP3 / WAV)</t>
  </si>
  <si>
    <t>2061D38D-0CCA-440C-A842-F9C84CA55F90</t>
  </si>
  <si>
    <t>DFPlayer.fcpx</t>
  </si>
  <si>
    <t>Temp / Humidity (DHT11)</t>
  </si>
  <si>
    <t>40785D28-4FE3-4AEC-A5D9-BA30B2D58760</t>
  </si>
  <si>
    <t>DHT11.fcpx</t>
  </si>
  <si>
    <t>Temp / Humidity (DHT22)</t>
  </si>
  <si>
    <t>95A1525B-7E03-4836-8C09-59BF174F603B</t>
  </si>
  <si>
    <t>DHT22.fcpx</t>
  </si>
  <si>
    <t>DMX-512 Master</t>
  </si>
  <si>
    <t>B4E10F9E-4EA9-4FBC-A584-A4D7D4D8FBA6</t>
  </si>
  <si>
    <t>DMX512Master.fcpx</t>
  </si>
  <si>
    <t>DMX-512 Slave</t>
  </si>
  <si>
    <t>1BE0AC44-3521-402E-A8B7-1FAF86C09560</t>
  </si>
  <si>
    <t>DMX512Slave.fcpx</t>
  </si>
  <si>
    <t>Input ADC</t>
  </si>
  <si>
    <t>3420D1EA-BC10-4727-8419-746101B8DC13</t>
  </si>
  <si>
    <t>DSPAnInput.fcpx</t>
  </si>
  <si>
    <t>DSP</t>
  </si>
  <si>
    <t>PID Control</t>
  </si>
  <si>
    <t>E6DD1315-4ACF-4FB5-ABD9-5743D3715CBE</t>
  </si>
  <si>
    <t>DSPControl.fcpx</t>
  </si>
  <si>
    <t>Output DAC</t>
  </si>
  <si>
    <t>4483DA18-FA5A-4436-9EDB-0CFB55A4BCE1</t>
  </si>
  <si>
    <t>DSPDAC.fcpx</t>
  </si>
  <si>
    <t>Deinterlace</t>
  </si>
  <si>
    <t>0B1D97C1-EE89-45A5-8C39-114CD6D552AD</t>
  </si>
  <si>
    <t>DSPDeinterlace.fcpx</t>
  </si>
  <si>
    <t>Delay</t>
  </si>
  <si>
    <t>E0DDC704-6BAB-4D08-8F10-19A14C6683EF</t>
  </si>
  <si>
    <t>DSPDelay.fcpx</t>
  </si>
  <si>
    <t>Fast Fourier Transform (FFT)</t>
  </si>
  <si>
    <t>F804A7BD-0280-4FF7-AB75-63BE77FB2AF3</t>
  </si>
  <si>
    <t>DSPFFT.fcpx</t>
  </si>
  <si>
    <t>Filter</t>
  </si>
  <si>
    <t>317EFB6A-2BAD-4F83-A0BC-4ADA0F4CD51E</t>
  </si>
  <si>
    <t>DSPFilter.fcpx</t>
  </si>
  <si>
    <t>Waveform Generator</t>
  </si>
  <si>
    <t>CBE42ABC-5955-44DA-A6D0-03E7CBCDCACA</t>
  </si>
  <si>
    <t>DSPFreqGen.fcpx</t>
  </si>
  <si>
    <t>Input Digital</t>
  </si>
  <si>
    <t>C73D493A-B6A0-4DBE-B4B5-79648F67D11E</t>
  </si>
  <si>
    <t>DSPInput.fcpx</t>
  </si>
  <si>
    <t>Input CSV</t>
  </si>
  <si>
    <t>73C1C565-8D04-44DD-AB78-1997D5E3C641</t>
  </si>
  <si>
    <t>DSPInputCSV.fcpx</t>
  </si>
  <si>
    <t>Input Digital Pin</t>
  </si>
  <si>
    <t>8D6FFD33-4087-46B5-8DFD-F43513748755</t>
  </si>
  <si>
    <t>DSPInputPin.fcpx</t>
  </si>
  <si>
    <t>Interlace</t>
  </si>
  <si>
    <t>23B8DE7F-5214-4F77-9BAC-4982123B8D4B</t>
  </si>
  <si>
    <t>DSPInterlace.fcpx</t>
  </si>
  <si>
    <t>Kalman Filter</t>
  </si>
  <si>
    <t>83FAC7AC-B7B5-4CC4-890A-394CBF16CF71</t>
  </si>
  <si>
    <t>DSPKalman.fcpx</t>
  </si>
  <si>
    <t>Level</t>
  </si>
  <si>
    <t>E648C3DE-EC39-4A3F-BBD9-46E45CCE4A63</t>
  </si>
  <si>
    <t>DSPLevel.fcpx</t>
  </si>
  <si>
    <t>Math</t>
  </si>
  <si>
    <t>82872714-F0F0-4758-91EC-BD39D2CDDDC8</t>
  </si>
  <si>
    <t>DSPMath.fcpx</t>
  </si>
  <si>
    <t>Median</t>
  </si>
  <si>
    <t>FACC8C89-963A-408E-985E-ED768A52B01A</t>
  </si>
  <si>
    <t>DSPMedian.fcpx</t>
  </si>
  <si>
    <t>Multiplex</t>
  </si>
  <si>
    <t>A9E01AA0-F224-4902-A558-6A199FC039C5</t>
  </si>
  <si>
    <t>DSPMultiplex.fcpx</t>
  </si>
  <si>
    <t>Offset</t>
  </si>
  <si>
    <t>88A7DBC4-AF92-4205-8943-ABAA77504462</t>
  </si>
  <si>
    <t>DSPOffset.fcpx</t>
  </si>
  <si>
    <t>On/Off Control</t>
  </si>
  <si>
    <t>34B6F31B-7E33-4BEB-891E-DEFACBEE8587</t>
  </si>
  <si>
    <t>DSPOnOffControl.fcpx</t>
  </si>
  <si>
    <t>Output Digital</t>
  </si>
  <si>
    <t>1392D5C3-35BA-4C7F-A539-7F30A09758E4</t>
  </si>
  <si>
    <t>DSPOutput.fcpx</t>
  </si>
  <si>
    <t>Output CSV</t>
  </si>
  <si>
    <t>5142BD81-ABAD-444B-B6DB-36A87DCE5835</t>
  </si>
  <si>
    <t>DSPOutputCSV.fcpx</t>
  </si>
  <si>
    <t>Output Digital Pin</t>
  </si>
  <si>
    <t>0D048C7D-18D5-4BCE-83F1-7E429C0D86B6</t>
  </si>
  <si>
    <t>DSPOutputPin.fcpx</t>
  </si>
  <si>
    <t>Output PWM</t>
  </si>
  <si>
    <t>649F4BC2-1360-4629-82AA-62E2FC32D4E4</t>
  </si>
  <si>
    <t>DSPPWM.fcpx</t>
  </si>
  <si>
    <t xml:space="preserve">PWM </t>
  </si>
  <si>
    <t>Rectifier</t>
  </si>
  <si>
    <t>939A5D54-28C7-488D-AF39-46F7C5D2C429</t>
  </si>
  <si>
    <t>DSPRectifier.fcpx</t>
  </si>
  <si>
    <t>Scale</t>
  </si>
  <si>
    <t>F1AF5256-1DEE-491C-B43F-FDC8F33279FB</t>
  </si>
  <si>
    <t>DSPScale.fcpx</t>
  </si>
  <si>
    <t>Simulated Control Load</t>
  </si>
  <si>
    <t>907F24E9-A8A3-46EA-942D-67DC55F7EB44</t>
  </si>
  <si>
    <t>DSPSimLoad.fcpx</t>
  </si>
  <si>
    <t>Data Sheet</t>
  </si>
  <si>
    <t>A3A84355-5D1C-4437-900D-FDF3FE6EE6FB</t>
  </si>
  <si>
    <t>DataSheet.fcpx</t>
  </si>
  <si>
    <t>Data Sheet B</t>
  </si>
  <si>
    <t>265D450B-0719-4B6B-8F66-1AEFCE666E3F</t>
  </si>
  <si>
    <t>DataSheetB.fcpx</t>
  </si>
  <si>
    <t>A1DA060C-E74A-4E12-BB90-3DDB43265592</t>
  </si>
  <si>
    <t>DebugPrint.fcpx</t>
  </si>
  <si>
    <t>Device Helper</t>
  </si>
  <si>
    <t>E2ED1829-6967-4339-98E1-3806650297C5</t>
  </si>
  <si>
    <t>DeviceHelper.fcpx</t>
  </si>
  <si>
    <t>Message Box</t>
  </si>
  <si>
    <t>D2A7FE23-7DD2-43CA-AD55-185EEC92FDD8</t>
  </si>
  <si>
    <t>Dialogue.fcpx</t>
  </si>
  <si>
    <t>4-Digit Display (Grove 104030003)</t>
  </si>
  <si>
    <t>D9E86781-7FA0-4E64-9F82-EF49152611B0</t>
  </si>
  <si>
    <t>DigitDisplay.fcpx</t>
  </si>
  <si>
    <t>Digital Valve</t>
  </si>
  <si>
    <t>9415F6CA-F29A-46CC-B3E8-F047CF0C598A</t>
  </si>
  <si>
    <t>DigitalValve.fcpx</t>
  </si>
  <si>
    <t>SCADA</t>
  </si>
  <si>
    <t>Display Manager</t>
  </si>
  <si>
    <t>CBFB3C21-F13D-488D-9B90-400C8D4FC605</t>
  </si>
  <si>
    <t>DisplayManager.fcpx</t>
  </si>
  <si>
    <t>8E91085E-F978-404F-9DE9-56424C4B56DD</t>
  </si>
  <si>
    <t>DynamicTextField.fcpx</t>
  </si>
  <si>
    <t>CBB357FA-5252-415D-80F5-01E4AB85CB4A</t>
  </si>
  <si>
    <t>EB088_CapTouch.fcpx</t>
  </si>
  <si>
    <t>E-block 2 Helper</t>
  </si>
  <si>
    <t>7AE74A71-A424-452F-8D71-618CF50CFF98</t>
  </si>
  <si>
    <t>EB2Helper.fcpx</t>
  </si>
  <si>
    <t>E-block Helper</t>
  </si>
  <si>
    <t>A5320E5B-75C1-4E67-9ED4-E933F40EFC9A</t>
  </si>
  <si>
    <t>EBHelper.fcpx</t>
  </si>
  <si>
    <t>9A0503FF-2954-445E-9032-3465A05F8F82</t>
  </si>
  <si>
    <t>EBM002_Potentiometer.fcpx</t>
  </si>
  <si>
    <t>Thermistor</t>
  </si>
  <si>
    <t>2F3DD5E3-B652-4045-9AB9-10D49440E5CD</t>
  </si>
  <si>
    <t>EBM003_Thermistor.fcpx</t>
  </si>
  <si>
    <t>E3FDCCA6-1408-4389-8E2D-E741B06B3463</t>
  </si>
  <si>
    <t>EBM004_DigitalTemperature.fcpx</t>
  </si>
  <si>
    <t>245B0876-A350-4546-BB71-B427FF6EC9EF</t>
  </si>
  <si>
    <t>EBM006_DualTrimmer.fcpx</t>
  </si>
  <si>
    <t>Quadrature Encoder</t>
  </si>
  <si>
    <t>0C8229B3-03EA-415C-824B-A5C9A8394751</t>
  </si>
  <si>
    <t>EBM007_RotaryEncoder.fcpx</t>
  </si>
  <si>
    <t>D5C30CEA-62DE-4A55-9783-9BF9D104E3EC</t>
  </si>
  <si>
    <t>EBM008_Thermocouple.fcpx</t>
  </si>
  <si>
    <t>7B1EDF74-D0C8-4B1D-A8B3-54580ED79F64</t>
  </si>
  <si>
    <t>EBM009_Gyroscope.fcpx</t>
  </si>
  <si>
    <t>B42786AB-FD9A-47CF-B3C4-560ECDC613FD</t>
  </si>
  <si>
    <t>EBM011_HallEffect.fcpx</t>
  </si>
  <si>
    <t>BEB1F845-8F53-4214-9B14-11B7C2BF3BA8</t>
  </si>
  <si>
    <t>EBM012_PIR.fcpx</t>
  </si>
  <si>
    <t>8A853D8E-967B-4317-85D2-070167D41396</t>
  </si>
  <si>
    <t>EBM013_TouchPads.fcpx</t>
  </si>
  <si>
    <t>EF0C13AE-8A23-459C-947A-F0D2AD5F8BF1</t>
  </si>
  <si>
    <t>EBM014_TouchSlider.fcpx</t>
  </si>
  <si>
    <t>BDB9FCF6-3FB3-4051-8078-455B44CB249C</t>
  </si>
  <si>
    <t>EBM015_Magnetometer.fcpx</t>
  </si>
  <si>
    <t>5CB8F1AC-BAB2-4740-9A9D-01602A5FB196</t>
  </si>
  <si>
    <t>EBM016_Humidity.fcpx</t>
  </si>
  <si>
    <t>749AFD05-CE22-42CB-B17E-3F424CBCA6B0</t>
  </si>
  <si>
    <t>EBM018_ColourSensor.fcpx</t>
  </si>
  <si>
    <t>FEB064A2-E087-45E1-A7F9-C9FA0EDFDACE</t>
  </si>
  <si>
    <t>EBM019_Ultrasonic.fcpx</t>
  </si>
  <si>
    <t>A6989EC5-8D9B-4C16-B06F-B55394465946</t>
  </si>
  <si>
    <t>EBM020_Infrared.fcpx</t>
  </si>
  <si>
    <t>RMT (Internal)</t>
  </si>
  <si>
    <t>F88F79AE-0240-418C-820A-E2BCDB406007</t>
  </si>
  <si>
    <t>ESP32_RMT.fcpx</t>
  </si>
  <si>
    <t>C3E5EB13-E03D-4CA6-BE4D-1C63AD107A35</t>
  </si>
  <si>
    <t>ElectricalMachine.fcpx</t>
  </si>
  <si>
    <t>Embed File</t>
  </si>
  <si>
    <t>42F3F8EF-FF5B-44E6-9BE8-8C43D9AB5B08</t>
  </si>
  <si>
    <t>EmbedFile.fcpx</t>
  </si>
  <si>
    <t>EtherCAT Slave (EasyCAT)</t>
  </si>
  <si>
    <t>947089AA-CA9F-4E6F-9F86-7D49A1AE6F86</t>
  </si>
  <si>
    <t>EtherCAT.fcpx</t>
  </si>
  <si>
    <t>Event Log</t>
  </si>
  <si>
    <t>3022653D-9F9F-4981-B558-9ED8D265C931</t>
  </si>
  <si>
    <t>EventLog.fcpx</t>
  </si>
  <si>
    <t>Timed Event Trigger</t>
  </si>
  <si>
    <t>F137A538-3EBF-42E7-A941-B8F628802070</t>
  </si>
  <si>
    <t>EventTrigger.fcpx</t>
  </si>
  <si>
    <t>File (SD/SDHC Card)</t>
  </si>
  <si>
    <t>0B61BD39-05A3-46EE-A2A5-DA7BFFB583C5</t>
  </si>
  <si>
    <t>FAT.fcpx</t>
  </si>
  <si>
    <t>File Access</t>
  </si>
  <si>
    <t>9CB6D9DA-5555-4E1C-A65C-93B299B6011C</t>
  </si>
  <si>
    <t>FATSCADA.fcpx</t>
  </si>
  <si>
    <t>264EADAC-6FE5-43E0-BFB6-969175AAAB93</t>
  </si>
  <si>
    <t>FF_Racetrack.fcpx</t>
  </si>
  <si>
    <t>Touch Screen (FT6X06)</t>
  </si>
  <si>
    <t>90C9F255-B526-4288-B0B6-26736E6DB2E2</t>
  </si>
  <si>
    <t>FT6X06.fcpx</t>
  </si>
  <si>
    <t>FTDI (FT800)</t>
  </si>
  <si>
    <t>7B54013C-C426-4AA0-ABB7-80FC10CD39CC</t>
  </si>
  <si>
    <t>FT800.fcpx</t>
  </si>
  <si>
    <t>FTDI (FTD2XX)</t>
  </si>
  <si>
    <t>EEDBC87C-0433-4F67-86C5-A106439FC603</t>
  </si>
  <si>
    <t>FTD2XX.fcpx</t>
  </si>
  <si>
    <t>Fan / Pump</t>
  </si>
  <si>
    <t>810FD965-8219-4633-A26F-49D73890B4C9</t>
  </si>
  <si>
    <t>FanPump.fcpx</t>
  </si>
  <si>
    <t>Wood Fence</t>
  </si>
  <si>
    <t>3A9B473C-04D9-43E2-B6D4-1B22555E16AF</t>
  </si>
  <si>
    <t>Fence.fcpx</t>
  </si>
  <si>
    <t>Flash EEPROM</t>
  </si>
  <si>
    <t>06829BC6-9E27-4353-9D95-3BA9DABC3384</t>
  </si>
  <si>
    <t>FlashEEPROM.fcpx</t>
  </si>
  <si>
    <t>Serial Flash (W25)</t>
  </si>
  <si>
    <t>C8B6350E-B89A-4AD0-8669-E9387E24599E</t>
  </si>
  <si>
    <t>FlashW25.fcpx</t>
  </si>
  <si>
    <t>Formula AllCode API</t>
  </si>
  <si>
    <t>4182ECE3-6AD5-41D3-A0E2-31BC570806DB</t>
  </si>
  <si>
    <t>FormulaAllCodeAPI.fcpx</t>
  </si>
  <si>
    <t>E3BE641A-8808-4138-BEE5-805FBBCE468C</t>
  </si>
  <si>
    <t>FormulaAllCodeP4.fcpx</t>
  </si>
  <si>
    <t>Formula Flowcode</t>
  </si>
  <si>
    <t>9D5300AB-57AE-4483-8F18-04EC2007B406</t>
  </si>
  <si>
    <t>FormulaFlowcode.fcpx</t>
  </si>
  <si>
    <t>G Code Parser</t>
  </si>
  <si>
    <t>1C2D5136-7F3E-45AE-ABF5-6A53D5D6CA03</t>
  </si>
  <si>
    <t>GCodeParser.fcpx</t>
  </si>
  <si>
    <t>Raspberry Pi HDMI</t>
  </si>
  <si>
    <t>7C3895D3-0359-4B4C-8FA4-AB6314CD5FBF</t>
  </si>
  <si>
    <t>GLCD_RPI.fcpx</t>
  </si>
  <si>
    <t>GLCD (STM32F429ZI)</t>
  </si>
  <si>
    <t>A00B9A94-9608-4208-AF26-68A94DAB336B</t>
  </si>
  <si>
    <t>GLCD_STM32F429ZI.fcpx</t>
  </si>
  <si>
    <t>GPS (EB056 Generic NMEA)</t>
  </si>
  <si>
    <t>575A3A3F-09B8-46BE-8069-C4D1894D7E7E</t>
  </si>
  <si>
    <t>GPS.fcpx</t>
  </si>
  <si>
    <t>GSM (EB066 Generic AT)</t>
  </si>
  <si>
    <t>0D02CCFD-4CDA-42B8-91D8-5392F491F9AF</t>
  </si>
  <si>
    <t>GSM.fcpx</t>
  </si>
  <si>
    <t>GameCode</t>
  </si>
  <si>
    <t>B5665F5D-809D-4BD8-A79B-411F893BEC16</t>
  </si>
  <si>
    <t>GameCode.fcpx</t>
  </si>
  <si>
    <t>Gearbox</t>
  </si>
  <si>
    <t>BFA45502-F9D6-4B53-A239-B5731F9288D5</t>
  </si>
  <si>
    <t>Gearbox.fcpx</t>
  </si>
  <si>
    <t>GLCD Graph Creator</t>
  </si>
  <si>
    <t>D4994410-CA95-4D1C-8D57-542D48A21D58</t>
  </si>
  <si>
    <t>GraphCreator.fcpx</t>
  </si>
  <si>
    <t>Grey Code Encoder</t>
  </si>
  <si>
    <t>0E4CB9C6-10D4-416F-BC27-5F8F7BC746B4</t>
  </si>
  <si>
    <t>GreyCodeEncoder.fcpx</t>
  </si>
  <si>
    <t>05ACF53C-0B2E-4D26-8D5D-F112D4CE4C68</t>
  </si>
  <si>
    <t>GroveIRTemp.fcpx</t>
  </si>
  <si>
    <t>Accel / Gyro 6-Axis (Grove 105020012)</t>
  </si>
  <si>
    <t>940AD7E9-ABAB-434F-A5E3-FF50E2FDF962</t>
  </si>
  <si>
    <t>Grove_Accelerometer_Gyroscope.fcpx</t>
  </si>
  <si>
    <t>Barometer (Grove 101020192)</t>
  </si>
  <si>
    <t>B52758BF-4466-48C0-8054-33EE4B11E82B</t>
  </si>
  <si>
    <t>Grove_Barometer_Sensor_BMP280.fcpx</t>
  </si>
  <si>
    <t>Chainable RGB LED v2.0 (Grove 104020048)</t>
  </si>
  <si>
    <t>BBFC7C9F-FA05-4257-849D-8601FF7DC1DE</t>
  </si>
  <si>
    <t>Grove_Chainable_RGB_LED.fcpx</t>
  </si>
  <si>
    <t>Temp / Humidity (Grove 101020019)</t>
  </si>
  <si>
    <t>0689100F-8B13-45A6-98A2-B9833B02EED5</t>
  </si>
  <si>
    <t>Grove_DHT22.fcpx</t>
  </si>
  <si>
    <t>Heelight Sensor (Grove 101020312)</t>
  </si>
  <si>
    <t>0A5D4625-78E6-4BF3-A802-925C655EF718</t>
  </si>
  <si>
    <t>Grove_Heelight_Sensor.fcpx</t>
  </si>
  <si>
    <t>Temp / Humidity (Grove 101020212)</t>
  </si>
  <si>
    <t>ECA89720-1386-4589-AB75-6C0425162B91</t>
  </si>
  <si>
    <t>Grove_Humidity_SHT31.fcpx</t>
  </si>
  <si>
    <t>Colour Sensor (Grove 101020341)</t>
  </si>
  <si>
    <t>A1EA988C-88C9-4F96-AC26-1684E918A3DE</t>
  </si>
  <si>
    <t>Grove_I2C_Color_Sensor.fcpx</t>
  </si>
  <si>
    <t>Infrared Reflective Sensor (Grove 101020174)</t>
  </si>
  <si>
    <t>F3B8EED1-FEF6-4C1B-B62D-8EFC84B1BE35</t>
  </si>
  <si>
    <t>Grove_Infrared_Reflective_Sensor.fcpx</t>
  </si>
  <si>
    <t>LED Bar v2.0 (Grove 104020006)</t>
  </si>
  <si>
    <t>6664B695-2A8F-4247-AE55-110B38270877</t>
  </si>
  <si>
    <t>Grove_LED_Bar.fcpx</t>
  </si>
  <si>
    <t>Light Sensor (Grove 101020132)</t>
  </si>
  <si>
    <t>9C5B7454-E67D-4111-B220-BF8E5FF8B174</t>
  </si>
  <si>
    <t>Grove_Light_Sensor.fcpx</t>
  </si>
  <si>
    <t>PIR Motion (Grove 101020020)</t>
  </si>
  <si>
    <t>CCBD6829-44C8-4011-954B-C39DD93ADBED</t>
  </si>
  <si>
    <t>Grove_PIR_Motion_Sensor.fcpx</t>
  </si>
  <si>
    <t>Relay (Grove 103020005)</t>
  </si>
  <si>
    <t>2F95990B-1DC6-4CB4-A6B1-E000A487B702</t>
  </si>
  <si>
    <t>Grove_Relay.fcpx</t>
  </si>
  <si>
    <t>Rotary Angle Sensor (Grove 101020017)</t>
  </si>
  <si>
    <t>27104EB6-255F-486E-AD25-B8512B2CC2D4</t>
  </si>
  <si>
    <t>Grove_Rotary_Angle_Sensor.fcpx</t>
  </si>
  <si>
    <t>Sound Sensor (Grove 101020023)</t>
  </si>
  <si>
    <t>3BB0EBA4-8AE3-442B-8653-507D1BDE8BE0</t>
  </si>
  <si>
    <t>Grove_Sound_Sensor.fcpx</t>
  </si>
  <si>
    <t>Temperature Sensor (Grove 101020015)</t>
  </si>
  <si>
    <t>DE8DCAB3-C23B-48B4-A88E-3EB8B584109F</t>
  </si>
  <si>
    <t>Grove_Temperature_Sensor.fcpx</t>
  </si>
  <si>
    <t>Ultrasonic Ranger (Grove 101020010)</t>
  </si>
  <si>
    <t>06C52475-F44F-41F3-AAE7-9DDEEE44FC06</t>
  </si>
  <si>
    <t>Grove_Ultrasonic_Ranger.fcpx</t>
  </si>
  <si>
    <t>Water Sensor (Grove 101020018)</t>
  </si>
  <si>
    <t>4B57CCB5-9E55-4D0E-8961-43F6FCAEC2D7</t>
  </si>
  <si>
    <t>Grove_Water_Sensor.fcpx</t>
  </si>
  <si>
    <t>Gyroscope 3-Axis SPI (L3GD20)</t>
  </si>
  <si>
    <t>593B7216-0A11-465C-9CF5-3B809503A72C</t>
  </si>
  <si>
    <t>Gyro_L3GD20.fcpx</t>
  </si>
  <si>
    <t>4C2256C0-4453-4369-8C36-09770D223A09</t>
  </si>
  <si>
    <t>HMC5883_Magnetometer.fcpx</t>
  </si>
  <si>
    <t>66E6F00D-D894-49DE-A768-02997EAF45E1</t>
  </si>
  <si>
    <t>HTS221.fcpx</t>
  </si>
  <si>
    <t>E8EC17BD-A898-44D2-83AF-968C96826948</t>
  </si>
  <si>
    <t>HX711.fcpx</t>
  </si>
  <si>
    <t>Hall Effect Analog</t>
  </si>
  <si>
    <t>C14492DA-A844-40E6-AE29-50E58864B237</t>
  </si>
  <si>
    <t>Hall_Analog.fcpx</t>
  </si>
  <si>
    <t>Hall Effect Digital</t>
  </si>
  <si>
    <t>655234DB-5700-4206-934F-56E499EDBFF9</t>
  </si>
  <si>
    <t>Hall_Digital.fcpx</t>
  </si>
  <si>
    <t>Hopper</t>
  </si>
  <si>
    <t>CC493328-7354-44DE-B2F1-B70AFAC30DFF</t>
  </si>
  <si>
    <t>Hopper.fcpx</t>
  </si>
  <si>
    <t>75D7DA2A-C682-4622-AC86-B6EB9ED7A88E</t>
  </si>
  <si>
    <t>Humidity_SHT21.fcpx</t>
  </si>
  <si>
    <t>4475D8E8-4F60-48BE-8A27-E91D85FBABAE</t>
  </si>
  <si>
    <t>Humidity_SHT31.fcpx</t>
  </si>
  <si>
    <t>I2C Master</t>
  </si>
  <si>
    <t>24219805-113D-4B12-B6BD-E1B0B0C33981</t>
  </si>
  <si>
    <t>I2C_Master.fcpx</t>
  </si>
  <si>
    <t>I2C Slave</t>
  </si>
  <si>
    <t>EAC43FDA-0BC5-4B08-881C-6D3E364F2EFF</t>
  </si>
  <si>
    <t>I2C_Slave.fcpx</t>
  </si>
  <si>
    <t>I2S Master/Slave ESP32</t>
  </si>
  <si>
    <t>081AF1A1-DA0B-426D-9CA6-58D8313D1499</t>
  </si>
  <si>
    <t>I2S.fcpx</t>
  </si>
  <si>
    <t>Image</t>
  </si>
  <si>
    <t>4BC379D2-B6CA-4612-8557-79686BFA81BD</t>
  </si>
  <si>
    <t>Image.fcpx</t>
  </si>
  <si>
    <t>B50D5C0A-2340-4F67-B276-7BC0235DE8A3</t>
  </si>
  <si>
    <t>ImageSwitch.fcpx</t>
  </si>
  <si>
    <t>Injector (AT)</t>
  </si>
  <si>
    <t>5A237757-52E5-414B-B6E4-79C7B784C3BA</t>
  </si>
  <si>
    <t>InjectorAT.fcpx</t>
  </si>
  <si>
    <t>Data Injector Template</t>
  </si>
  <si>
    <t>CC936C18-5D20-42C4-B940-D3C7EA7CA802</t>
  </si>
  <si>
    <t>InjectorBase.fcpx</t>
  </si>
  <si>
    <t>Injector (CAN)</t>
  </si>
  <si>
    <t>299CB595-3E6F-4022-A728-B9DF1434262C</t>
  </si>
  <si>
    <t>InjectorCAN.fcpx</t>
  </si>
  <si>
    <t>Injector (COM)</t>
  </si>
  <si>
    <t>002BE1AC-EFFF-4C07-95DE-1EAB087CB25E</t>
  </si>
  <si>
    <t>InjectorCOM.fcpx</t>
  </si>
  <si>
    <t>Injector (DS1307 RTC)</t>
  </si>
  <si>
    <t>8D670813-9A40-4891-ACCC-C1BF864B8217</t>
  </si>
  <si>
    <t>InjectorDS1307.fcpx</t>
  </si>
  <si>
    <t>Injector (File)</t>
  </si>
  <si>
    <t>50738AF3-82A5-4074-A9B8-9F8F80BE2B87</t>
  </si>
  <si>
    <t>InjectorFile.fcpx</t>
  </si>
  <si>
    <t>Injector (GPS NMEA)</t>
  </si>
  <si>
    <t>C6D16A4D-A800-4636-98C5-70F7BDE65654</t>
  </si>
  <si>
    <t>InjectorGPS.fcpx</t>
  </si>
  <si>
    <t>Injector (Human Interface)</t>
  </si>
  <si>
    <t>2ED54982-EF92-4509-A67C-7B3A72F91279</t>
  </si>
  <si>
    <t>InjectorHumanInterface.fcpx</t>
  </si>
  <si>
    <t>Injector (Loopback)</t>
  </si>
  <si>
    <t>31D48D3E-01E3-4546-96E5-2E935F963166</t>
  </si>
  <si>
    <t>InjectorLoopback.fcpx</t>
  </si>
  <si>
    <t>Injector (API Analog Input)</t>
  </si>
  <si>
    <t>927D2882-AB2F-43E9-8690-D1D6891001EE</t>
  </si>
  <si>
    <t>InjectorSCADAAnInput.fcpx</t>
  </si>
  <si>
    <t>Injector (API Digital Input)</t>
  </si>
  <si>
    <t>DBC62603-09E5-4A5E-8DF3-22B921D9E9E9</t>
  </si>
  <si>
    <t>InjectorSCADADigInput.fcpx</t>
  </si>
  <si>
    <t>Injector (API Digital Output)</t>
  </si>
  <si>
    <t>916E4F8C-EA50-4D16-BCBB-60492D600217</t>
  </si>
  <si>
    <t>InjectorSCADADigOut.fcpx</t>
  </si>
  <si>
    <t>Data Transfer (API I2C)</t>
  </si>
  <si>
    <t>E9F80EE2-3377-4C1F-856B-EB42DA1EFF02</t>
  </si>
  <si>
    <t>InjectorSCADAI2C.fcpx</t>
  </si>
  <si>
    <t>Data Transfer (API SPI)</t>
  </si>
  <si>
    <t>08D6AAD0-FFE7-4C11-AF82-0FAA2CB6ABCF</t>
  </si>
  <si>
    <t>InjectorSCADASPI.fcpx</t>
  </si>
  <si>
    <t>Data Transfer (API UART)</t>
  </si>
  <si>
    <t>1B5ACB6C-D16D-483B-9868-CF406165AC55</t>
  </si>
  <si>
    <t>InjectorSCADAUART.fcpx</t>
  </si>
  <si>
    <t>Injector (Flowcode vNet)</t>
  </si>
  <si>
    <t>B81AB4D7-BE8F-4DDD-B5DC-937BDA03DC82</t>
  </si>
  <si>
    <t>InjectorVnet.fcpx</t>
  </si>
  <si>
    <t>Input Message Box</t>
  </si>
  <si>
    <t>6ED9452D-1AE7-4F70-991C-6D8085A2D923</t>
  </si>
  <si>
    <t>InputMessageBox.fcpx</t>
  </si>
  <si>
    <t>IntOsc Helper</t>
  </si>
  <si>
    <t>3E5CC6D0-3E36-46B8-BC40-F238A5735B6E</t>
  </si>
  <si>
    <t>IntOscHelper.fcpx</t>
  </si>
  <si>
    <t>IoT Made Easy</t>
  </si>
  <si>
    <t>2740A93B-32A9-48D1-8FC3-089D13B50BB5</t>
  </si>
  <si>
    <t>IoTMadeEasy.fcpx</t>
  </si>
  <si>
    <t>IrDA (EB012 MCP1250 MCP2120)</t>
  </si>
  <si>
    <t>2BFC8781-9817-4E0C-89F3-28DAC37E9A62</t>
  </si>
  <si>
    <t>IrDA.fcpx</t>
  </si>
  <si>
    <t>Is Sim</t>
  </si>
  <si>
    <t>5F7B77E5-E979-4010-93F1-E6D98F83BD71</t>
  </si>
  <si>
    <t>IsSim.fcpx</t>
  </si>
  <si>
    <t>Joystick</t>
  </si>
  <si>
    <t>29E63C23-636F-4F9A-B691-BA1A717E3503</t>
  </si>
  <si>
    <t>Joystick.fcpx</t>
  </si>
  <si>
    <t>Joystick (Sparkfun Quiic)</t>
  </si>
  <si>
    <t>74571CDC-4F94-4E9A-B56B-376F36424996</t>
  </si>
  <si>
    <t>Joystick_Quiic.fcpx</t>
  </si>
  <si>
    <t>K8055D</t>
  </si>
  <si>
    <t>563F8662-1205-4508-9E07-0B54471683F3</t>
  </si>
  <si>
    <t>K8055D.fcpx</t>
  </si>
  <si>
    <t>Keyboard</t>
  </si>
  <si>
    <t>EB9025A7-ACEC-455C-9033-BD4DD2586E05</t>
  </si>
  <si>
    <t>KeyboardMonitor.fcpx</t>
  </si>
  <si>
    <t>B904B771-A7BC-47EC-A1EA-9D4C77AFCCF2</t>
  </si>
  <si>
    <t>Keypad_BL0138.fcpx</t>
  </si>
  <si>
    <t>447DABF8-4E39-46A5-A3D6-A02341BEF0F0</t>
  </si>
  <si>
    <t>L3G4200D_Gyroscope.fcpx</t>
  </si>
  <si>
    <t>Gyroscope 3-Axis I2C (L3GD20)</t>
  </si>
  <si>
    <t>8E4553F8-FCE7-4FED-80C1-33DE9590A678</t>
  </si>
  <si>
    <t>L3GD20_Gyroscope.fcpx</t>
  </si>
  <si>
    <t>EA261653-86E2-4C37-94F6-4151B318C6F5</t>
  </si>
  <si>
    <t>LAMBDA_LoRa.fcpx</t>
  </si>
  <si>
    <t>LCD (Generic)</t>
  </si>
  <si>
    <t>0953AAC0-9C23-4C2F-9843-88954A4191EA</t>
  </si>
  <si>
    <t>LCD.fcpx</t>
  </si>
  <si>
    <t>LCD (Adafruit 16x2)</t>
  </si>
  <si>
    <t>672CB410-6026-403B-AFF7-0628FE9E8140</t>
  </si>
  <si>
    <t>LCDAdafruitOLED.fcpx</t>
  </si>
  <si>
    <t>LCD (Adafruit 20x4)</t>
  </si>
  <si>
    <t>913991DF-9BCB-475A-AE49-D9EB611B0D71</t>
  </si>
  <si>
    <t>LCDAdafruitOLED4x20.fcpx</t>
  </si>
  <si>
    <t>LCD I2C (LCM1602)</t>
  </si>
  <si>
    <t>3CF64267-8C56-47B0-84A1-A933A77716BC</t>
  </si>
  <si>
    <t>LCDI2C.fcpx</t>
  </si>
  <si>
    <t>LCD SPI (MiniClick)</t>
  </si>
  <si>
    <t>C198E346-6B0F-4309-973C-78D7207E0B96</t>
  </si>
  <si>
    <t>LCDMiniClick.fcpx</t>
  </si>
  <si>
    <t>EE697D50-7FB5-4074-8CD6-996E5C386722</t>
  </si>
  <si>
    <t>LCD_BL0169.fcpx</t>
  </si>
  <si>
    <t>LED Cube</t>
  </si>
  <si>
    <t>B4F41FB0-9335-4A8F-A41D-284A8CFC31B5</t>
  </si>
  <si>
    <t>LEDCube.fcpx</t>
  </si>
  <si>
    <t>EF9CB184-0167-4D3E-A63B-6E0FAAD72391</t>
  </si>
  <si>
    <t>LEDMatrixHT16K33.fcpx</t>
  </si>
  <si>
    <t>LED Matrix (Parallel)</t>
  </si>
  <si>
    <t>24BEF796-E0E3-4195-A76D-920FDBA5EA79</t>
  </si>
  <si>
    <t>LEDMatrixParrallel.fcpx</t>
  </si>
  <si>
    <t>LED Matrix (Serial)</t>
  </si>
  <si>
    <t>5A88C882-0396-44F3-A67B-F236244800D1</t>
  </si>
  <si>
    <t>LEDMatrixSerial.fcpx</t>
  </si>
  <si>
    <t>Simulation 7 Seg</t>
  </si>
  <si>
    <t>66DC78FD-B0C7-42F8-AAEA-CCBB291001FB</t>
  </si>
  <si>
    <t>LED_7Seg_Sim.fcpx</t>
  </si>
  <si>
    <t>RGB LED APA102C</t>
  </si>
  <si>
    <t>0161E243-0CA0-497D-88BE-76351CF4DFA1</t>
  </si>
  <si>
    <t>LED_APA102C.fcpx</t>
  </si>
  <si>
    <t>LED</t>
  </si>
  <si>
    <t>103AAB27-2EA3-483C-9710-FC3C495288A7</t>
  </si>
  <si>
    <t>LED_BL0167.fcpx</t>
  </si>
  <si>
    <t>RGB LED SK6812 RGBW</t>
  </si>
  <si>
    <t>284BF38B-0FE1-4A0B-AE43-E1784445821B</t>
  </si>
  <si>
    <t>LED_SK6812RGBW.fcpx</t>
  </si>
  <si>
    <t xml:space="preserve">RMT </t>
  </si>
  <si>
    <t>Starburst Display</t>
  </si>
  <si>
    <t>5015C7E1-2166-4F1A-B9B1-9BD181784CEA</t>
  </si>
  <si>
    <t>LED_Starburst.fcpx</t>
  </si>
  <si>
    <t>RGB LED WS2801</t>
  </si>
  <si>
    <t>D814CB36-0D04-4EEB-B5B3-DA8276AD8BDF</t>
  </si>
  <si>
    <t>LED_WS2801.fcpx</t>
  </si>
  <si>
    <t>RGB LED WS2811 / WS2812 / APA106</t>
  </si>
  <si>
    <t>D977C3EF-C7DC-4683-A1BE-76E17E6BA12B</t>
  </si>
  <si>
    <t>LED_WS2811.fcpx</t>
  </si>
  <si>
    <t>BBF0AB46-623E-44C6-9402-3ACFCD9D0006</t>
  </si>
  <si>
    <t>LM75B_DigitalTemperature.fcpx</t>
  </si>
  <si>
    <t>D61DD6A6-231E-4244-9E8D-4F15E7EA10D5</t>
  </si>
  <si>
    <t>LSM303DLHC.fcpx</t>
  </si>
  <si>
    <t>DB2C91D9-4FD5-42B8-98F4-76DFB160DECE</t>
  </si>
  <si>
    <t>LSM303D_Magnetometer.fcpx</t>
  </si>
  <si>
    <t>20699A0C-0925-40C4-8AA1-35F294E225E6</t>
  </si>
  <si>
    <t>LSM9DS1_AccelGyroMagnet.fcpx</t>
  </si>
  <si>
    <t>Airplane Landing Gear</t>
  </si>
  <si>
    <t>A05022FD-6FA1-499D-B885-A7D983E7BFDF</t>
  </si>
  <si>
    <t>LandingGear.fcpx</t>
  </si>
  <si>
    <t>Library Component</t>
  </si>
  <si>
    <t>58BE670E-18FB-477E-AB09-61FDE14B23EC</t>
  </si>
  <si>
    <t>LibraryComponent.fcpx</t>
  </si>
  <si>
    <t>Line Chart</t>
  </si>
  <si>
    <t>3A68EBF7-1225-4B29-87DA-A734C0720591</t>
  </si>
  <si>
    <t>LineChart.fcpx</t>
  </si>
  <si>
    <t>Linear Actuator</t>
  </si>
  <si>
    <t>15921536-CF92-4CD3-88E4-207C251AB775</t>
  </si>
  <si>
    <t>LinearActuator.fcpx</t>
  </si>
  <si>
    <t>LinearGauge</t>
  </si>
  <si>
    <t>05E09581-B11D-46AE-B32D-C6414A6A922D</t>
  </si>
  <si>
    <t>LinearGauge.fcpx</t>
  </si>
  <si>
    <t>LinearSlider</t>
  </si>
  <si>
    <t>B6909B43-7BFB-433F-8FDB-3B7D457EA73D</t>
  </si>
  <si>
    <t>LinearSlider.fcpx</t>
  </si>
  <si>
    <t>Logo Indicator</t>
  </si>
  <si>
    <t>9F9FFA92-A20D-4BA8-94E1-04E45BDEA154</t>
  </si>
  <si>
    <t>LogoIndicator.fcpx</t>
  </si>
  <si>
    <t>97E631C7-51D9-4482-9B65-481B390A686D</t>
  </si>
  <si>
    <t>MAX31855_Thermocouple.fcpx</t>
  </si>
  <si>
    <t>76BB1B8C-43DA-48D3-B53F-A9907F03A528</t>
  </si>
  <si>
    <t>MCP23017.fcpx</t>
  </si>
  <si>
    <t>331DAAC0-653D-4F45-9822-6408A8258BDA</t>
  </si>
  <si>
    <t>MCP23S17.fcpx</t>
  </si>
  <si>
    <t>E565AB5D-BF80-4911-938A-75B226CA6F93</t>
  </si>
  <si>
    <t>MCP23S17_BL0155.fcpx</t>
  </si>
  <si>
    <t>Digital Potentiometer (MCP41XX / MCP42XX)</t>
  </si>
  <si>
    <t>37025734-A84D-46AD-9078-925BEB81F38B</t>
  </si>
  <si>
    <t>MCP41XX.fcpx</t>
  </si>
  <si>
    <t>Digital Potentiometer (MCP44XX)</t>
  </si>
  <si>
    <t>3A3A0802-42B6-4C31-8983-4D043B70B443</t>
  </si>
  <si>
    <t>MCP44XX.fcpx</t>
  </si>
  <si>
    <t>Digital Potentiometer (MCP45XX / MCP46XX)</t>
  </si>
  <si>
    <t>A69BF9B3-272E-44B3-A47D-22F53C3C0804</t>
  </si>
  <si>
    <t>MCP45XX.fcpx</t>
  </si>
  <si>
    <t>60DE8264-7FAF-4F77-904E-69BB19909BA8</t>
  </si>
  <si>
    <t>MCP960X_Thermocouple.fcpx</t>
  </si>
  <si>
    <t>MIAC USB Slave API (PIC)</t>
  </si>
  <si>
    <t>EABEDA20-432C-4554-80B3-5851D675A9E7</t>
  </si>
  <si>
    <t>MIACSlave.fcpx</t>
  </si>
  <si>
    <t xml:space="preserve">USB </t>
  </si>
  <si>
    <t>MIAC AllCode API (dsPIC)</t>
  </si>
  <si>
    <t>482486A9-7207-4B46-9E63-5C459534AB19</t>
  </si>
  <si>
    <t>MIAC_AllCode.fcpx</t>
  </si>
  <si>
    <t>75A362F4-D74D-48E7-9790-530F4D0E78B6</t>
  </si>
  <si>
    <t>MPU6050.fcpx</t>
  </si>
  <si>
    <t>D950CF7C-F9FC-49BA-A486-0D45B6AFD1AA</t>
  </si>
  <si>
    <t>MPU6886.fcpx</t>
  </si>
  <si>
    <t>5D2C6406-E3AA-46BD-8144-57F60194A1E9</t>
  </si>
  <si>
    <t>MPU9250_AccelGyroMagnet.fcpx</t>
  </si>
  <si>
    <t>MQTT Client</t>
  </si>
  <si>
    <t>459C9CFB-82E3-40AD-9456-54FC40BA5E6C</t>
  </si>
  <si>
    <t>MQTT_Client.fcpx</t>
  </si>
  <si>
    <t>43861ADB-8A59-492D-8F9F-A08775800BC1</t>
  </si>
  <si>
    <t>MULTIUART.fcpx</t>
  </si>
  <si>
    <t xml:space="preserve"> Map Function</t>
  </si>
  <si>
    <t>CCDCE31D-A1A3-437A-88BA-5431745DDF6E</t>
  </si>
  <si>
    <t>MapFunction.fcpx</t>
  </si>
  <si>
    <t>Robot Arm AllCode API</t>
  </si>
  <si>
    <t>83C10DBF-A8D2-42D0-8BE5-60ADBE2D49B1</t>
  </si>
  <si>
    <t>MatrixRobotArm.fcpx</t>
  </si>
  <si>
    <t>FC012D2F-082A-4F6F-A61B-314C46477EB2</t>
  </si>
  <si>
    <t>MazeGenerator.fcpx</t>
  </si>
  <si>
    <t>Median 16-bit</t>
  </si>
  <si>
    <t>B3061D15-325B-4A8F-863A-A059FAB79CAF</t>
  </si>
  <si>
    <t>Median.fcpx</t>
  </si>
  <si>
    <t>Median 32-bit</t>
  </si>
  <si>
    <t>F2E05E6D-1864-465B-8D1D-0FC9238A7535</t>
  </si>
  <si>
    <t>Median32bit.fcpx</t>
  </si>
  <si>
    <t>Median Float</t>
  </si>
  <si>
    <t>C211FC8F-6F17-461F-A44B-01DBC2368FBE</t>
  </si>
  <si>
    <t>MedianFloat.fcpx</t>
  </si>
  <si>
    <t>Microchip 44 Pin PCB</t>
  </si>
  <si>
    <t>4239FDE7-4F14-4A0E-B4D5-2B7886AA5E14</t>
  </si>
  <si>
    <t>Microchip44PinPCB.fcpx</t>
  </si>
  <si>
    <t>Microchip Low Pin PCB</t>
  </si>
  <si>
    <t>F222B30D-9DA1-4487-9032-5F05B6FB85FC</t>
  </si>
  <si>
    <t>MicrochipLowPinPCB.fcpx</t>
  </si>
  <si>
    <t>Modbus Master</t>
  </si>
  <si>
    <t>47F6B39B-EAD7-40F5-9931-8A79AA54014A</t>
  </si>
  <si>
    <t>Modbus.fcpx</t>
  </si>
  <si>
    <t>Modbus Master (SCADA)</t>
  </si>
  <si>
    <t>97647329-1E06-46DC-BA11-9D721038294D</t>
  </si>
  <si>
    <t>ModbusMasterSCADA.fcpx</t>
  </si>
  <si>
    <t>Modbus TCP Master</t>
  </si>
  <si>
    <t>019E3DBB-2BFA-44A7-BAF0-17B672D9B8F4</t>
  </si>
  <si>
    <t>ModbusMasterTCP.fcpx</t>
  </si>
  <si>
    <t>Modbus Slave</t>
  </si>
  <si>
    <t>687F8AD4-59F2-4079-BB84-7713DCB57A13</t>
  </si>
  <si>
    <t>ModbusSlave.fcpx</t>
  </si>
  <si>
    <t>Modbus Slave (SCADA)</t>
  </si>
  <si>
    <t>A93B1F52-B96D-4A14-806E-63F73D2654B2</t>
  </si>
  <si>
    <t>ModbusSlaveSCADA.fcpx</t>
  </si>
  <si>
    <t>Modbus Slave USB</t>
  </si>
  <si>
    <t>2BFF9939-F404-4915-8A51-59DB53E5470E</t>
  </si>
  <si>
    <t>ModbusSlaveUSB.fcpx</t>
  </si>
  <si>
    <t>Modbus TCP Slave</t>
  </si>
  <si>
    <t>1ECB9B0A-53E7-45C9-AB6F-7A0D4A0C47E1</t>
  </si>
  <si>
    <t>ModbusTCPSlave.fcpx</t>
  </si>
  <si>
    <t>Mouse</t>
  </si>
  <si>
    <t>82A800D4-8620-4386-8BA3-25AF2768F24E</t>
  </si>
  <si>
    <t>Mouse.fcpx</t>
  </si>
  <si>
    <t>Network Communications</t>
  </si>
  <si>
    <t>91049BF5-2436-42DC-947A-C30C86463D98</t>
  </si>
  <si>
    <t>NetworkComms.fcpx</t>
  </si>
  <si>
    <t>Nextion Display</t>
  </si>
  <si>
    <t>756045FB-388B-4DBB-8F10-5136DE8BFACB</t>
  </si>
  <si>
    <t>Nextion.fcpx</t>
  </si>
  <si>
    <t>Numeric Display</t>
  </si>
  <si>
    <t>64F3C8AD-21A4-4E15-B9AA-C32A2EDCA893</t>
  </si>
  <si>
    <t>Num7Seg.fcpx</t>
  </si>
  <si>
    <t>Numeric Label</t>
  </si>
  <si>
    <t>0D82E327-2114-430E-812E-9F5B3FE99EF7</t>
  </si>
  <si>
    <t>NumLabel.fcpx</t>
  </si>
  <si>
    <t>Number Pad</t>
  </si>
  <si>
    <t>53A15E07-4DCD-4DD6-96A9-D96164D63574</t>
  </si>
  <si>
    <t>NumberPad.fcpx</t>
  </si>
  <si>
    <t>Numeric Indicator</t>
  </si>
  <si>
    <t>F959D1C6-E0BE-415B-ABD6-DA5B386638F3</t>
  </si>
  <si>
    <t>NumericIndicator.fcpx</t>
  </si>
  <si>
    <t>On / Off Indicator</t>
  </si>
  <si>
    <t>4B055FCF-06DD-471B-8736-D2A089E0DBE5</t>
  </si>
  <si>
    <t>OnOffIndicator.fcpx</t>
  </si>
  <si>
    <t>One Wire</t>
  </si>
  <si>
    <t>64B26B13-68CF-4A92-8616-E882B7C71023</t>
  </si>
  <si>
    <t>One_Wire.fcpx</t>
  </si>
  <si>
    <t>PWM 16CH 12Bit (PCA9685)</t>
  </si>
  <si>
    <t>5BD41BE2-1B9C-4F30-BA78-84CB29D61CED</t>
  </si>
  <si>
    <t>PCA9685_PWM.fcpx</t>
  </si>
  <si>
    <t>D43A1C1F-8AD6-4271-9F62-20E1BDF529F0</t>
  </si>
  <si>
    <t>PCF8574.fcpx</t>
  </si>
  <si>
    <t>4616B658-531F-4C5E-981A-4D9FC04F9A36</t>
  </si>
  <si>
    <t>PCF8575.fcpx</t>
  </si>
  <si>
    <t>ADC QUAD + DAC (PCF8591)</t>
  </si>
  <si>
    <t>E65E5368-AF24-44A9-897E-CB0422FCEA27</t>
  </si>
  <si>
    <t>PCF8591.fcpx</t>
  </si>
  <si>
    <t>PIC32 Core Timer</t>
  </si>
  <si>
    <t>EC64C307-3099-485B-BD55-052A5DA95128</t>
  </si>
  <si>
    <t>PIC32CoreTimer.fcpx</t>
  </si>
  <si>
    <t>66309A73-20DA-4F2F-BB92-C4749CFAD84C</t>
  </si>
  <si>
    <t>PS2000.fcpx</t>
  </si>
  <si>
    <t>PWM (Internal)</t>
  </si>
  <si>
    <t>444FB704-814C-4707-A15C-759BA088505C</t>
  </si>
  <si>
    <t>PWM.fcpx</t>
  </si>
  <si>
    <t>Pedestrian Crossing</t>
  </si>
  <si>
    <t>C46023C5-27E5-4122-BF3E-4519F23CFA0C</t>
  </si>
  <si>
    <t>PedestrianCrossing.fcpx</t>
  </si>
  <si>
    <t>Photo Reflector</t>
  </si>
  <si>
    <t>20A48DB1-D91D-4C51-A49F-F878D0BCBAD3</t>
  </si>
  <si>
    <t>PhotoReflector.fcpx</t>
  </si>
  <si>
    <t>Photo Transistor</t>
  </si>
  <si>
    <t>6E5B4F6F-E2D9-4272-A854-749A762F55C1</t>
  </si>
  <si>
    <t>PhotoTransistor.fcpx</t>
  </si>
  <si>
    <t>Pie Chart</t>
  </si>
  <si>
    <t>77E27287-6CA9-44F7-A160-D338D87B68DE</t>
  </si>
  <si>
    <t>PieChart.fcpx</t>
  </si>
  <si>
    <t>Piezo Sounder</t>
  </si>
  <si>
    <t>70EC3AEE-F273-4B0E-8EE6-E2B3A8B693AF</t>
  </si>
  <si>
    <t>PiezoSounder.fcpx</t>
  </si>
  <si>
    <t>Pipe</t>
  </si>
  <si>
    <t>10253706-19B9-4D0C-B3A2-33FABD2C5B82</t>
  </si>
  <si>
    <t>Pipe.fcpx</t>
  </si>
  <si>
    <t>Polar Chart</t>
  </si>
  <si>
    <t>64F4811D-E83F-4E82-BE8A-9E857F6EC6E6</t>
  </si>
  <si>
    <t>PolarChart.fcpx</t>
  </si>
  <si>
    <t>B8C43425-121C-4DFC-8A70-665973E9938B</t>
  </si>
  <si>
    <t>PressureSensor.fcpx</t>
  </si>
  <si>
    <t>A9EB79B0-1D24-4ACF-AADE-D3639AA800C7</t>
  </si>
  <si>
    <t>PressureSensor_BME280.fcpx</t>
  </si>
  <si>
    <t>Property Manager</t>
  </si>
  <si>
    <t>819D0C05-AAA2-4431-84DC-D40F3EEE1B54</t>
  </si>
  <si>
    <t>PropertyManager.fcpx</t>
  </si>
  <si>
    <t>03B98E89-8FEE-466F-87B9-42B3B3E1CB41</t>
  </si>
  <si>
    <t>QMC5883_Magnetometer.fcpx</t>
  </si>
  <si>
    <t>RFID (Sparkfun Quiic / ID-12LA)</t>
  </si>
  <si>
    <t>055A7AB6-78DF-47CA-B967-143485C4D706</t>
  </si>
  <si>
    <t>Quiic_RFID.fcpx</t>
  </si>
  <si>
    <t>Right Angle Pipe</t>
  </si>
  <si>
    <t>311ACBB0-1031-4952-BC15-9524B6B1B074</t>
  </si>
  <si>
    <t>RA_Pipe.fcpx</t>
  </si>
  <si>
    <t>81E90A9F-1594-4B34-8AEF-5DD671DDDC30</t>
  </si>
  <si>
    <t>RC5.fcpx</t>
  </si>
  <si>
    <t>RFID (EB052 RWD-MICODE)</t>
  </si>
  <si>
    <t>74423151-1BF4-48B8-8BA8-A70C170EF2DE</t>
  </si>
  <si>
    <t>RFID.fcpx</t>
  </si>
  <si>
    <t>RFID (BL0197)</t>
  </si>
  <si>
    <t>05B6159B-1572-4C0D-8DDF-705D9741955A</t>
  </si>
  <si>
    <t>RFID_BL0197.fcpx</t>
  </si>
  <si>
    <t>RFID (MFRC522)</t>
  </si>
  <si>
    <t>3F8D29A6-40A6-4D5E-A254-190C86D9EBB7</t>
  </si>
  <si>
    <t>RFID_MFRC522.fcpx</t>
  </si>
  <si>
    <t>RF ISM (EB063 MRF49XA)</t>
  </si>
  <si>
    <t>45BD9065-B6F7-42BE-B96F-28C3DF2C0A22</t>
  </si>
  <si>
    <t>RF_ISM.fcpx</t>
  </si>
  <si>
    <t>RGB LED LP5030 LP5036</t>
  </si>
  <si>
    <t>12A23E2A-0B1E-427E-975A-F0B56D4A9483</t>
  </si>
  <si>
    <t>RGB_LED_LP503x.fcpx</t>
  </si>
  <si>
    <t>UART (RS232)</t>
  </si>
  <si>
    <t>C73616D1-7AD0-45D9-AADA-69CCFA4C5EFC</t>
  </si>
  <si>
    <t>RS232.fcpx</t>
  </si>
  <si>
    <t>Real Time Clock (Internal DS1307 DS3231 DS3232)</t>
  </si>
  <si>
    <t>F0E01201-8951-4748-87C3-D1F8423BB6E4</t>
  </si>
  <si>
    <t>RTC.fcpx</t>
  </si>
  <si>
    <t>Radar Chart</t>
  </si>
  <si>
    <t>B49DA131-FAF9-4BD7-BCDF-323016E64FFD</t>
  </si>
  <si>
    <t>RadarChart.fcpx</t>
  </si>
  <si>
    <t>RadioButton</t>
  </si>
  <si>
    <t>73611F11-F97D-4E6E-88E6-2D59B39C0A4A</t>
  </si>
  <si>
    <t>RadioButton.fcpx</t>
  </si>
  <si>
    <t>Range Time of Flight (VL53L0X)</t>
  </si>
  <si>
    <t>488C3A77-9FF2-4E60-9BFD-CF074405E294</t>
  </si>
  <si>
    <t>RangeTOF_VL53L0X.fcpx</t>
  </si>
  <si>
    <t>Speech (RealSpeak)</t>
  </si>
  <si>
    <t>4AE66A67-562D-4D77-8417-9CD652F4F103</t>
  </si>
  <si>
    <t>RealSpeak.fcpx</t>
  </si>
  <si>
    <t>3D Printer</t>
  </si>
  <si>
    <t>62B6CA37-EB0A-4B5F-B2E1-9A732C4E05CE</t>
  </si>
  <si>
    <t>RepRap_Printer.fcpx</t>
  </si>
  <si>
    <t>Reprap Mendel 3D Printer</t>
  </si>
  <si>
    <t>C474787B-7730-4E4E-9883-24530B676EA3</t>
  </si>
  <si>
    <t>Reprap_Mendel.fcpx</t>
  </si>
  <si>
    <t>76E989D0-A2ED-457F-A293-3025B804F433</t>
  </si>
  <si>
    <t>RobotArmV2.fcpx</t>
  </si>
  <si>
    <t>Rotary Switch</t>
  </si>
  <si>
    <t>9306F758-06AF-49F8-8B09-D10D2B4374DD</t>
  </si>
  <si>
    <t>RotarySwitch.fcpx</t>
  </si>
  <si>
    <t>API (Arduino Mega)</t>
  </si>
  <si>
    <t>C7EDC169-D417-46EC-AD9B-983EE0326E29</t>
  </si>
  <si>
    <t>SCADA_Ard_Mega.fcpx</t>
  </si>
  <si>
    <t>API (Arduino Uno)</t>
  </si>
  <si>
    <t>2B53C2F2-B5D4-4E36-A647-6F9238744A75</t>
  </si>
  <si>
    <t>SCADA_Ard_Uno.fcpx</t>
  </si>
  <si>
    <t>API (BL0032)</t>
  </si>
  <si>
    <t>556754B4-BED5-4BCD-88DD-FB13F92020D6</t>
  </si>
  <si>
    <t>SCADA_BL0032.fcpx</t>
  </si>
  <si>
    <t>API (ECIO28P)</t>
  </si>
  <si>
    <t>C9197106-EDF6-4DCC-9654-EA56AD26F370</t>
  </si>
  <si>
    <t>SCADA_ECIO28P.fcpx</t>
  </si>
  <si>
    <t>API (ECIO40P)</t>
  </si>
  <si>
    <t>40D5F2E2-3FB5-479A-91E1-F8EC3AAE9E3A</t>
  </si>
  <si>
    <t>SCADA_ECIO40P.fcpx</t>
  </si>
  <si>
    <t>API (ESP32)</t>
  </si>
  <si>
    <t>E52B2356-D8B7-458B-8583-71F208BFD572</t>
  </si>
  <si>
    <t>SCADA_ESP32.fcpx</t>
  </si>
  <si>
    <t>Indicator Gauge</t>
  </si>
  <si>
    <t>B0A73B26-A060-4BBC-A94E-D4EE2FD0EDBD</t>
  </si>
  <si>
    <t>SCADA_Guage.fcpx</t>
  </si>
  <si>
    <t>API (Interface Board)</t>
  </si>
  <si>
    <t>ED171D42-05FD-4946-9BF1-E59A9C98C5B8</t>
  </si>
  <si>
    <t>SCADA_InterfaceBoard.fcpx</t>
  </si>
  <si>
    <t>Indicator Meter</t>
  </si>
  <si>
    <t>3705F53B-93CE-4FA7-8947-0B67F098022D</t>
  </si>
  <si>
    <t>SCADA_Meter.fcpx</t>
  </si>
  <si>
    <t>API (RPI)</t>
  </si>
  <si>
    <t>EC492589-4787-4B79-96DF-718F9A2B46F1</t>
  </si>
  <si>
    <t>SCADA_RPI.fcpx</t>
  </si>
  <si>
    <t>Control Knob</t>
  </si>
  <si>
    <t>1F50402B-CC0B-468C-A329-5108C448E263</t>
  </si>
  <si>
    <t>SCADA_knob.fcpx</t>
  </si>
  <si>
    <t>E4F1697E-5571-475A-A2B1-AA7243920422</t>
  </si>
  <si>
    <t>SM324_Mag.fcpx</t>
  </si>
  <si>
    <t>SPI Master</t>
  </si>
  <si>
    <t>4627D2FB-B41E-44CF-B125-E8511E5EBAA4</t>
  </si>
  <si>
    <t>SPI_Legacy.fcpx</t>
  </si>
  <si>
    <t>96862C4D-DEBC-45FA-9433-74711A4B9A3B</t>
  </si>
  <si>
    <t>SPI_Master.fcpx</t>
  </si>
  <si>
    <t>SPI Slave</t>
  </si>
  <si>
    <t>E2955F6C-D724-4AB0-AFCA-D62093A77248</t>
  </si>
  <si>
    <t>SPI_Slave.fcpx</t>
  </si>
  <si>
    <t>SRF (WirelessThings)</t>
  </si>
  <si>
    <t>CD5898BF-3A23-455E-B4E0-CDDC1EEC1D62</t>
  </si>
  <si>
    <t>SRFModuleWirelessThings.fcpx</t>
  </si>
  <si>
    <t>STM32 Timer</t>
  </si>
  <si>
    <t>A871AC1D-7A58-4474-A08B-C9C9017CD2ED</t>
  </si>
  <si>
    <t>STM32Timer.fcpx</t>
  </si>
  <si>
    <t>Scale Arc Template</t>
  </si>
  <si>
    <t>F307403B-2134-4EFA-BFAC-BBD0ADC0F253</t>
  </si>
  <si>
    <t>Scale_Arc.fcpx</t>
  </si>
  <si>
    <t>Sense Hat</t>
  </si>
  <si>
    <t>165242CB-B40C-416E-A435-1FE7E724C5B8</t>
  </si>
  <si>
    <t>SenseHat.fcpx</t>
  </si>
  <si>
    <t>Sensor Library Component</t>
  </si>
  <si>
    <t>960E433C-1295-4AEB-AC84-04D75422119E</t>
  </si>
  <si>
    <t>SensorLibraryComponent.fcpx</t>
  </si>
  <si>
    <t>Serial Monitor</t>
  </si>
  <si>
    <t>B86179CB-B561-4BE4-9D12-E51DA4248807</t>
  </si>
  <si>
    <t>SerialMonitor.fcpx</t>
  </si>
  <si>
    <t>BC8AE960-3887-4D08-AC7C-1EEDB8E5F6C8</t>
  </si>
  <si>
    <t>ServoMotor_BL0162.fcpx</t>
  </si>
  <si>
    <t>Servo Motor Controller</t>
  </si>
  <si>
    <t>9202A62E-0A42-4780-ADCE-16B701E5EC53</t>
  </si>
  <si>
    <t>Servo_Controller.fcpx</t>
  </si>
  <si>
    <t>BDDC472F-59DC-4705-997E-662768D643CD</t>
  </si>
  <si>
    <t>SevenSeg_74HC595.fcpx</t>
  </si>
  <si>
    <t>Shape</t>
  </si>
  <si>
    <t>406F69D1-6F0E-4C9A-974F-AA0D178FEB3A</t>
  </si>
  <si>
    <t>Shape.fcpx</t>
  </si>
  <si>
    <t>Sheep Pen</t>
  </si>
  <si>
    <t>FDDF4A52-13CF-4A42-B4C5-D525E824A55A</t>
  </si>
  <si>
    <t>SheepPen.fcpx</t>
  </si>
  <si>
    <t>Simulation LED (5mm PCB)</t>
  </si>
  <si>
    <t>CA4F7F42-4697-4D24-95B8-9CC3A9EBDD83</t>
  </si>
  <si>
    <t>Sim5mmLED.fcpx</t>
  </si>
  <si>
    <t>Wood Gate</t>
  </si>
  <si>
    <t>315B8FF5-E86E-4B4A-B823-5D8574101738</t>
  </si>
  <si>
    <t>SimpleGate.fcpx</t>
  </si>
  <si>
    <t>Speech (Phoneme)</t>
  </si>
  <si>
    <t>01FD689C-985C-4B10-BC98-99DE5F9B41A8</t>
  </si>
  <si>
    <t>Speech.fcpx</t>
  </si>
  <si>
    <t>Static Text</t>
  </si>
  <si>
    <t>C31ACC1A-F3A2-4FE2-B57C-F654379DD832</t>
  </si>
  <si>
    <t>StaticText.fcpx</t>
  </si>
  <si>
    <t>String Initialiser</t>
  </si>
  <si>
    <t>A8ABDC98-224C-4C8A-8311-2921CB3DBE46</t>
  </si>
  <si>
    <t>StringInit.fcpx</t>
  </si>
  <si>
    <t>String Label</t>
  </si>
  <si>
    <t>9D05CFE0-9394-4B7F-83FA-7B001E12C5D3</t>
  </si>
  <si>
    <t>StringLabel.fcpx</t>
  </si>
  <si>
    <t>String Translator</t>
  </si>
  <si>
    <t>306B3759-A92F-4779-B15F-93A9E35A75BF</t>
  </si>
  <si>
    <t>StringTranslator.fcpx</t>
  </si>
  <si>
    <t>Switch</t>
  </si>
  <si>
    <t>4B8AE722-573A-473D-8455-A2E6EDAD1F36</t>
  </si>
  <si>
    <t>Switch_2d.fcpx</t>
  </si>
  <si>
    <t>B3A7287A-4070-49D1-9122-BF6169F67CD1</t>
  </si>
  <si>
    <t>Switch_BL0145.fcpx</t>
  </si>
  <si>
    <t>TCP/IP</t>
  </si>
  <si>
    <t>8AAB4B54-A912-449C-B11A-7C1A5DB8D591</t>
  </si>
  <si>
    <t>TCPIP_ENC28J60.fcpx</t>
  </si>
  <si>
    <t>TCP Template</t>
  </si>
  <si>
    <t>54369D81-80ED-4D59-97BF-91F4B2CDF24C</t>
  </si>
  <si>
    <t>TCP_Base.fcpx</t>
  </si>
  <si>
    <t>A1820DE1-8CFE-4675-B185-A62CE44E2A6F</t>
  </si>
  <si>
    <t>TCP_IP_EB023_00_1.fcpx</t>
  </si>
  <si>
    <t>BB483909-20DF-4E51-AC45-092AB4ADF36A</t>
  </si>
  <si>
    <t>TCP_IP_EB023_00_1_EB.fcpx</t>
  </si>
  <si>
    <t>D6DB973B-A543-4743-91B5-176F9C6613DF</t>
  </si>
  <si>
    <t>TCP_IP_EB023_00_2.fcpx</t>
  </si>
  <si>
    <t>35D02098-C871-49C0-B34D-A3F86D764886</t>
  </si>
  <si>
    <t>TCP_IP_EB023_00_2_EB.fcpx</t>
  </si>
  <si>
    <t>0341D84F-F7FD-473C-8076-B38B2D563E13</t>
  </si>
  <si>
    <t>TCP_IP_RPI.fcpx</t>
  </si>
  <si>
    <t>E18E39D3-2E05-4A15-B8AA-E8ADA16CD3EF</t>
  </si>
  <si>
    <t>TCP_IP_W5500.fcpx</t>
  </si>
  <si>
    <t>3C01CAAA-B732-49A0-B15E-7C9D98878B19</t>
  </si>
  <si>
    <t>TG5011SigGen.fcpx</t>
  </si>
  <si>
    <t>E2C3165D-8020-4E52-BC7E-7022FF459129</t>
  </si>
  <si>
    <t>TM1637_Display.fcpx</t>
  </si>
  <si>
    <t>4DE4697E-2DE3-432E-A0FE-97EF8C79DFC0</t>
  </si>
  <si>
    <t>TM1637_HexDisplay.fcpx</t>
  </si>
  <si>
    <t>8C08BF29-BE7E-4408-92BC-91C476FB70DB</t>
  </si>
  <si>
    <t>TTIPL155PPSU.fcpx</t>
  </si>
  <si>
    <t>Ternary Chart</t>
  </si>
  <si>
    <t>387B4D2C-FC0F-44C0-A2AD-5FA05ED7DB82</t>
  </si>
  <si>
    <t>TernaryChart.fcpx</t>
  </si>
  <si>
    <t>GLCD Textfield</t>
  </si>
  <si>
    <t>9E0FA7E4-0C8C-485D-98C4-6F0EF8E57D40</t>
  </si>
  <si>
    <t>TextField.fcpx</t>
  </si>
  <si>
    <t>93AB1895-66CF-4FD8-A04F-79F09ACC19E6</t>
  </si>
  <si>
    <t>Thermistor.fcpx</t>
  </si>
  <si>
    <t>Thermistor Template</t>
  </si>
  <si>
    <t>BD7D5205-C2EB-48B1-8A37-F967F349965F</t>
  </si>
  <si>
    <t>Thermistor_base.fcpx</t>
  </si>
  <si>
    <t>Time Stamp</t>
  </si>
  <si>
    <t>A96DDF9D-631D-4DB7-A66E-C709E2DE7164</t>
  </si>
  <si>
    <t>TimeStamp.fcpx</t>
  </si>
  <si>
    <t>Timer</t>
  </si>
  <si>
    <t>24AD2718-C70B-4088-AEDA-3949DFDBA740</t>
  </si>
  <si>
    <t>Timer.fcpx</t>
  </si>
  <si>
    <t>Tone Generator</t>
  </si>
  <si>
    <t>51AD4FB4-3B45-4CD0-A74C-87311DE8D3A2</t>
  </si>
  <si>
    <t>ToneGenerator.fcpx</t>
  </si>
  <si>
    <t>Traffic Light 2-Way</t>
  </si>
  <si>
    <t>DBF602C1-CB49-4149-BCD3-4A5AFEAE9A7A</t>
  </si>
  <si>
    <t>TrafficLight-2Way.fcpx</t>
  </si>
  <si>
    <t>Traffic Light 1-Way</t>
  </si>
  <si>
    <t>0C6B22FC-6E81-4406-AABD-5FEB928E6AEE</t>
  </si>
  <si>
    <t>TrafficLight_1Way.fcpx</t>
  </si>
  <si>
    <t>Type Conversions</t>
  </si>
  <si>
    <t>6508C7BE-063A-4F9F-BAE5-4A41CF977A86</t>
  </si>
  <si>
    <t>TypeConversions.fcpx</t>
  </si>
  <si>
    <t>USB HID</t>
  </si>
  <si>
    <t>06A0A9B3-DD23-4592-A781-537A31B97C2A</t>
  </si>
  <si>
    <t>USB_HID.fcpx</t>
  </si>
  <si>
    <t>USB MIDI</t>
  </si>
  <si>
    <t>FDCEEF06-919A-405B-8D0B-6118CD0E104C</t>
  </si>
  <si>
    <t>USB_MIDI.fcpx</t>
  </si>
  <si>
    <t>USB Serial</t>
  </si>
  <si>
    <t>3E28AC22-2855-410A-9660-0B0A4731E545</t>
  </si>
  <si>
    <t>USB_Serial.fcpx</t>
  </si>
  <si>
    <t>USB Slave</t>
  </si>
  <si>
    <t>26CBC2DF-5EF0-47DB-AB2F-C2425B14462F</t>
  </si>
  <si>
    <t>USB_Slave.fcpx</t>
  </si>
  <si>
    <t>UART Software (Timer)</t>
  </si>
  <si>
    <t>743EA495-34E7-47EE-BD79-3BFDC067B01C</t>
  </si>
  <si>
    <t>UartSoftwareTimer.fcpx</t>
  </si>
  <si>
    <t>Visi (4DSystems)</t>
  </si>
  <si>
    <t>6436A040-CCC8-46E5-82C1-68F8D87B16C5</t>
  </si>
  <si>
    <t>Visi4D.fcpx</t>
  </si>
  <si>
    <t>WAV Library File</t>
  </si>
  <si>
    <t>EAEE384D-6B16-4988-B1AA-8628231A7128</t>
  </si>
  <si>
    <t>WAVPlayerFAT.fcpx</t>
  </si>
  <si>
    <t>WLAN (EB069 WIZ610wi)</t>
  </si>
  <si>
    <t>0DDE7075-368E-404C-9D88-D9C6BEC55172</t>
  </si>
  <si>
    <t>WLAN.fcpx</t>
  </si>
  <si>
    <t>66990164-3C50-4960-916D-327737A7A093</t>
  </si>
  <si>
    <t>WLAN_ESP12S.fcpx</t>
  </si>
  <si>
    <t>EA9C0946-5F88-4F9A-AE5F-8BA9B981B389</t>
  </si>
  <si>
    <t>WLAN_ESP12S_BL0136.fcpx</t>
  </si>
  <si>
    <t>F0F54E46-0848-4930-9BB6-EFF9A34ED229</t>
  </si>
  <si>
    <t>WLAN_ESP32.fcpx</t>
  </si>
  <si>
    <t>E1BB4679-58EF-40DC-8D09-306ADA46F7BF</t>
  </si>
  <si>
    <t>WLAN_ESP8266.fcpx</t>
  </si>
  <si>
    <t>4D985181-E4B1-4767-A068-FB31A6D68158</t>
  </si>
  <si>
    <t>WLAN_ESP8266_EB069v2.fcpx</t>
  </si>
  <si>
    <t>Webserver (GENERIC - Flash / File)</t>
  </si>
  <si>
    <t>A1C9B843-A641-4B9C-B762-26995B8F9464</t>
  </si>
  <si>
    <t>Webserver.fcpx</t>
  </si>
  <si>
    <t>Webserver (NM7010A)</t>
  </si>
  <si>
    <t>FF377EDE-2C09-4A83-99A0-5E11C7AE16D9</t>
  </si>
  <si>
    <t>Webserver_EB023_00_1.fcpx</t>
  </si>
  <si>
    <t>C0A18557-A477-4D5A-B9CA-E0724378D983</t>
  </si>
  <si>
    <t>Webserver_EB023_00_1_EB.fcpx</t>
  </si>
  <si>
    <t>9E68A715-EDC2-4A98-BE64-C0D02F700135</t>
  </si>
  <si>
    <t>Webserver_EB023_00_2.fcpx</t>
  </si>
  <si>
    <t>EE1635E0-3008-4836-89E1-005435F4A33D</t>
  </si>
  <si>
    <t>Webserver_EB023_00_2_EB.fcpx</t>
  </si>
  <si>
    <t>F77F2B22-6A7C-4AE6-9F5F-724660CC6C93</t>
  </si>
  <si>
    <t>Webserver_W5500.fcpx</t>
  </si>
  <si>
    <t>Wii Nunchuk</t>
  </si>
  <si>
    <t>8C4C9DB2-8C42-458D-B071-001ACD191C49</t>
  </si>
  <si>
    <t>WiiNunchuck.fcpx</t>
  </si>
  <si>
    <t>Digital Potentiometer (X9Cx0x)</t>
  </si>
  <si>
    <t>0A0819D2-73B7-4BC2-BC11-F3139972D224</t>
  </si>
  <si>
    <t>X9Cx0x_DigitalPot.fcpx</t>
  </si>
  <si>
    <t>Touch Screen (XPT2046)</t>
  </si>
  <si>
    <t>AB872CC0-E6FE-4D30-A7CB-A1EFC6AE87A6</t>
  </si>
  <si>
    <t>XPT2046.fcpx</t>
  </si>
  <si>
    <t>Xpress PCB</t>
  </si>
  <si>
    <t>5E5E01EC-16BB-4C83-8805-E6CB22D41C51</t>
  </si>
  <si>
    <t>XPressPCB.fcpx</t>
  </si>
  <si>
    <t>GLCD Graph Creator XY</t>
  </si>
  <si>
    <t>7B198227-81D6-404C-A2D4-CE1E59EF84F8</t>
  </si>
  <si>
    <t>XYGraphCreator.fcpx</t>
  </si>
  <si>
    <t>RGB Xmas Tree</t>
  </si>
  <si>
    <t>144A220F-7BC3-4B73-BC56-F9C7203BF204</t>
  </si>
  <si>
    <t>XmasTree.fcpx</t>
  </si>
  <si>
    <t>Zigbee (EB051 XBEE)</t>
  </si>
  <si>
    <t>53548CBE-CD57-471C-8AC1-3205D0E9DA38</t>
  </si>
  <si>
    <t>Zigbee.fcpx</t>
  </si>
  <si>
    <t>ADC Template</t>
  </si>
  <si>
    <t>7AAD74D6-B24E-4DAB-91EB-5D72A973F12D</t>
  </si>
  <si>
    <t>adc_base.fcpx</t>
  </si>
  <si>
    <t>Animator</t>
  </si>
  <si>
    <t>F2DFCA22-B0B8-4694-8D30-1C25063578E3</t>
  </si>
  <si>
    <t>animator.fcpx</t>
  </si>
  <si>
    <t>Component Labels</t>
  </si>
  <si>
    <t>446D753F-A6DC-489D-B624-F4F191783AA0</t>
  </si>
  <si>
    <t>auto_labels.fcpx</t>
  </si>
  <si>
    <t>Simulation Slide Switch</t>
  </si>
  <si>
    <t>FF84DA29-D690-4C8F-A6AB-3C5D59722061</t>
  </si>
  <si>
    <t>basic_sim_slide_switch.fcpx</t>
  </si>
  <si>
    <t>Simulation Push Switch</t>
  </si>
  <si>
    <t>CC31D777-B10D-4A0A-8B7A-58D842B5530D</t>
  </si>
  <si>
    <t>basic_sim_switch.fcpx</t>
  </si>
  <si>
    <t>Switch (Generic)</t>
  </si>
  <si>
    <t>A31B1F0A-4221-490D-AE25-027868688F0B</t>
  </si>
  <si>
    <t>basic_switch.fcpx</t>
  </si>
  <si>
    <t>Beam Breaker</t>
  </si>
  <si>
    <t>D79F7DA1-0E33-4FBA-B4A0-AC127B5A4812</t>
  </si>
  <si>
    <t>beam_breaker.fcpx</t>
  </si>
  <si>
    <t>Bezel Radiused</t>
  </si>
  <si>
    <t>D497DCED-8E07-49D5-A9F9-4E67C43CB186</t>
  </si>
  <si>
    <t>bezel_radiused.fcpx</t>
  </si>
  <si>
    <t>Bluetooth (EB024 Generic AT)</t>
  </si>
  <si>
    <t>CFF93310-545B-4948-A8FA-12B119C5F7A7</t>
  </si>
  <si>
    <t>bluetooth.fcpx</t>
  </si>
  <si>
    <t>E77A4E40-E0DF-431A-98F8-7AE4D8EBFBEB</t>
  </si>
  <si>
    <t>cal_adc.fcpx</t>
  </si>
  <si>
    <t>8A1CCA2F-7DF1-4B3A-B24B-CA575FE84348</t>
  </si>
  <si>
    <t>cal_can.fcpx</t>
  </si>
  <si>
    <t>DMA (CAL)</t>
  </si>
  <si>
    <t>5BC4E362-1D31-4533-B8DD-134A53C5C0D9</t>
  </si>
  <si>
    <t>cal_dma.fcpx</t>
  </si>
  <si>
    <t>EEPROM</t>
  </si>
  <si>
    <t>18738948-277C-4ED2-8BE0-BECC616CB0B9</t>
  </si>
  <si>
    <t>cal_eeprom.fcpx</t>
  </si>
  <si>
    <t>FLASH (CAL)</t>
  </si>
  <si>
    <t>F857BA2B-69DD-4C95-B14D-CD0979F066F1</t>
  </si>
  <si>
    <t>cal_flash.fcpx</t>
  </si>
  <si>
    <t>71D6CB24-D865-4EA8-B147-734EF7F76850</t>
  </si>
  <si>
    <t>cal_hbridge.fcpx</t>
  </si>
  <si>
    <t>I2C</t>
  </si>
  <si>
    <t>ED3A5141-43BB-43E0-86B0-2243FD1147CA</t>
  </si>
  <si>
    <t>cal_i2c.fcpx</t>
  </si>
  <si>
    <t>068080A0-B949-4A7E-B370-C45430E0C9DE</t>
  </si>
  <si>
    <t>cal_pwm.fcpx</t>
  </si>
  <si>
    <t>SPI</t>
  </si>
  <si>
    <t>C67171DF-0AD6-4B11-8361-CFE14B072847</t>
  </si>
  <si>
    <t>cal_spi.fcpx</t>
  </si>
  <si>
    <t>UART</t>
  </si>
  <si>
    <t>91B64B1D-B8B2-40F1-B073-E953A91FA234</t>
  </si>
  <si>
    <t>cal_uart.fcpx</t>
  </si>
  <si>
    <t>Clone Matrix</t>
  </si>
  <si>
    <t>9D67E3DC-EF9B-4D4D-B294-19C176EEFAB1</t>
  </si>
  <si>
    <t>clone_matrix.fcpx</t>
  </si>
  <si>
    <t>Collision Detector Template</t>
  </si>
  <si>
    <t>FC68F857-0F97-420B-8F46-38EB56E5C8CF</t>
  </si>
  <si>
    <t>collision_detect.fcpx</t>
  </si>
  <si>
    <t>Component Label</t>
  </si>
  <si>
    <t>C5BE1DA0-4B4C-49B9-82E5-EA2426F52606</t>
  </si>
  <si>
    <t>component_label.fcpx</t>
  </si>
  <si>
    <t>Button helper</t>
  </si>
  <si>
    <t>3005C264-3A6D-412A-97DC-2569ED8C149C</t>
  </si>
  <si>
    <t>ctrl_btnhelper.fcpx</t>
  </si>
  <si>
    <t>LCD control</t>
  </si>
  <si>
    <t>0506F9ED-0E0E-493F-A08B-E9E66052B13E</t>
  </si>
  <si>
    <t>ctrl_lcd.fcpx</t>
  </si>
  <si>
    <t>Simulation LED (SMD)</t>
  </si>
  <si>
    <t>CAF757FD-8813-421E-BF75-1A365B20DBC5</t>
  </si>
  <si>
    <t>ctrl_led_sim.fcpx</t>
  </si>
  <si>
    <t>Marking control</t>
  </si>
  <si>
    <t>D750DDE7-DDBC-4D66-BEA1-5A5AE94DFA70</t>
  </si>
  <si>
    <t>ctrl_marks.fcpx</t>
  </si>
  <si>
    <t>Slider control</t>
  </si>
  <si>
    <t>0D074F2E-5FF6-45D2-A0A8-1B5C3AA34E41</t>
  </si>
  <si>
    <t>ctrl_slider.fcpx</t>
  </si>
  <si>
    <t>175423B4-B359-4AA7-9BC4-1867301742AF</t>
  </si>
  <si>
    <t>dash_IO_flasher.fcpx</t>
  </si>
  <si>
    <t>Switch (Push Dashboard)</t>
  </si>
  <si>
    <t>ABA70ED4-4D0C-47E1-90C7-BFDA5262EEC3</t>
  </si>
  <si>
    <t>dash_button.fcpx</t>
  </si>
  <si>
    <t>Dashboard Knob</t>
  </si>
  <si>
    <t>2E0AA52E-AC04-4997-B3AC-77205BA19522</t>
  </si>
  <si>
    <t>dash_knob.fcpx</t>
  </si>
  <si>
    <t>Dashboard lamp</t>
  </si>
  <si>
    <t>D68E61BC-0E8C-4E3D-959B-39E2DECFB680</t>
  </si>
  <si>
    <t>dash_lamp.fcpx</t>
  </si>
  <si>
    <t>Dashboard Meter</t>
  </si>
  <si>
    <t>8C84170A-6FE8-4386-9709-451A0D21DA64</t>
  </si>
  <si>
    <t>dash_meter.fcpx</t>
  </si>
  <si>
    <t>Dash Scale Horizontal</t>
  </si>
  <si>
    <t>C7AF6F97-A9D6-45D0-A7D2-48D85DBEF664</t>
  </si>
  <si>
    <t>dash_scale_horz.fcpx</t>
  </si>
  <si>
    <t>Dash Scale Vertical</t>
  </si>
  <si>
    <t>F51B5E55-6A64-49AD-B79D-2B57DB0CD54B</t>
  </si>
  <si>
    <t>dash_scale_vert.fcpx</t>
  </si>
  <si>
    <t>Switch (Slide Dashboard)</t>
  </si>
  <si>
    <t>DDAD9CB9-122D-4F29-AAA9-233D3A967CA8</t>
  </si>
  <si>
    <t>dash_switch.fcpx</t>
  </si>
  <si>
    <t>Dashboard Text</t>
  </si>
  <si>
    <t>7ADE85DB-6CA2-48BF-B19C-8148EBDA497B</t>
  </si>
  <si>
    <t>dash_text.fcpx</t>
  </si>
  <si>
    <t>DCBF571F-A6FA-402D-BDD4-BE00CCA4070F</t>
  </si>
  <si>
    <t>eeprom.fcpx</t>
  </si>
  <si>
    <t>FCD helper</t>
  </si>
  <si>
    <t>FC3C670C-502A-418F-A123-649179752383</t>
  </si>
  <si>
    <t>fcdhelper.fcpx</t>
  </si>
  <si>
    <t>GLCD (4D Goldelox)</t>
  </si>
  <si>
    <t>07698CDE-7F30-419B-825C-35450877AD26</t>
  </si>
  <si>
    <t>gLCD_4D_Goldelox.fcpx</t>
  </si>
  <si>
    <t>GLCD (4D Picaso v1)</t>
  </si>
  <si>
    <t>44F742F7-3039-4EDB-8E96-717377B85E69</t>
  </si>
  <si>
    <t>gLCD_4D_v1_Picaso.fcpx</t>
  </si>
  <si>
    <t>GLCD (4D Picaso v2)</t>
  </si>
  <si>
    <t>B710C9A3-B93A-407D-81B2-190B5F6AFDF1</t>
  </si>
  <si>
    <t>gLCD_4D_v2_Picaso.fcpx</t>
  </si>
  <si>
    <t>4D50E925-93E7-43FF-9C9F-8E958B9D714C</t>
  </si>
  <si>
    <t>gLCD_BL0139.fcpx</t>
  </si>
  <si>
    <t>Colour GLCD (BL0157)</t>
  </si>
  <si>
    <t>25DB03EF-5393-4FB8-9B34-87A506428296</t>
  </si>
  <si>
    <t>gLCD_BL0157.fcpx</t>
  </si>
  <si>
    <t>GLCD (EB043 v1)</t>
  </si>
  <si>
    <t>15D02383-645D-4BBE-8732-A67162CDB90C</t>
  </si>
  <si>
    <t>gLCD_EB043_00_1.fcpx</t>
  </si>
  <si>
    <t>GLCD (EB043 v2)</t>
  </si>
  <si>
    <t>C3E842D5-CF5D-4E4E-A406-95067BA26693</t>
  </si>
  <si>
    <t>gLCD_EB043_00_2.fcpx</t>
  </si>
  <si>
    <t>GLCD</t>
  </si>
  <si>
    <t>C4BADACF-868A-4744-AD5A-A74FEA126D6B</t>
  </si>
  <si>
    <t>gLCD_EB057.fcpx</t>
  </si>
  <si>
    <t>GLCD (EB075)</t>
  </si>
  <si>
    <t>C7BA30AD-1D81-496E-B2CA-E4EFB109521B</t>
  </si>
  <si>
    <t>gLCD_EB075_4D.fcpx</t>
  </si>
  <si>
    <t>GLCD (EB076)</t>
  </si>
  <si>
    <t>C6586B24-9A1C-4E19-8051-8AE5923C418A</t>
  </si>
  <si>
    <t>gLCD_EB076_4D.fcpx</t>
  </si>
  <si>
    <t>GLCD (EB076 v2)</t>
  </si>
  <si>
    <t>CB40C3C2-03FD-4D66-9364-790E72714BCB</t>
  </si>
  <si>
    <t>gLCD_EB076v2_4D.fcpx</t>
  </si>
  <si>
    <t>GLCD (EBM001)</t>
  </si>
  <si>
    <t>5A6D2F2E-DA92-49B4-AD5C-71F51E8FE24B</t>
  </si>
  <si>
    <t>gLCD_EBM001.fcpx</t>
  </si>
  <si>
    <t>gLCD Font Library</t>
  </si>
  <si>
    <t>1B08885C-807E-4631-930E-A4FEF06159DC</t>
  </si>
  <si>
    <t>gLCD_Font.fcpx</t>
  </si>
  <si>
    <t>GLCD (ILI9163C)</t>
  </si>
  <si>
    <t>79F105DB-3EB0-45CB-B3FB-E4B6D6E94358</t>
  </si>
  <si>
    <t>gLCD_ILI9163C.fcpx</t>
  </si>
  <si>
    <t>GLCD (ILI9341)</t>
  </si>
  <si>
    <t>BC0A0612-EF85-48FB-8960-5E78F4083DF1</t>
  </si>
  <si>
    <t>gLCD_ILI9341.fcpx</t>
  </si>
  <si>
    <t>GLCD (ILI9341 SPI)</t>
  </si>
  <si>
    <t>7BD84555-AE51-40CC-8E1A-A7BCBA661E52</t>
  </si>
  <si>
    <t>gLCD_ILI9341_SPI.fcpx</t>
  </si>
  <si>
    <t>GLCD (ILI9488)</t>
  </si>
  <si>
    <t>B5148D9E-884C-488E-8536-741E7FC4306C</t>
  </si>
  <si>
    <t>gLCD_ILI9488.fcpx</t>
  </si>
  <si>
    <t>GLCD (ILI9488 SPI)</t>
  </si>
  <si>
    <t>3408FDE0-F512-487B-8902-74CD56623191</t>
  </si>
  <si>
    <t>gLCD_ILI9488_SPI.fcpx</t>
  </si>
  <si>
    <t>GLCD (KS0108)</t>
  </si>
  <si>
    <t>C9D3B357-B914-4301-A741-0D13819E441C</t>
  </si>
  <si>
    <t>gLCD_KS0108.fcpx</t>
  </si>
  <si>
    <t>GLCD (LS020)</t>
  </si>
  <si>
    <t>641B19BC-B941-46DE-843D-229CA347466D</t>
  </si>
  <si>
    <t>gLCD_LS020.fcpx</t>
  </si>
  <si>
    <t>GLCD (PDC8544)</t>
  </si>
  <si>
    <t>A1EDC3DF-71D0-4EC5-A511-05818570696F</t>
  </si>
  <si>
    <t>gLCD_PCD8544.fcpx</t>
  </si>
  <si>
    <t>Drawing Area</t>
  </si>
  <si>
    <t>B0F3982E-7CA6-4504-AFE5-1B76FA09FAD1</t>
  </si>
  <si>
    <t>gLCD_SCADA.fcpx</t>
  </si>
  <si>
    <t>GLCD (SH1106) I2C</t>
  </si>
  <si>
    <t>EBF9C18E-044E-41E2-B845-DA14E744B25F</t>
  </si>
  <si>
    <t>gLCD_SH1106_I2C.fcpx</t>
  </si>
  <si>
    <t>GLCD (SH1106) SPI</t>
  </si>
  <si>
    <t>91C1B7F5-6974-4EA3-84B3-4E24A9784631</t>
  </si>
  <si>
    <t>gLCD_SH1106_SPI.fcpx</t>
  </si>
  <si>
    <t>GLCD (SSD1289)</t>
  </si>
  <si>
    <t>0A432F5F-D9A0-4726-9B42-18DE4EEDDFD8</t>
  </si>
  <si>
    <t>gLCD_SSD1289.fcpx</t>
  </si>
  <si>
    <t>GLCD (SSD1305)</t>
  </si>
  <si>
    <t>5ED21FC4-3979-4825-8C8E-95944D1101D9</t>
  </si>
  <si>
    <t>gLCD_SSD1305.fcpx</t>
  </si>
  <si>
    <t>GLCD (SSD1305) Buffered</t>
  </si>
  <si>
    <t>8FCCB5EB-1664-4DD5-9D2E-5C62294A7151</t>
  </si>
  <si>
    <t>gLCD_SSD1305_buffered.fcpx</t>
  </si>
  <si>
    <t>GLCD (SSD1306)</t>
  </si>
  <si>
    <t>7B1EF6F5-5C39-4B7F-9FAF-EED122FF2B3E</t>
  </si>
  <si>
    <t>gLCD_SSD1306.fcpx</t>
  </si>
  <si>
    <t>GLCD (SSD1306) SPI</t>
  </si>
  <si>
    <t>4CE64477-FD81-4ED6-BA31-176465949FD0</t>
  </si>
  <si>
    <t>gLCD_SSD1306_SPI.fcpx</t>
  </si>
  <si>
    <t>GLCD (SSD1306) Buffered</t>
  </si>
  <si>
    <t>9E067700-36D1-4697-A165-9E8D60B45399</t>
  </si>
  <si>
    <t>gLCD_SSD1306_buffered.fcpx</t>
  </si>
  <si>
    <t>GLCD (SSD1306) I2C</t>
  </si>
  <si>
    <t>F6AB6074-68BA-4CD4-9274-F973102F8518</t>
  </si>
  <si>
    <t>gLCD_SSD1306_i2c.fcpx</t>
  </si>
  <si>
    <t>GLCD (SSD1322) Parallel</t>
  </si>
  <si>
    <t>DBA19EA1-EFE2-46E4-90BE-18EE41930D1E</t>
  </si>
  <si>
    <t>gLCD_SSD1322.fcpx</t>
  </si>
  <si>
    <t>GLCD (SSD1322) Buffered</t>
  </si>
  <si>
    <t>F0F2F410-3216-4A3F-A2DC-DB35F4A2821D</t>
  </si>
  <si>
    <t>gLCD_SSD1322_buffered.fcpx</t>
  </si>
  <si>
    <t>GLCD (SSD1327) I2C</t>
  </si>
  <si>
    <t>6548A7DA-7E0B-4D45-AD92-F61BF5713442</t>
  </si>
  <si>
    <t>gLCD_SSD1327_i2c.fcpx</t>
  </si>
  <si>
    <t>GLCD (SSD1331)</t>
  </si>
  <si>
    <t>E635704B-9D69-466C-BE7F-A03543F011A6</t>
  </si>
  <si>
    <t>gLCD_SSD1331.fcpx</t>
  </si>
  <si>
    <t>GLCD (SSD1351)</t>
  </si>
  <si>
    <t>FD1A193B-149F-4BA8-B1CE-CE39CA863975</t>
  </si>
  <si>
    <t>gLCD_SSD1351.fcpx</t>
  </si>
  <si>
    <t>GLCD (SSD1351 SPI)</t>
  </si>
  <si>
    <t>8AF7F5EC-2E7A-4080-9566-B816C24EBBFA</t>
  </si>
  <si>
    <t>gLCD_SSD1351_SPI.fcpx</t>
  </si>
  <si>
    <t>GLCD (SSD1963) Parallel</t>
  </si>
  <si>
    <t>9D414A42-FD9B-4AFD-9493-DBF80EECE14A</t>
  </si>
  <si>
    <t>gLCD_SSD1963.fcpx</t>
  </si>
  <si>
    <t>GLCD (ST7036) I2C</t>
  </si>
  <si>
    <t>496CF2F0-4220-4F70-9219-7C67C672E36E</t>
  </si>
  <si>
    <t>gLCD_ST7036_i2c.fcpx</t>
  </si>
  <si>
    <t>GLCD (ST7565R) Parallel</t>
  </si>
  <si>
    <t>889A6AC6-12D0-40C0-9882-075CE9801EEB</t>
  </si>
  <si>
    <t>gLCD_ST7565R.fcpx</t>
  </si>
  <si>
    <t>GLCD (ST7565R) SPI</t>
  </si>
  <si>
    <t>2149FDEF-84E9-407D-B68D-FC7F39E6F41E</t>
  </si>
  <si>
    <t>gLCD_ST7565R_SPI.fcpx</t>
  </si>
  <si>
    <t>GLCD (ST7567) SPI</t>
  </si>
  <si>
    <t>7E19B0EE-6CFD-49D3-8EFB-67E7B145DFBA</t>
  </si>
  <si>
    <t>gLCD_ST7567_SPI.fcpx</t>
  </si>
  <si>
    <t>GLCD (ST7789V)</t>
  </si>
  <si>
    <t>4E30B15E-2507-4583-995D-B2056E04A286</t>
  </si>
  <si>
    <t>gLCD_ST7789V.fcpx</t>
  </si>
  <si>
    <t>GLCD (ST7920) Parallel</t>
  </si>
  <si>
    <t>804DE427-4B97-4468-9EA9-B5ADF7B98771</t>
  </si>
  <si>
    <t>gLCD_ST7920.fcpx</t>
  </si>
  <si>
    <t>GLCD (STM32F469NI)</t>
  </si>
  <si>
    <t>5BD73E47-8060-4677-A1A3-6191CEB924B7</t>
  </si>
  <si>
    <t>gLCD_STM32F469NI.fcpx</t>
  </si>
  <si>
    <t>GLCD (STM32F746NG)</t>
  </si>
  <si>
    <t>6A2520BC-D8DD-4001-937E-21925253291A</t>
  </si>
  <si>
    <t>gLCD_STM32F746NG.fcpx</t>
  </si>
  <si>
    <t>GLCD (Grove OLED)</t>
  </si>
  <si>
    <t>8A7A90D2-3274-4433-8609-699E976E0719</t>
  </si>
  <si>
    <t>gLCD_SeeedGreyOLED.fcpx</t>
  </si>
  <si>
    <t>GLCD (T6963C)</t>
  </si>
  <si>
    <t>C9D3B357-B914-4301-A741-0D13819E452E</t>
  </si>
  <si>
    <t>gLCD_T6963C.fcpx</t>
  </si>
  <si>
    <t>GLCD (TLS8201)</t>
  </si>
  <si>
    <t>71BA0CDD-E003-4F6D-9DAE-8EECFFD1774B</t>
  </si>
  <si>
    <t>gLCD_TLS8201.fcpx</t>
  </si>
  <si>
    <t>GLCD (UC1701)</t>
  </si>
  <si>
    <t>EBD426A3-C694-42BB-8611-320E27C6EA65</t>
  </si>
  <si>
    <t>gLCD_UC1701.fcpx</t>
  </si>
  <si>
    <t>6C74B9EE-2907-4B1E-8A9B-80FC192B6027</t>
  </si>
  <si>
    <t>keypad_4x4.fcpx</t>
  </si>
  <si>
    <t>Keypad (Generic)</t>
  </si>
  <si>
    <t>B80E57B1-8941-4831-878B-B27440B4F4D8</t>
  </si>
  <si>
    <t>keypad_base.fcpx</t>
  </si>
  <si>
    <t>Keypad (Cursor 3x3)</t>
  </si>
  <si>
    <t>1D24DF27-423C-4D91-B2BB-E6AD3E121F14</t>
  </si>
  <si>
    <t>keypad_cursor.fcpx</t>
  </si>
  <si>
    <t>E871D984-B0E0-4185-8D94-B11D28040996</t>
  </si>
  <si>
    <t>keypad_eb014.fcpx</t>
  </si>
  <si>
    <t>Keypad (Hex 4x4)</t>
  </si>
  <si>
    <t>287E2F0B-8869-4994-A958-C8F851091322</t>
  </si>
  <si>
    <t>keypad_hex.fcpx</t>
  </si>
  <si>
    <t>Keypad (Numeric 3x4)</t>
  </si>
  <si>
    <t>B07090DA-50A4-41ED-97D8-99016C092A14</t>
  </si>
  <si>
    <t>keypad_numeric.fcpx</t>
  </si>
  <si>
    <t>Potentiometer (Panel)</t>
  </si>
  <si>
    <t>8C97CC7D-3C7B-41B6-B255-6694B6B8EED9</t>
  </si>
  <si>
    <t>knob_chicken_hd.fcpx</t>
  </si>
  <si>
    <t>Potentiometer (Colour)</t>
  </si>
  <si>
    <t>14683EA8-5A08-4B3A-BE2D-3DEA3E17E720</t>
  </si>
  <si>
    <t>knob_color_cap.fcpx</t>
  </si>
  <si>
    <t>Potentiometer (Black)</t>
  </si>
  <si>
    <t>D7E01665-00E9-4091-8AA6-B9A0DD265BCE</t>
  </si>
  <si>
    <t>knob_ptr_black.fcpx</t>
  </si>
  <si>
    <t>Potentiometer (Trimmer)</t>
  </si>
  <si>
    <t>8462AC99-CA8F-429B-953A-36DBE58ADA72</t>
  </si>
  <si>
    <t>knob_trim_finger.fcpx</t>
  </si>
  <si>
    <t>LED (LES Panel)</t>
  </si>
  <si>
    <t>2C813CFA-9563-4DA8-85DF-B4355A3C5108</t>
  </si>
  <si>
    <t>lamp_les.fcpx</t>
  </si>
  <si>
    <t>Simulation LED (LES Panel)</t>
  </si>
  <si>
    <t>3442E7CF-5482-48CE-886F-F151C73B27EF</t>
  </si>
  <si>
    <t>lamp_les_sim.fcpx</t>
  </si>
  <si>
    <t>LCD (Generic 16x2)</t>
  </si>
  <si>
    <t>F8C9B53D-0BF2-469F-8F0A-34CAA93749BA</t>
  </si>
  <si>
    <t>lcd_16x2.fcpx</t>
  </si>
  <si>
    <t>LCD (Generic 20x4)</t>
  </si>
  <si>
    <t>A2B40602-5421-4E2F-BA82-96DB1BE51D69</t>
  </si>
  <si>
    <t>lcd_4x20.fcpx</t>
  </si>
  <si>
    <t>LCD (Grove - UART)</t>
  </si>
  <si>
    <t>31326041-9339-4CF4-B609-C14CC66318B3</t>
  </si>
  <si>
    <t>lcd_Grove.fcpx</t>
  </si>
  <si>
    <t>LCD (Grove - I2C)</t>
  </si>
  <si>
    <t>F45468B8-5731-4BFB-B5C0-4042EF1DD1DA</t>
  </si>
  <si>
    <t>lcd_Grove_I2C.fcpx</t>
  </si>
  <si>
    <t>LCD I2C (Backpack)</t>
  </si>
  <si>
    <t>BCD6A955-12C6-4ED4-A22F-F16EB62E0762</t>
  </si>
  <si>
    <t>lcd_I2C.fcpx</t>
  </si>
  <si>
    <t>LCD (ST7032i)</t>
  </si>
  <si>
    <t>24A7A014-0AD0-44A7-B63B-61DAC014EEE7</t>
  </si>
  <si>
    <t>lcd_ST7032i.fcpx</t>
  </si>
  <si>
    <t>D29DDA88-17DE-4008-991A-C881890D4C57</t>
  </si>
  <si>
    <t>lcd_eb005.fcpx</t>
  </si>
  <si>
    <t>LCD (Generic Configurable)</t>
  </si>
  <si>
    <t>51677753-5EAF-4E3A-A3C8-71C49A142171</t>
  </si>
  <si>
    <t>lcd_generic.fcpx</t>
  </si>
  <si>
    <t>LED (3mm PCB)</t>
  </si>
  <si>
    <t>1085EE2F-0D48-4189-869C-F659FD873FD4</t>
  </si>
  <si>
    <t>led_3mm.fcpx</t>
  </si>
  <si>
    <t>Simulation LED (3mm PCB)</t>
  </si>
  <si>
    <t>83BD894C-8F2C-4370-95C3-CAE107CCC64D</t>
  </si>
  <si>
    <t>led_3mm_sim.fcpx</t>
  </si>
  <si>
    <t>LED (5mm PCB)</t>
  </si>
  <si>
    <t>D92E8259-F3A8-4176-A8C4-FE7CA42B2C3F</t>
  </si>
  <si>
    <t>led_5mm.fcpx</t>
  </si>
  <si>
    <t>LED (5mm Panel)</t>
  </si>
  <si>
    <t>7FDAEC78-394E-4EC9-A578-4F1A12A12076</t>
  </si>
  <si>
    <t>led_5mm_pnl.fcpx</t>
  </si>
  <si>
    <t>7Segment (Quad)</t>
  </si>
  <si>
    <t>F4400E36-DD95-4472-86DA-4BBA68D68D5D</t>
  </si>
  <si>
    <t>led_7seg_quad.fcpx</t>
  </si>
  <si>
    <t>7Segment (Single)</t>
  </si>
  <si>
    <t>52C5383B-4F48-4029-8B75-C3633F7CF892</t>
  </si>
  <si>
    <t>led_7seg_single.fcpx</t>
  </si>
  <si>
    <t>LED Array Template</t>
  </si>
  <si>
    <t>C8DA67A7-FC7B-48C0-8C3F-3264C74F4024</t>
  </si>
  <si>
    <t>led_array.fcpx</t>
  </si>
  <si>
    <t>LED Array (PCB)</t>
  </si>
  <si>
    <t>63177601-E8E2-4330-89D3-A4C5A7E228F5</t>
  </si>
  <si>
    <t>led_array_pcb.fcpx</t>
  </si>
  <si>
    <t>LED Template</t>
  </si>
  <si>
    <t>A7B05886-784C-48C8-A6F6-CC371C7728E1</t>
  </si>
  <si>
    <t>led_base.fcpx</t>
  </si>
  <si>
    <t>LED MultiColour Bi (5mm PCB)</t>
  </si>
  <si>
    <t>67271369-4B2E-4126-A5D0-A93142AC71B9</t>
  </si>
  <si>
    <t>led_bicolour_5mm.fcpx</t>
  </si>
  <si>
    <t>LED Charlieplex</t>
  </si>
  <si>
    <t>489AD870-75DD-4FC4-9879-AA83871DDEF6</t>
  </si>
  <si>
    <t>led_charlieplexed.fcpx</t>
  </si>
  <si>
    <t>82C2F7D0-C6ED-4C6E-8AB8-7958B490DC99</t>
  </si>
  <si>
    <t>led_eb004.fcpx</t>
  </si>
  <si>
    <t>LED (SMD PCB)</t>
  </si>
  <si>
    <t>AD052176-691E-4542-ADB5-53F6FBEA9B5B</t>
  </si>
  <si>
    <t>led_plcc2.fcpx</t>
  </si>
  <si>
    <t>LED Multicolour RGB (5mm PCB)</t>
  </si>
  <si>
    <t>EC156555-E872-47F6-971E-A610F03CE81D</t>
  </si>
  <si>
    <t>led_rgb_pcb.fcpx</t>
  </si>
  <si>
    <t>LED (Generic)</t>
  </si>
  <si>
    <t>248E0A81-43E3-4FF7-B87D-69C04ADD1FB9</t>
  </si>
  <si>
    <t>led_shape.fcpx</t>
  </si>
  <si>
    <t>LED MultiColour Tri (5mm PCB)</t>
  </si>
  <si>
    <t>A5C2033E-8639-4DE3-80EB-58C02B44BD96</t>
  </si>
  <si>
    <t>led_tricolour_5mm.fcpx</t>
  </si>
  <si>
    <t>Lookup tables</t>
  </si>
  <si>
    <t>DFB4D07A-3D70-45D5-83EF-07E3C95D86AB</t>
  </si>
  <si>
    <t>lut.fcpx</t>
  </si>
  <si>
    <t>MIAC Advanced</t>
  </si>
  <si>
    <t>E8461F5F-751E-432E-9FA1-CA725F0001B1</t>
  </si>
  <si>
    <t>ma_advanced.fcpx</t>
  </si>
  <si>
    <t>MIAC Basic</t>
  </si>
  <si>
    <t>8C6AD2C7-F4A7-4584-A376-EC7FED05E5D3</t>
  </si>
  <si>
    <t>ma_basic.fcpx</t>
  </si>
  <si>
    <t>MIAC Bluetooth</t>
  </si>
  <si>
    <t>6AB6C413-80F6-4DB4-9B1D-458412446D4C</t>
  </si>
  <si>
    <t>ma_bluetooth.fcpx</t>
  </si>
  <si>
    <t>MIAC GPS</t>
  </si>
  <si>
    <t>BD4A15A6-C326-4762-8573-3E7A6FDE7D88</t>
  </si>
  <si>
    <t>ma_gps.fcpx</t>
  </si>
  <si>
    <t>MIAC GSM</t>
  </si>
  <si>
    <t>018199E8-EF66-49AF-BAC0-483043D71830</t>
  </si>
  <si>
    <t>ma_gsm.fcpx</t>
  </si>
  <si>
    <t>MIAC Industrial</t>
  </si>
  <si>
    <t>4C1BD3CF-A504-4A05-9AE7-318D6A4F9A07</t>
  </si>
  <si>
    <t>ma_industrial.fcpx</t>
  </si>
  <si>
    <t>MIAC Serial</t>
  </si>
  <si>
    <t>126523D0-E391-4CCB-86C0-0E9D1B33D5F0</t>
  </si>
  <si>
    <t>ma_serial.fcpx</t>
  </si>
  <si>
    <t>MIAC (PIC) CAN Slave</t>
  </si>
  <si>
    <t>184DE24B-DAF7-457C-95CB-D9B97B939839</t>
  </si>
  <si>
    <t>ma_slave.fcpx</t>
  </si>
  <si>
    <t>MIAC Zigbee Coordinator</t>
  </si>
  <si>
    <t>B5E4FAAC-ED09-4E4C-A644-09E1E151A405</t>
  </si>
  <si>
    <t>ma_zigbee_c.fcpx</t>
  </si>
  <si>
    <t>MIAC Zigbee Router</t>
  </si>
  <si>
    <t>8DD620E3-3CDB-4D8A-BA3D-CD4DBCA0BA34</t>
  </si>
  <si>
    <t>ma_zigbee_r.fcpx</t>
  </si>
  <si>
    <t>Meter Square</t>
  </si>
  <si>
    <t>4AEAD223-94B8-4744-9674-7C21ACC80681</t>
  </si>
  <si>
    <t>meter_square.fcpx</t>
  </si>
  <si>
    <t>MIAC (PIC)</t>
  </si>
  <si>
    <t>D69543A8-F38B-488A-B905-9FA2D5970BEB</t>
  </si>
  <si>
    <t>miac.fcpx</t>
  </si>
  <si>
    <t>MIAC (Arduino-Compatible)</t>
  </si>
  <si>
    <t>463BFC0E-2A04-414C-BF85-10718FA2CA08</t>
  </si>
  <si>
    <t>miac_arduino.fcpx</t>
  </si>
  <si>
    <t>MIAC (dsPIC)</t>
  </si>
  <si>
    <t>596E6F4D-D87A-4E8B-B108-C0501127C382</t>
  </si>
  <si>
    <t>miac_dspic.fcpx</t>
  </si>
  <si>
    <t>Servo Motor (Tower Pro 9g)</t>
  </si>
  <si>
    <t>B6FDC61F-7BE2-49C7-925F-AEA3DC284CBA</t>
  </si>
  <si>
    <t>micro_servo.fcpx</t>
  </si>
  <si>
    <t>MIDI</t>
  </si>
  <si>
    <t>A9B43242-9CCC-4F1C-B2D1-ACDFBE420FC1</t>
  </si>
  <si>
    <t>midi.fcpx</t>
  </si>
  <si>
    <t>Motion Helper</t>
  </si>
  <si>
    <t>DDC97F5D-2B6C-4E5A-BE40-C5C91123B8CC</t>
  </si>
  <si>
    <t>motion_helper.fcpx</t>
  </si>
  <si>
    <t>Motor Template</t>
  </si>
  <si>
    <t>952471C7-11CA-430B-AB72-4FDA8B195F83</t>
  </si>
  <si>
    <t>motor_base.fcpx</t>
  </si>
  <si>
    <t>DC Motor</t>
  </si>
  <si>
    <t>3BECC5A1-4034-45CA-B84F-D995C6CACDB2</t>
  </si>
  <si>
    <t>motor_reversible.fcpx</t>
  </si>
  <si>
    <t>DC Motor (Half Bridge)</t>
  </si>
  <si>
    <t>4EDCB163-5216-44C4-99D9-D6B24869F341</t>
  </si>
  <si>
    <t>motor_simple.fcpx</t>
  </si>
  <si>
    <t>882B6951-9944-48CC-8989-6EBD3D91956F</t>
  </si>
  <si>
    <t>nRF24L01.fcpx</t>
  </si>
  <si>
    <t>Switch (Push PCB)</t>
  </si>
  <si>
    <t>FC04A65F-F03D-40C8-9F69-0D23D2DAAC29</t>
  </si>
  <si>
    <t>pcb_switch.fcpx</t>
  </si>
  <si>
    <t>Proximity Switch Template</t>
  </si>
  <si>
    <t>92B44587-A7A8-444F-ABE6-93E5D1669BC6</t>
  </si>
  <si>
    <t>proximity_base.fcpx</t>
  </si>
  <si>
    <t>3531A68D-7686-44B7-A3A5-67AFDA8467DC</t>
  </si>
  <si>
    <t>quadenc.fcpx</t>
  </si>
  <si>
    <t>Reed Switch</t>
  </si>
  <si>
    <t>1C8BC72F-4944-4456-AF99-9686C237D6B3</t>
  </si>
  <si>
    <t>reed_switch.fcpx</t>
  </si>
  <si>
    <t>LED (Generic RGB)</t>
  </si>
  <si>
    <t>1FB787A5-54FB-4847-9299-3ADBF9927B59</t>
  </si>
  <si>
    <t>rgb_led.fcpx</t>
  </si>
  <si>
    <t>Real Time Clock (MCP7940N)</t>
  </si>
  <si>
    <t>C48DFDEB-1177-4381-86DD-D7A98FEFEB7A</t>
  </si>
  <si>
    <t>rtc_mcp7940n.fcpx</t>
  </si>
  <si>
    <t>A7C1210D-3637-4A18-A6B3-9414EE73B179</t>
  </si>
  <si>
    <t>scada_uart.fcpx</t>
  </si>
  <si>
    <t>Scale Linear Template</t>
  </si>
  <si>
    <t>34671299-61E7-40D8-AAC1-E33C93759D73</t>
  </si>
  <si>
    <t>scale_linear.fcpx</t>
  </si>
  <si>
    <t>Data Recorder Setup</t>
  </si>
  <si>
    <t>33B1E2C6-5509-40BF-A464-167EDCBCF571</t>
  </si>
  <si>
    <t>scopeview.fcpx</t>
  </si>
  <si>
    <t>Serial EEPROM (24C01 - 24C16)</t>
  </si>
  <si>
    <t>FDB712E0-3861-4E64-9C68-67EADE64B089</t>
  </si>
  <si>
    <t>serial_24c16.fcpx</t>
  </si>
  <si>
    <t>Serial EEPROM (24C32)</t>
  </si>
  <si>
    <t>35934F36-5CDA-49E7-B1A0-05C85722D858</t>
  </si>
  <si>
    <t>serial_eeprom.fcpx</t>
  </si>
  <si>
    <t>Serial EEPROM (24LC512)</t>
  </si>
  <si>
    <t>4D9912C0-0F17-4FBE-9C76-09331167A886</t>
  </si>
  <si>
    <t>serial_eeprom512.fcpx</t>
  </si>
  <si>
    <t>Servo Motor Template</t>
  </si>
  <si>
    <t>FBAD3C39-8C38-49B7-A860-AE37E9B979A2</t>
  </si>
  <si>
    <t>servo_base.fcpx</t>
  </si>
  <si>
    <t>Bowl</t>
  </si>
  <si>
    <t>BEA47EE6-07BE-4545-A699-50C160EA12C0</t>
  </si>
  <si>
    <t>shape_bowl.fcpx</t>
  </si>
  <si>
    <t>Cone</t>
  </si>
  <si>
    <t>18D0ECEA-755F-43F7-9444-9DC9EFAF859F</t>
  </si>
  <si>
    <t>shape_cone.fcpx</t>
  </si>
  <si>
    <t>Cuboid</t>
  </si>
  <si>
    <t>4CBAE05A-FEE8-4685-B94C-829ABC3466AB</t>
  </si>
  <si>
    <t>shape_cuboid.fcpx</t>
  </si>
  <si>
    <t>Cylinder</t>
  </si>
  <si>
    <t>C87D4BFD-6D1B-45EA-83B4-63250326B329</t>
  </si>
  <si>
    <t>shape_cylinder.fcpx</t>
  </si>
  <si>
    <t>Diamond</t>
  </si>
  <si>
    <t>A7B268FB-4991-4AB8-B394-C1D6997C7422</t>
  </si>
  <si>
    <t>shape_diamond.fcpx</t>
  </si>
  <si>
    <t>Ellipse</t>
  </si>
  <si>
    <t>93C4EFFE-9D15-4A15-A750-F47D206143A7</t>
  </si>
  <si>
    <t>shape_ellipse.fcpx</t>
  </si>
  <si>
    <t>Hemisphere</t>
  </si>
  <si>
    <t>B8BF4AA3-E477-4D95-9592-F7F609357658</t>
  </si>
  <si>
    <t>shape_hemisphere.fcpx</t>
  </si>
  <si>
    <t>Honeycomb</t>
  </si>
  <si>
    <t>296EC9FD-CF9B-4338-BB42-B92E4326AF25</t>
  </si>
  <si>
    <t>shape_honeycomb.fcpx</t>
  </si>
  <si>
    <t>Label</t>
  </si>
  <si>
    <t>9A971EE1-28E0-4E47-9C09-71268383FC75</t>
  </si>
  <si>
    <t>shape_label.fcpx</t>
  </si>
  <si>
    <t>Line</t>
  </si>
  <si>
    <t>3A376EF4-ADA5-4D3F-B255-2CF7139F051D</t>
  </si>
  <si>
    <t>shape_line.fcpx</t>
  </si>
  <si>
    <t>Prism</t>
  </si>
  <si>
    <t>783AF32A-4D8C-466C-938D-7B3C97E76E83</t>
  </si>
  <si>
    <t>shape_prism.fcpx</t>
  </si>
  <si>
    <t>Pyramid</t>
  </si>
  <si>
    <t>7A7F8ADF-6B2A-4594-A511-94D47124A465</t>
  </si>
  <si>
    <t>shape_pyramid.fcpx</t>
  </si>
  <si>
    <t>Rectangle</t>
  </si>
  <si>
    <t>9EC41243-060F-42C3-93B0-DE81ADA331FA</t>
  </si>
  <si>
    <t>shape_rectangle.fcpx</t>
  </si>
  <si>
    <t>Rounded rectangle</t>
  </si>
  <si>
    <t>8583543F-4A30-428C-BAA1-699145E36314</t>
  </si>
  <si>
    <t>shape_rounded_rectangle.fcpx</t>
  </si>
  <si>
    <t>Sphere</t>
  </si>
  <si>
    <t>B295124A-85EC-4FAE-943F-347BB2C50311</t>
  </si>
  <si>
    <t>shape_sphere.fcpx</t>
  </si>
  <si>
    <t>Textbox</t>
  </si>
  <si>
    <t>16D8B52E-CA01-4309-9AFB-5E265B4AE1CA</t>
  </si>
  <si>
    <t>shape_textbox.fcpx</t>
  </si>
  <si>
    <t>Tube</t>
  </si>
  <si>
    <t>50C4286C-9896-48BD-8B7B-AB5D10540A1A</t>
  </si>
  <si>
    <t>shape_tube.fcpx</t>
  </si>
  <si>
    <t>Simulation External Input</t>
  </si>
  <si>
    <t>B9CD8FBE-D082-4FE3-B1A0-D6F33F8AF028</t>
  </si>
  <si>
    <t>sim_ext_input.fcpx</t>
  </si>
  <si>
    <t>Simulation LED Template</t>
  </si>
  <si>
    <t>1BDD06A6-FC18-4990-917D-004C430F855E</t>
  </si>
  <si>
    <t>sim_led_base.fcpx</t>
  </si>
  <si>
    <t>Simulation Switch Template</t>
  </si>
  <si>
    <t>3BDCB2E0-ED44-451F-9889-66F316359482</t>
  </si>
  <si>
    <t>sim_switch.fcpx</t>
  </si>
  <si>
    <t>Potentiometer (Slider)</t>
  </si>
  <si>
    <t>1A8C2BB7-8BED-4A1C-9186-BA24688C8840</t>
  </si>
  <si>
    <t>slider_plastic.fcpx</t>
  </si>
  <si>
    <t>Solenoid Template</t>
  </si>
  <si>
    <t>EB1DB17A-1C6C-44EF-84D0-D718549343C4</t>
  </si>
  <si>
    <t>solenoid_base.fcpx</t>
  </si>
  <si>
    <t>Solenoid DC</t>
  </si>
  <si>
    <t>1AC8AE8B-BCD2-493F-B516-36DACB3695F9</t>
  </si>
  <si>
    <t>solenoid_dc1.fcpx</t>
  </si>
  <si>
    <t>Servo Motor (Standard)</t>
  </si>
  <si>
    <t>CC031290-2255-4E8D-B382-1998C8DDA95A</t>
  </si>
  <si>
    <t>standard_servo.fcpx</t>
  </si>
  <si>
    <t>Stepper Motor Template</t>
  </si>
  <si>
    <t>FAF668B1-A0E6-426F-B1EF-9D4F8E54D784</t>
  </si>
  <si>
    <t>stepper_base.fcpx</t>
  </si>
  <si>
    <t>Stepper Motor (Generic)</t>
  </si>
  <si>
    <t>CFD176DC-A2C1-4DAD-AC45-117781624C82</t>
  </si>
  <si>
    <t>stepper_generic.fcpx</t>
  </si>
  <si>
    <t>Stepper Motor (NEMA8)</t>
  </si>
  <si>
    <t>23F522D8-3986-4482-A2DD-EAC5E407C0D6</t>
  </si>
  <si>
    <t>stepper_nema8.fcpx</t>
  </si>
  <si>
    <t>Switch (Microswitch)</t>
  </si>
  <si>
    <t>6F2C4205-6A87-46BA-A8B4-8C869E144FCD</t>
  </si>
  <si>
    <t>sw_micro_roller.fcpx</t>
  </si>
  <si>
    <t>Switch (Push PCB SMT)</t>
  </si>
  <si>
    <t>26732594-AD79-472F-80FF-95D365B3B252</t>
  </si>
  <si>
    <t>sw_push_pcb.fcpx</t>
  </si>
  <si>
    <t>Sim Switch (Push PCB SMT)</t>
  </si>
  <si>
    <t>3E62CD96-C0E2-47A3-9FF2-CB448AD09ACF</t>
  </si>
  <si>
    <t>sw_push_pcb_sim.fcpx</t>
  </si>
  <si>
    <t>Switch (Push Panel)</t>
  </si>
  <si>
    <t>5C1DA48F-CE54-4622-BDD9-FC812E373696</t>
  </si>
  <si>
    <t>sw_push_rnd_pnl.fcpx</t>
  </si>
  <si>
    <t>Switch Illuminated (Push Panel)</t>
  </si>
  <si>
    <t>B39FF9FD-430A-45DD-888A-07F1D83A9792</t>
  </si>
  <si>
    <t>sw_push_rnd_pnl_illuminated.fcpx</t>
  </si>
  <si>
    <t>Switch (Rocker)</t>
  </si>
  <si>
    <t>42CB88B2-E965-4A49-893C-64EB001FC861</t>
  </si>
  <si>
    <t>sw_rocker_neon.fcpx</t>
  </si>
  <si>
    <t>Switch (Slide PCB)</t>
  </si>
  <si>
    <t>7A287A58-CBA5-42AD-B8A5-58694D7F678A</t>
  </si>
  <si>
    <t>sw_slide_sub_pcb.fcpx</t>
  </si>
  <si>
    <t>Switch (Toggle PCB)</t>
  </si>
  <si>
    <t>C6C91999-1FE0-414E-B6AA-0A7DDC9A6417</t>
  </si>
  <si>
    <t>sw_toggle_mtl_pcb.fcpx</t>
  </si>
  <si>
    <t>Switch (Toggle Panel)</t>
  </si>
  <si>
    <t>E8F04AF0-03D9-4B1C-83D3-9D0B1DC0F80A</t>
  </si>
  <si>
    <t>sw_toggle_mtl_pnl.fcpx</t>
  </si>
  <si>
    <t>Switch Template</t>
  </si>
  <si>
    <t>953A042A-B2AA-4F2E-94E2-EE2979CFC92E</t>
  </si>
  <si>
    <t>switch.fcpx</t>
  </si>
  <si>
    <t>Switch Array Template</t>
  </si>
  <si>
    <t>C0DF38EE-7A7E-4A0A-BFD5-5A7745203826</t>
  </si>
  <si>
    <t>switch_array.fcpx</t>
  </si>
  <si>
    <t>Switch Array (Push)</t>
  </si>
  <si>
    <t>208101FB-F735-4E83-980B-C1D2B4BE28FF</t>
  </si>
  <si>
    <t>switch_array_push.fcpx</t>
  </si>
  <si>
    <t>Switch Array (Slide)</t>
  </si>
  <si>
    <t>4AC72986-AD7D-49CE-AFE5-9128831DEBC9</t>
  </si>
  <si>
    <t>switch_array_slide.fcpx</t>
  </si>
  <si>
    <t>4772EA31-C5FB-4AC1-8AEF-C9385A0E9A53</t>
  </si>
  <si>
    <t>switch_eb007.fcpx</t>
  </si>
  <si>
    <t>XML JSON Parser</t>
  </si>
  <si>
    <t>F54FA744-5AF4-4C08-BDB9-FB31848A2B63</t>
  </si>
  <si>
    <t>xmlparser.fcpx</t>
  </si>
  <si>
    <t>Y</t>
  </si>
  <si>
    <t>Console Required</t>
  </si>
  <si>
    <t>Comms Ind</t>
  </si>
  <si>
    <t>Provide (Left) Icon</t>
  </si>
  <si>
    <t>Borrow (Right) Icon</t>
  </si>
  <si>
    <t>Component Uploaded to OneDrive</t>
  </si>
  <si>
    <t>N</t>
  </si>
  <si>
    <t>Martins Comments</t>
  </si>
  <si>
    <t>Bens Comments</t>
  </si>
  <si>
    <t>Select</t>
  </si>
  <si>
    <t>None</t>
  </si>
  <si>
    <t>NetComms</t>
  </si>
  <si>
    <t>File</t>
  </si>
  <si>
    <t>API</t>
  </si>
  <si>
    <t>*UART Cal not loading for me, Is for Ben. Started from scratch still the same on a new PC + installation. Console Icon &amp; console  Not  appearing. Would recommend Ben creating new component.  Fixed Console handle  &amp; changed properties: injector to API Componet  15/6/21</t>
  </si>
  <si>
    <t>Unable to find component icon - Fixed</t>
  </si>
  <si>
    <t>N (not yet)</t>
  </si>
  <si>
    <t xml:space="preserve"> FCPX Name</t>
  </si>
  <si>
    <t xml:space="preserve"> ComponentPack</t>
  </si>
  <si>
    <t xml:space="preserve"> Cat0</t>
  </si>
  <si>
    <t xml:space="preserve"> Cat1</t>
  </si>
  <si>
    <t xml:space="preserve"> Cat2</t>
  </si>
  <si>
    <t xml:space="preserve"> Dynamic</t>
  </si>
  <si>
    <t xml:space="preserve"> Embedded</t>
  </si>
  <si>
    <t xml:space="preserve"> AppDeveloper</t>
  </si>
  <si>
    <t>Components\IO_Source\outputs\DAC_AD5662.fcfx</t>
  </si>
  <si>
    <t>ANALOG OUTPUT</t>
  </si>
  <si>
    <t>Components\IO_Source\adc\ExternalADC_AD7680.fcfx</t>
  </si>
  <si>
    <t>ANALOG INPUT</t>
  </si>
  <si>
    <t>Components\IO_Source\adc\ExternalADC_AD7680_EB085.fcfx</t>
  </si>
  <si>
    <t>E-BLOCKS 1</t>
  </si>
  <si>
    <t>Components\IO_Source\adc\ExternalADC_MCP356X.fcfx</t>
  </si>
  <si>
    <t>Components\IO_Source\Sensors\AMG88.fcfx</t>
  </si>
  <si>
    <t>LIGHT</t>
  </si>
  <si>
    <t>Components\IO_Source\Sensors\Accelerometer_EB068.fcfx</t>
  </si>
  <si>
    <t>Components\IO_Source\Sensors\Accelerometer_LIS3LV0DQ.fcfx</t>
  </si>
  <si>
    <t>MOVEMENT &amp;AMP; ORIENTATION</t>
  </si>
  <si>
    <t>Components\IO_Source\Sensors\Accelerometer_MMA8452Q.fcfx</t>
  </si>
  <si>
    <t>Components\IO_Source\Sensors\AmbientLight_BH1750FVI.fcfx</t>
  </si>
  <si>
    <t>Components\IO_Source\2dGDI\ChartArea.fcfx</t>
  </si>
  <si>
    <t>CHARTS</t>
  </si>
  <si>
    <t xml:space="preserve">CHARTS </t>
  </si>
  <si>
    <t>Components\IO_Source\AutoVersionID.fcfx</t>
  </si>
  <si>
    <t>Components\IO_Source\IoT\BBCNews.fcfx</t>
  </si>
  <si>
    <t>COMMS: IOT/CLOUD</t>
  </si>
  <si>
    <t>Components\IO_Source\IoT\BBCWeatherObservation.fcfx</t>
  </si>
  <si>
    <t>Components\IO_Source\IoT\BBCWeatherForecast.fcfx</t>
  </si>
  <si>
    <t>Components\IO_Source\2dGDI\ChartBar.fcfx</t>
  </si>
  <si>
    <t>Components\IO_Source\Sensors\Pressure_Sensor_DPS310.fcfx</t>
  </si>
  <si>
    <t>ENVIRONMENTAL</t>
  </si>
  <si>
    <t>Components\IO_Source\2dGDI\Base2dChart.fcfx</t>
  </si>
  <si>
    <t>DEVELOPMENT</t>
  </si>
  <si>
    <t>Components\IO_Source\2dGDI\Base2dGauge.fcfx</t>
  </si>
  <si>
    <t>Components\IO_Source\2dGDI\Base2dObject.fcfx</t>
  </si>
  <si>
    <t>Components\IO_Source\2dGDI\Base2dStatic.fcfx</t>
  </si>
  <si>
    <t>Components\IO_Source\Storage\Base64.fcfx</t>
  </si>
  <si>
    <t xml:space="preserve">STORAGE </t>
  </si>
  <si>
    <t>Components\IO_Source\displays\glcd_base.fcfx</t>
  </si>
  <si>
    <t>GRAPHICAL</t>
  </si>
  <si>
    <t>Components\IO_Source\PCBs\BasicIOShieldPCBCompSource.fcfx</t>
  </si>
  <si>
    <t>MISC</t>
  </si>
  <si>
    <t>Components\IO_Source\2dGDI\bevel2d.fcfx</t>
  </si>
  <si>
    <t>2D SHAPES</t>
  </si>
  <si>
    <t>Components\IO_Source\displays\GLCD_Draw_Bitmap.fcfx</t>
  </si>
  <si>
    <t>GRAPHICAL LIBRARY</t>
  </si>
  <si>
    <t>Components\IO_Source\displays\GLCD_Draw_Bitmap_FAT.fcfx</t>
  </si>
  <si>
    <t>Components\IO_Source\Bluetooth_V2.fcfx</t>
  </si>
  <si>
    <t>WIRELESS</t>
  </si>
  <si>
    <t>Components\IO_Source\EB2\EBlocks2_Bluetooth_RN4677_BL0170.fcfx</t>
  </si>
  <si>
    <t>E-BLOCKS 2</t>
  </si>
  <si>
    <t>Components\IO_Source\Bluetooth_RN4677.fcfx</t>
  </si>
  <si>
    <t>Components\IO_Source\BTHC05.fcfx</t>
  </si>
  <si>
    <t>Components\IO_Source\Bluetooth_ESP32_SPP.fcfx</t>
  </si>
  <si>
    <t>Components\IO_Source\mechatronics\BrushlessMotor.fcfx</t>
  </si>
  <si>
    <t>Components\IO_Source\2dGDI\ChartBubble.fcfx</t>
  </si>
  <si>
    <t>Components\IO_Source\outputs\Buzzer.fcfx</t>
  </si>
  <si>
    <t>AUDIO OUTPUT</t>
  </si>
  <si>
    <t>Components\IO_Source\CAN.fcfx</t>
  </si>
  <si>
    <t>COMMS: INTERFACE</t>
  </si>
  <si>
    <t xml:space="preserve">COMMS: INTERFACE </t>
  </si>
  <si>
    <t>Components\IO_Source\mechatronics\Electro Mechanical\CNC Source Files\CNCComponent_v002.fcfx</t>
  </si>
  <si>
    <t>SCENARIOS</t>
  </si>
  <si>
    <t>Components\IO_Source\Serial_DLL.fcfx</t>
  </si>
  <si>
    <t>RUNTIME TOOLS</t>
  </si>
  <si>
    <t>Components\IO_Source\SCADA\CSV_Writer.fcfx</t>
  </si>
  <si>
    <t>Components\IO_Source\mechatronics\Electro Mechanical\Car Seat Source Files\CarSeatSource_v004.fcfx</t>
  </si>
  <si>
    <t>Components\IO_Source\2dGDI\ChartXY.fcfx</t>
  </si>
  <si>
    <t>Components\IO_Source\ChipComponent.fcfx</t>
  </si>
  <si>
    <t>ADVANCED SHAPES</t>
  </si>
  <si>
    <t>Components\IO_Source\Storage\CircularBuffer.fcfx</t>
  </si>
  <si>
    <t>Components\IO_Source\Storage\CircularBuffer16.fcfx</t>
  </si>
  <si>
    <t>Components\IO_Source\Storage\CircularBufferFloat.fcfx</t>
  </si>
  <si>
    <t>Components\IO_Source\2dGDI\CircularGauge.fcfx</t>
  </si>
  <si>
    <t>INDICATORS</t>
  </si>
  <si>
    <t xml:space="preserve">INDICATORS </t>
  </si>
  <si>
    <t>Components\IO_Source\2dGDI\CircularKnob.fcfx</t>
  </si>
  <si>
    <t>CONTROLS</t>
  </si>
  <si>
    <t xml:space="preserve">CONTROLS </t>
  </si>
  <si>
    <t>Components\IO_Source\Sensors\Colour_TCS3200.fcfx</t>
  </si>
  <si>
    <t>Components\IO_Source\2dGDI\ChartColumn.fcfx</t>
  </si>
  <si>
    <t>Components\IO_Source\ComboBoard\EB086 DEMO.fcfx</t>
  </si>
  <si>
    <t>Components\IO_Source\EB2\EBlocks2_COMBO_BL0114.fcfx</t>
  </si>
  <si>
    <t>Components\IO_Source\SCADA\ConsoleText.fcfx</t>
  </si>
  <si>
    <t>Components\IO_Source\SCADA\ConsoleWriter.fcfx</t>
  </si>
  <si>
    <t>Components\IO_Source\mechatronics\Coupling.fcfx</t>
  </si>
  <si>
    <t>Components\IO_Source\PCBs\CuriosityComponentPCBSource.fcfx</t>
  </si>
  <si>
    <t>Components\IO_Source\outputs\DAC_AD5662_EB086.fcfx</t>
  </si>
  <si>
    <t>Components\IO_Source\outputs\DAC_MCP4725.fcfx</t>
  </si>
  <si>
    <t>Components\IO_Source\outputs\DAC_MCP47x6.fcfx</t>
  </si>
  <si>
    <t>Components\IO_Source\outputs\DAC_MCP48x1.fcfx</t>
  </si>
  <si>
    <t>Components\CAL_Source\DAC.fcfx</t>
  </si>
  <si>
    <t>Components\IO_Source\outputs\DAC_MCP49x1.fcfx</t>
  </si>
  <si>
    <t>Components\IO_Source\outputs\DAC_MCP49x2.fcfx</t>
  </si>
  <si>
    <t>Components\IO_Source\outputs\DAC_MCP48x2.fcfx</t>
  </si>
  <si>
    <t>Components\IO_Source\outputs\DAC_MCP4728.fcfx</t>
  </si>
  <si>
    <t>Components\IO_Source\DALI Master.fcfx</t>
  </si>
  <si>
    <t>COMMS: SYSTEM</t>
  </si>
  <si>
    <t>Components\IO_Source\DALI Slave.fcfx</t>
  </si>
  <si>
    <t>Components\IO_Source\DFPlayer.fcfx</t>
  </si>
  <si>
    <t>Components\IO_Source\Sensors\DHT11.fcfx</t>
  </si>
  <si>
    <t>Components\IO_Source\Sensors\DHT22.fcfx</t>
  </si>
  <si>
    <t>Components\IO_Source\DMX-512 Master.fcfx</t>
  </si>
  <si>
    <t>Components\IO_Source\DMX-512 Slave.fcfx</t>
  </si>
  <si>
    <t>Components\IO_Source\DSP\DSP_ADCInput.fcfx</t>
  </si>
  <si>
    <t>Components\IO_Source\DSP\DSP_PIDControl.fcfx</t>
  </si>
  <si>
    <t>Components\IO_Source\DSP\DSP_DAC.fcfx</t>
  </si>
  <si>
    <t>Components\IO_Source\DSP\DSP_Deinterlace.fcfx</t>
  </si>
  <si>
    <t>Components\IO_Source\DSP\DSP_Delay.fcfx</t>
  </si>
  <si>
    <t>Components\IO_Source\DSP\DSP_FFT.fcfx</t>
  </si>
  <si>
    <t>Components\IO_Source\DSP\DSP_Filter.fcfx</t>
  </si>
  <si>
    <t>Components\IO_Source\DSP\DSP_Wave_Gen.fcfx</t>
  </si>
  <si>
    <t>Components\IO_Source\DSP\DSP_Input.fcfx</t>
  </si>
  <si>
    <t>Components\IO_Source\DSP\DSP_FileInput.fcfx</t>
  </si>
  <si>
    <t>Components\IO_Source\DSP\DSP_InputPin.fcfx</t>
  </si>
  <si>
    <t>Components\IO_Source\DSP\DSP_Interlace.fcfx</t>
  </si>
  <si>
    <t>Components\IO_Source\DSP\DSP_Kalman.fcfx</t>
  </si>
  <si>
    <t>Components\IO_Source\DSP\DSP_Level.fcfx</t>
  </si>
  <si>
    <t>Components\IO_Source\DSP\DSP_Math.fcfx</t>
  </si>
  <si>
    <t>Components\IO_Source\DSP\DSP_Median.fcfx</t>
  </si>
  <si>
    <t>Components\IO_Source\DSP\DSP_Mpx.fcfx</t>
  </si>
  <si>
    <t>Components\IO_Source\DSP\DSP_Offset.fcfx</t>
  </si>
  <si>
    <t>Components\IO_Source\DSP\DSP_OnOffControl.fcfx</t>
  </si>
  <si>
    <t>Components\IO_Source\DSP\DSP_Output.fcfx</t>
  </si>
  <si>
    <t>Components\IO_Source\DSP\DSP_FileOutput.fcfx</t>
  </si>
  <si>
    <t>Components\IO_Source\DSP\DSP_OutputPin.fcfx</t>
  </si>
  <si>
    <t>Components\IO_Source\DSP\DSP_PWM.fcfx</t>
  </si>
  <si>
    <t>Components\IO_Source\DSP\DSP_Rectifier.fcfx</t>
  </si>
  <si>
    <t>Components\IO_Source\DSP\DSP_Scale.fcfx</t>
  </si>
  <si>
    <t>Components\IO_Source\DSP\DSP_SimLoad.fcfx</t>
  </si>
  <si>
    <t>Components\IO_Source\2dGDI\ChartSpreadsheet.fcfx</t>
  </si>
  <si>
    <t>Components\IO_Source\2dGDI\ChartSpreadsheetB.fcfx</t>
  </si>
  <si>
    <t>Components\IO_Source\DebugPrint.fcfx</t>
  </si>
  <si>
    <t>Components\Ctrl_Source\Device Helper.fcfx</t>
  </si>
  <si>
    <t>MATRIX TOOLS</t>
  </si>
  <si>
    <t>Components\IO_Source\SCADA\Dialogues.fcsx</t>
  </si>
  <si>
    <t>Components\IO_Source\outputs\Grove 4_Digit_Display.fcfx</t>
  </si>
  <si>
    <t>SEGMENT</t>
  </si>
  <si>
    <t>Components\IO_Source\SCADA\Valve.fcfx</t>
  </si>
  <si>
    <t>INDUSTRIAL</t>
  </si>
  <si>
    <t>Components\IO_Source\displays\DisplayManager.fcfx</t>
  </si>
  <si>
    <t>Components\Ctrl_Source\DynamicTextField.fcfx</t>
  </si>
  <si>
    <t>Components\IO_Source\CapTouchEB088.fcfx</t>
  </si>
  <si>
    <t>Components\Ctrl_Source\E-block2 Helper.fcfx</t>
  </si>
  <si>
    <t>Components\Ctrl_Source\E-block Helper.fcfx</t>
  </si>
  <si>
    <t>Components\IO_Source\Sensors\EBM002v1.fcfx</t>
  </si>
  <si>
    <t>EBM MODULES</t>
  </si>
  <si>
    <t>Components\IO_Source\Sensors\EBM003v1.fcfx</t>
  </si>
  <si>
    <t>Components\IO_Source\Sensors\EBM004v1.fcfx</t>
  </si>
  <si>
    <t>Components\IO_Source\Sensors\EBM006v1.fcfx</t>
  </si>
  <si>
    <t>Components\IO_Source\Sensors\EBM007v2.fcfx</t>
  </si>
  <si>
    <t>Components\IO_Source\Sensors\EBM008v1.fcfx</t>
  </si>
  <si>
    <t>Components\IO_Source\Sensors\EBM009v1.fcfx</t>
  </si>
  <si>
    <t>Components\IO_Source\Sensors\EBM011v1.fcfx</t>
  </si>
  <si>
    <t>Components\IO_Source\Sensors\EBM012v1.fcfx</t>
  </si>
  <si>
    <t>Components\IO_Source\Sensors\EBM013v5.fcfx</t>
  </si>
  <si>
    <t>Components\IO_Source\Sensors\EBM014v2.fcfx</t>
  </si>
  <si>
    <t>Components\IO_Source\Sensors\EBM015v1 Magnetometer.fcfx</t>
  </si>
  <si>
    <t>Components\IO_Source\Sensors\EBM016v1.fcfx</t>
  </si>
  <si>
    <t>Components\IO_Source\Sensors\EBM018v2.fcfx</t>
  </si>
  <si>
    <t>Components\IO_Source\Sensors\EBM019v1.fcfx</t>
  </si>
  <si>
    <t>Components\IO_Source\Sensors\EBM020v1.fcfx</t>
  </si>
  <si>
    <t>Components\CAL_Source\RMT.fcfx</t>
  </si>
  <si>
    <t>Components\IO_Source\Storage\EmbedFile.fcfx</t>
  </si>
  <si>
    <t>Components\IO_Source\IoT\EasyCat.fcfx</t>
  </si>
  <si>
    <t>Components\IO_Source\SCADA\EventLog.fcfx</t>
  </si>
  <si>
    <t>Components\IO_Source\SCADA\EventTrigger.fcfx</t>
  </si>
  <si>
    <t>Components\IO_Source\FAT Component\FAT.fcfx</t>
  </si>
  <si>
    <t>Components\IO_Source\SCADA\File.fcsx</t>
  </si>
  <si>
    <t>Components\IO_Source\mechatronics\FF Racetrack.fcfx</t>
  </si>
  <si>
    <t>Components\IO_Source\FT6X36TouchScreenController.fcfx</t>
  </si>
  <si>
    <t>FORCE</t>
  </si>
  <si>
    <t>Components\IO_Source\FTDI-FT800.fcfx</t>
  </si>
  <si>
    <t>THIRD PARTY</t>
  </si>
  <si>
    <t>Components\IO_Source\SCADA\FanPump.fcfx</t>
  </si>
  <si>
    <t>Components\IO_Source\Shapes\Shape_Fence.fcfx</t>
  </si>
  <si>
    <t>MISC SHAPES</t>
  </si>
  <si>
    <t>Components\IO_Source\Storage\FlashEE.fcfx</t>
  </si>
  <si>
    <t>Components\IO_Source\Storage\SerialFlash_W25Q.fcfx</t>
  </si>
  <si>
    <t>ALLCODE</t>
  </si>
  <si>
    <t>Components\IO_Source\FormulaFlowcode2\FA_Source_P4.fcfx</t>
  </si>
  <si>
    <t>ROBOTICS</t>
  </si>
  <si>
    <t>Components\IO_Source\mechatronics\FormulaFlowcode.fcfx</t>
  </si>
  <si>
    <t>Components\IO_Source\G-Code_Parser.fcfx</t>
  </si>
  <si>
    <t>Components\IO_Source\displays\glcd_RPi.fcfx</t>
  </si>
  <si>
    <t>GRAPHICAL COLOR</t>
  </si>
  <si>
    <t>Components\IO_Source\displays\glcd_STM32F429ZI.fcfx</t>
  </si>
  <si>
    <t>Components\IO_Source\GPS.fcfx</t>
  </si>
  <si>
    <t>Components\IO_Source\GSM.fcfx</t>
  </si>
  <si>
    <t>Components\IO_Source\GameCode\GameCode_Master.fcfx</t>
  </si>
  <si>
    <t>MISC CIRCUIT</t>
  </si>
  <si>
    <t xml:space="preserve">UART SPI SPI </t>
  </si>
  <si>
    <t>Components\IO_Source\mechatronics\GearBox.fcfx</t>
  </si>
  <si>
    <t>Components\IO_Source\displays\GLCD_Graph.fcfx</t>
  </si>
  <si>
    <t>Components\IO_Source\mechatronics\Grey Code Encoder.fcfx</t>
  </si>
  <si>
    <t>GENERAL INPUT</t>
  </si>
  <si>
    <t>Components\IO_Source\Sensors\GroveIRTemp.fcfx</t>
  </si>
  <si>
    <t>Components\IO_Source\Grove\6-Axis Accelerometer &amp; Gyroscope.fcfx</t>
  </si>
  <si>
    <t>Components\IO_Source\Grove\Grove Barometer Sensor BMP280.fcfx</t>
  </si>
  <si>
    <t>Components\IO_Source\Grove\Chainable RGB LED v2.0.fcfx</t>
  </si>
  <si>
    <t>LEDS</t>
  </si>
  <si>
    <t>Components\IO_Source\Grove\Grove_DHT22.fcfx</t>
  </si>
  <si>
    <t>Components\IO_Source\Grove\Heelight Sensor.fcfx</t>
  </si>
  <si>
    <t>AUDIO</t>
  </si>
  <si>
    <t>Components\IO_Source\Grove\Grove_SHT31.fcfx</t>
  </si>
  <si>
    <t>Components\IO_Source\Grove\I2C Colour Sensor.fcfx</t>
  </si>
  <si>
    <t>Components\IO_Source\Grove\Infrared Reflective Sensor.fcfx</t>
  </si>
  <si>
    <t>Components\IO_Source\Grove\LED Bar v2.0.fcfx</t>
  </si>
  <si>
    <t>Components\IO_Source\Grove\Light Sensor.fcfx</t>
  </si>
  <si>
    <t>Components\IO_Source\Grove\PIR Motion Sensor.fcfx</t>
  </si>
  <si>
    <t>Components\IO_Source\Grove\Relay.fcfx</t>
  </si>
  <si>
    <t>GENERAL OUTPUT</t>
  </si>
  <si>
    <t>Components\IO_Source\Grove\Rotary Angle Sensor.fcfx</t>
  </si>
  <si>
    <t>Components\IO_Source\Grove\Sound Sensor.fcfx</t>
  </si>
  <si>
    <t>Components\IO_Source\Grove\TemperatureSensor.fcfx</t>
  </si>
  <si>
    <t>Components\IO_Source\Grove\Ultrasonic Ranger.fcfx</t>
  </si>
  <si>
    <t>Components\IO_Source\Grove\Grove Water Sensor.fcfx</t>
  </si>
  <si>
    <t>Components\IO_Source\Sensors\Gyroscope_L3GD20_SPI.fcfx</t>
  </si>
  <si>
    <t>Components\IO_Source\Sensors\Magnetometer_HMC5883.fcfx</t>
  </si>
  <si>
    <t>Components\IO_Source\Sensors\Humidity_HTS221.fcfx</t>
  </si>
  <si>
    <t>Components\IO_Source\Sensors\HX711.fcfx</t>
  </si>
  <si>
    <t>Components\IO_Source\Sensors\HallEffect_Analog.fcfx</t>
  </si>
  <si>
    <t>MAGNETIC</t>
  </si>
  <si>
    <t>Components\IO_Source\Sensors\HallEffect_Digital.fcfx</t>
  </si>
  <si>
    <t>Components\IO_Source\SCADA\Hopper.fcfx</t>
  </si>
  <si>
    <t>Components\IO_Source\Sensors\Humidity_SHT21.fcfx</t>
  </si>
  <si>
    <t>Components\IO_Source\Sensors\Humidity_SHT31.fcfx</t>
  </si>
  <si>
    <t>I2C Multiplexer (TCA9548A)</t>
  </si>
  <si>
    <t>5915B437-6925-4D90-A0F8-F91702837BDB</t>
  </si>
  <si>
    <t>I2CMultiplex.fcpx</t>
  </si>
  <si>
    <t>Components\IO_Source\I2C_Multiplexer_TCA9548A.fcfx</t>
  </si>
  <si>
    <t>Components\IO_Source\I2C_Master.fcfx</t>
  </si>
  <si>
    <t>Components\IO_Source\I2C_Slave.fcfx</t>
  </si>
  <si>
    <t>Components\CAL_Source\I2S.fcfx</t>
  </si>
  <si>
    <t xml:space="preserve">I2S </t>
  </si>
  <si>
    <t>Components\IO_Source\2dGDI\Image.fcfx</t>
  </si>
  <si>
    <t>Components\IO_Source\Injectors\InjectorAT.fcfx</t>
  </si>
  <si>
    <t>TEST INJECTORS</t>
  </si>
  <si>
    <t>Components\IO_Source\Injectors\InjectorBase.fcfx</t>
  </si>
  <si>
    <t>COMMS DATA INJECTORS</t>
  </si>
  <si>
    <t>Components\IO_Source\Injectors\InjectorCAN.fcfx</t>
  </si>
  <si>
    <t>Components\IO_Source\Injectors\InjectorCOM.fcfx</t>
  </si>
  <si>
    <t>Components\IO_Source\Injectors\InjectorDS1307.fcfx</t>
  </si>
  <si>
    <t>Components\IO_Source\Injectors\InjectorFile.fcfx</t>
  </si>
  <si>
    <t>Components\IO_Source\Injectors\InjectorGPS.fcfx</t>
  </si>
  <si>
    <t>Components\IO_Source\Injectors\InjectorHI.fcfx</t>
  </si>
  <si>
    <t>Components\IO_Source\Injectors\InjectorLoopback.fcfx</t>
  </si>
  <si>
    <t>Components\IO_Source\Injectors\InjectorSCADAAnalogInput.fcfx</t>
  </si>
  <si>
    <t>Components\IO_Source\Injectors\InjectorSCADADigitalInput.fcfx</t>
  </si>
  <si>
    <t>Components\IO_Source\Injectors\InjectorSCADADigitalOutput.fcfx</t>
  </si>
  <si>
    <t>Components\IO_Source\Injectors\InjectorSCADAI2C.fcfx</t>
  </si>
  <si>
    <t>Components\IO_Source\Injectors\InjectorSCADASPI.fcfx</t>
  </si>
  <si>
    <t>Components\IO_Source\Injectors\InjectorSCADAUART.fcfx</t>
  </si>
  <si>
    <t>Components\IO_Source\Injectors\InjectorVnet.fcfx</t>
  </si>
  <si>
    <t>Components\IO_Source\SCADA\DialogueInputs.fcsx</t>
  </si>
  <si>
    <t>Components\Ctrl_Source\IntOsc Helper.fcfx</t>
  </si>
  <si>
    <t>Components\IO_Source\IoT\IoTMadeEasy.fcfx</t>
  </si>
  <si>
    <t>Components\IO_Source\IrDA.fcfx</t>
  </si>
  <si>
    <t>Components\IO_Source\IsSim.fcfx</t>
  </si>
  <si>
    <t>Components\IO_Source\SCADA\Joystick.fcfx</t>
  </si>
  <si>
    <t>Components\IO_Source\Sparkfun\Sparkfun_Quiic_Joystick.fcfx</t>
  </si>
  <si>
    <t>Components\IO_Source\SCADA\Keyboard.fcfx</t>
  </si>
  <si>
    <t>Components\IO_Source\EB2\EBlocks2_KeyPad_BL0138.fcfx</t>
  </si>
  <si>
    <t>Components\IO_Source\Sensors\Gyroscope_L3G4200D.fcfx</t>
  </si>
  <si>
    <t>Components\IO_Source\Sensors\Gyroscope_L3GD20_I2C.fcfx</t>
  </si>
  <si>
    <t>Components\IO_Source\LoRa_Lambda.fcfx</t>
  </si>
  <si>
    <t>Components\IO_Source\displays\LCDv2.fcfx</t>
  </si>
  <si>
    <t>ALPHANUMERIC</t>
  </si>
  <si>
    <t>Components\IO_Source\displays\lcd_Adafruit_OLED.fcfx</t>
  </si>
  <si>
    <t>Components\IO_Source\displays\lcd_Adafruit_OLED2.fcfx</t>
  </si>
  <si>
    <t>Components\IO_Source\displays\LCD_I2C_LCM1602.fcfx</t>
  </si>
  <si>
    <t>Components\IO_Source\displays\LCD_SPI_MiniClick.fcfx</t>
  </si>
  <si>
    <t>Components\IO_Source\EB2\EBlocks2_LCD_BL0169.fcfx</t>
  </si>
  <si>
    <t>Components\IO_Source\outputs\LEDCUBE.fcfx</t>
  </si>
  <si>
    <t>Components\IO_Source\outputs\LED Matrix HT16K33.fcfx</t>
  </si>
  <si>
    <t>Components\IO_Source\outputs\LED Matrix Parrallel.fcfx</t>
  </si>
  <si>
    <t>Components\IO_Source\outputs\LED Matrix.fcfx</t>
  </si>
  <si>
    <t>Components\IO_Source\outputs\led_7seg_sim.fcfx</t>
  </si>
  <si>
    <t>Components\IO_Source\outputs\LED_APA102C.fcfx</t>
  </si>
  <si>
    <t>Components\IO_Source\EB2\EBlocks2_LED_BL0167.fcfx</t>
  </si>
  <si>
    <t>Components\IO_Source\outputs\LED_SK6812RGBW.fcfx</t>
  </si>
  <si>
    <t>Components\IO_Source\outputs\led_starburst_single.fcfx</t>
  </si>
  <si>
    <t>Components\IO_Source\outputs\LED_WS2801.fcfx</t>
  </si>
  <si>
    <t>Components\IO_Source\outputs\LED_WS2811.fcfx</t>
  </si>
  <si>
    <t>Components\IO_Source\Sensors\Temperature_LM75B.fcfx</t>
  </si>
  <si>
    <t>Components\IO_Source\Sensors\AccelMag_LSM303DLHC.fcfx</t>
  </si>
  <si>
    <t>Components\IO_Source\Sensors\Magnetometer_LSM303D.fcfx</t>
  </si>
  <si>
    <t>Components\IO_Source\Sensors\AccelMagGyro_LSM9DS1.fcfx</t>
  </si>
  <si>
    <t>Components\IO_Source\mechatronics\Electro Mechanical\Landing Gear Source Files\LandingGearComponent_v002.fcfx</t>
  </si>
  <si>
    <t>Components\IO_Source\Theme\LibraryComponent.fcfx</t>
  </si>
  <si>
    <t>Components\IO_Source\2dGDI\ChartLine.fcfx</t>
  </si>
  <si>
    <t>Components\IO_Source\mechatronics\LinearActuator.fcfx</t>
  </si>
  <si>
    <t>Components\IO_Source\2dGDI\LinearGauge.fcfx</t>
  </si>
  <si>
    <t>Components\IO_Source\2dGDI\LinearSlider.fcfx</t>
  </si>
  <si>
    <t>Components\IO_Source\SCADA\IndicatorLogo.fcfx</t>
  </si>
  <si>
    <t>Components\IO_Source\Sensors\ThermocoupleMAX31855.fcfx</t>
  </si>
  <si>
    <t>Components\IO_Source\MCP23017.fcfx</t>
  </si>
  <si>
    <t>Components\IO_Source\MCP23S17.fcfx</t>
  </si>
  <si>
    <t>Components\IO_Source\EB2\EBlocks2_IOEXP_BL0155.fcfx</t>
  </si>
  <si>
    <t>Components\IO_Source\outputs\MCP41xx_42xx_Digital_Pot.fcfx</t>
  </si>
  <si>
    <t>Components\IO_Source\outputs\MCP44xx_Digital_Pot.fcfx</t>
  </si>
  <si>
    <t>Components\IO_Source\outputs\MCP45xx_46xx_Digital_Pot.fcfx</t>
  </si>
  <si>
    <t>Components\IO_Source\Sensors\ThermocoupleMCP960X.fcfx</t>
  </si>
  <si>
    <t>Components\IO_Source\Sensors\MPU-6050.fcfx</t>
  </si>
  <si>
    <t>Components\IO_Source\Sensors\MPU-6886.fcfx</t>
  </si>
  <si>
    <t>Components\IO_Source\Sensors\AccelMagGyro_MPU9250.fcfx</t>
  </si>
  <si>
    <t>Components\IO_Source\IoT\MQTT_Client.fcfx</t>
  </si>
  <si>
    <t>Components\IO_Source\RowlandTech\MULTIUART.fcfx</t>
  </si>
  <si>
    <t>Components\IO_Source\Map-Function.fcfx</t>
  </si>
  <si>
    <t>Components\IO_Source\mechatronics\MazeGenerator.fcfx</t>
  </si>
  <si>
    <t>Components\IO_Source\Median.fcfx</t>
  </si>
  <si>
    <t>Components\IO_Source\MedianLong.fcfx</t>
  </si>
  <si>
    <t>Components\IO_Source\MedianFloat.fcfx</t>
  </si>
  <si>
    <t>Components\IO_Source\PCBs\44PinComponentPCBSource.fcfx</t>
  </si>
  <si>
    <t>Components\IO_Source\PCBs\LowPinComponentPCBSource.fcfx</t>
  </si>
  <si>
    <t>Components\IO_Source\Modbus.fcfx</t>
  </si>
  <si>
    <t>Components\IO_Source\SCADA\Modbus SCADA.fcsx</t>
  </si>
  <si>
    <t>Components\IO_Source\ModbusTCP.fcfx</t>
  </si>
  <si>
    <t>Components\IO_Source\ModbusSlave.fcfx</t>
  </si>
  <si>
    <t>Components\IO_Source\SCADA\Modbus Slave SCADA.fcsx</t>
  </si>
  <si>
    <t>Components\IO_Source\ModbusSlaveUSB.fcfx</t>
  </si>
  <si>
    <t>Components\IO_Source\ModbusSlaveTCP.fcfx</t>
  </si>
  <si>
    <t>Components\IO_Source\SCADA\Mouse.fcsx</t>
  </si>
  <si>
    <t>Components\IO_Source\NetworkComms.fcfx</t>
  </si>
  <si>
    <t>COMMS: NETWORKING</t>
  </si>
  <si>
    <t>Components\IO_Source\displays\Nextion.fcfx</t>
  </si>
  <si>
    <t>Components\IO_Source\SCADA\7SegNumeric.fcfx</t>
  </si>
  <si>
    <t>Components\IO_Source\SCADA\NumericLabel.fcfx</t>
  </si>
  <si>
    <t>Components\IO_Source\SCADA\NumberPad.fcsx</t>
  </si>
  <si>
    <t>Components\IO_Source\2dGDI\NumericIndicator.fcfx</t>
  </si>
  <si>
    <t>Components\IO_Source\SCADA\Indicator.fcsx</t>
  </si>
  <si>
    <t>Components\IO_Source\One_Wire.fcfx</t>
  </si>
  <si>
    <t>Components\IO_Source\outputs\PCA9685_16_Channel_PWM.fcfx</t>
  </si>
  <si>
    <t>Components\IO_Source\IOEXP_PCF8574.fcfx</t>
  </si>
  <si>
    <t>Components\IO_Source\IOEXP_PCF8575.fcfx</t>
  </si>
  <si>
    <t>Components\IO_Source\adc\External_ADC4_DAC1_PCF8591.fcfx</t>
  </si>
  <si>
    <t>Components\IO_Source\TimerComponentPIC32Core.fcfx</t>
  </si>
  <si>
    <t>TEST EQUIPMENT</t>
  </si>
  <si>
    <t>Components\IO_Source\pwm_01.fcfx</t>
  </si>
  <si>
    <t>Components\IO_Source\Simulation\PedestrianCrossing.fcfx</t>
  </si>
  <si>
    <t>Components\IO_Source\Sensors\PhotoReflector.fcfx</t>
  </si>
  <si>
    <t>Components\IO_Source\Sensors\PhotoTransistor.fcfx</t>
  </si>
  <si>
    <t>Components\IO_Source\2dGDI\ChartPie.fcfx</t>
  </si>
  <si>
    <t>Components\IO_Source\outputs\PiezoSounder.fcfx</t>
  </si>
  <si>
    <t>Components\IO_Source\SCADA\Pipe.fcfx</t>
  </si>
  <si>
    <t>Components\IO_Source\2dGDI\ChartPolar.fcfx</t>
  </si>
  <si>
    <t>Components\IO_Source\Sensors\Pressure_Sensor_MS5637.fcfx</t>
  </si>
  <si>
    <t>Components\IO_Source\Sensors\Pressure_Sensor_BME280.fcfx</t>
  </si>
  <si>
    <t>Components\IO_Source\SCADA\PropertyManager.fcsx</t>
  </si>
  <si>
    <t>Components\IO_Source\Sensors\Magnetometer_QMC5883.fcfx</t>
  </si>
  <si>
    <t>Components\IO_Source\Sparkfun\Sparkfun_Quiic_Rfid.fcfx</t>
  </si>
  <si>
    <t>Components\IO_Source\SCADA\RA_Pipe.fcfx</t>
  </si>
  <si>
    <t>Components\IO_Source\RFID.fcfx</t>
  </si>
  <si>
    <t>Components\IO_Source\EB2\EBlocks2_RFID_BL0197.fcfx</t>
  </si>
  <si>
    <t>Components\IO_Source\MFRC522.fcfx</t>
  </si>
  <si>
    <t>Components\IO_Source\RF-ISM.fcfx</t>
  </si>
  <si>
    <t>Components\IO_Source\outputs\LP5036_RGB_LED.fcfx</t>
  </si>
  <si>
    <t>Components\IO_Source\RS232.fcfx</t>
  </si>
  <si>
    <t>Components\IO_Source\RealTimeClock.fcfx</t>
  </si>
  <si>
    <t>Components\IO_Source\2dGDI\ChartRadar.fcfx</t>
  </si>
  <si>
    <t>Components\IO_Source\SCADA\RadioButton.fcsx</t>
  </si>
  <si>
    <t>Components\IO_Source\Sensors\RangeTOF_VL53L0X.fcfx</t>
  </si>
  <si>
    <t>Components\IO_Source\Speech\RealSpeak.fcfx</t>
  </si>
  <si>
    <t>Components\IO_Source\Simulation\3D_Printer.fcfx</t>
  </si>
  <si>
    <t>Components\IO_Source\Reprap\3DPrinter.fcfx</t>
  </si>
  <si>
    <t>Components\IO_Source\switch\RotarySwitch10-16.fcfx</t>
  </si>
  <si>
    <t>SWITCH</t>
  </si>
  <si>
    <t>Components\IO_Source\SCADA Targets\Arduino_Mega_API_Comp.fcfx</t>
  </si>
  <si>
    <t>API SLAVE DEVICES</t>
  </si>
  <si>
    <t>Components\IO_Source\SCADA Targets\Arduino_Uno_API_Comp.fcfx</t>
  </si>
  <si>
    <t>Components\IO_Source\SCADA Targets\BL0032_API_Comp.fcfx</t>
  </si>
  <si>
    <t>Components\IO_Source\SCADA Targets\ECIO28P_API_Comp.fcfx</t>
  </si>
  <si>
    <t>Components\IO_Source\SCADA Targets\ECIO40P_API_Comp.fcfx</t>
  </si>
  <si>
    <t>Components\IO_Source\SCADA Targets\ESP32_API_Comp.fcfx</t>
  </si>
  <si>
    <t>Components\IO_Source\SCADA\IndicatorGauge.fcfx</t>
  </si>
  <si>
    <t>Components\IO_Source\RowlandTech\Interface_Board_Comp.fcfx</t>
  </si>
  <si>
    <t>Components\IO_Source\SCADA\IndicatorMeter.fcfx</t>
  </si>
  <si>
    <t>Components\IO_Source\SCADA Targets\RPI_API_Comp.fcfx</t>
  </si>
  <si>
    <t>Components\IO_Source\SCADA\ControlKnob.fcfx</t>
  </si>
  <si>
    <t>Components\IO_Source\Sensors\Magnetometer_SM324.fcfx</t>
  </si>
  <si>
    <t>Components\IO_Source\SPI_Legacy.fcfx</t>
  </si>
  <si>
    <t>Components\IO_Source\SPI_Master.fcfx</t>
  </si>
  <si>
    <t>Components\IO_Source\SPI_Slave.fcfx</t>
  </si>
  <si>
    <t>Components\IO_Source\SRF Component_v2.fcfx</t>
  </si>
  <si>
    <t>Components\IO_Source\TimerComponentSTM32.fcfx</t>
  </si>
  <si>
    <t>Components\IO_Source\Scale_Arc.fcfx</t>
  </si>
  <si>
    <t>Components\IO_Source\Shield\RPI_SenseHat.fcfx</t>
  </si>
  <si>
    <t>RASPBERRY PI HAT</t>
  </si>
  <si>
    <t>Components\IO_Source\Theme\SensorComponent.fcfx</t>
  </si>
  <si>
    <t>Components\IO_Source\Serial_Monitor.fcfx</t>
  </si>
  <si>
    <t>Components\IO_Source\EB2\EBlocks2_Servo_BL0162.fcfx</t>
  </si>
  <si>
    <t>Components\IO_Source\mechatronics\Servo Controller.fcfx</t>
  </si>
  <si>
    <t>Components\IO_Source\outputs\74HC595_7SEG_Hex_Driver.fcfx</t>
  </si>
  <si>
    <t>Components\IO_Source\2dGDI\Shape.fcfx</t>
  </si>
  <si>
    <t>Components\IO_Source\Simulation\SheepPen.fcfx</t>
  </si>
  <si>
    <t>Components\IO_Source\outputs\led_5mm_sim.fcfx</t>
  </si>
  <si>
    <t>Components\IO_Source\Simulation\SimpleGate.fcfx</t>
  </si>
  <si>
    <t>Components\IO_Source\Speech\speech.fcfx</t>
  </si>
  <si>
    <t>Components\IO_Source\2dGDI\StaticText.fcfx</t>
  </si>
  <si>
    <t>Components\IO_Source\Storage\StringInitialiser.fcfx</t>
  </si>
  <si>
    <t>Components\IO_Source\SCADA\TextLabel.fcfx</t>
  </si>
  <si>
    <t>Components\IO_Source\StringTranslations.fcfx</t>
  </si>
  <si>
    <t>Components\IO_Source\2dGDI\Switch.fcfx</t>
  </si>
  <si>
    <t>Components\IO_Source\EB2\EBlocks2_Switch_BL0145.fcfx</t>
  </si>
  <si>
    <t>Components\IO_Source\TCPIP_ENC28J60.fcfx</t>
  </si>
  <si>
    <t>Components\IO_Source\TCPIP_Base.fcfx</t>
  </si>
  <si>
    <t>Components\IO_Source\TCPIP_EB023-00-1.fcfx</t>
  </si>
  <si>
    <t>Components\IO_Source\TCPIP_EB023-00-1_EB.fcfx</t>
  </si>
  <si>
    <t>Components\IO_Source\TCPIP_EB023-00-2.fcfx</t>
  </si>
  <si>
    <t>Components\IO_Source\TCPIP_EB023-00-2_EB.fcfx</t>
  </si>
  <si>
    <t>Components\IO_Source\TCPIP_RPI.fcfx</t>
  </si>
  <si>
    <t>Components\IO_Source\TCPIP_W5500.fcfx</t>
  </si>
  <si>
    <t>Components\IO_Source\outputs\TM1637_7SEG_Quad_Driver.fcfx</t>
  </si>
  <si>
    <t>Components\IO_Source\outputs\TM1637_7SEG_Hex_Driver.fcfx</t>
  </si>
  <si>
    <t>Components\IO_Source\2dGDI\ChartTernary.fcfx</t>
  </si>
  <si>
    <t>Components\IO_Source\displays\GLCD_Textfield.fcfx</t>
  </si>
  <si>
    <t>Components\IO_Source\Sensors\Thermistor.fcfx</t>
  </si>
  <si>
    <t>Components\IO_Source\Sensors\Thermistor_base.fcfx</t>
  </si>
  <si>
    <t>Components\IO_Source\TimeStamp.fcfx</t>
  </si>
  <si>
    <t>Components\IO_Source\TimerComponent.fcfx</t>
  </si>
  <si>
    <t>Components\IO_Source\SCADA\ToneOutput.fcfx</t>
  </si>
  <si>
    <t>Components\IO_Source\Simulation\TrafficLight-2Way.fcfx</t>
  </si>
  <si>
    <t>Components\IO_Source\Simulation\TrafficLight-1Way.fcfx</t>
  </si>
  <si>
    <t>Components\IO_Source\Storage\TypeConversions.fcfx</t>
  </si>
  <si>
    <t>Components\IO_Source\USBHID.fcfx</t>
  </si>
  <si>
    <t>COMMS: USB</t>
  </si>
  <si>
    <t>Components\IO_Source\USBMIDI.fcfx</t>
  </si>
  <si>
    <t>Components\IO_Source\USBSerial.fcfx</t>
  </si>
  <si>
    <t>Components\IO_Source\USBSlave.fcfx</t>
  </si>
  <si>
    <t>Components\CAL_Source\UART_Software_Timer.fcfx</t>
  </si>
  <si>
    <t>Components\IO_Source\Visi4D.fcfx</t>
  </si>
  <si>
    <t>Components\IO_Source\WAV_Player_FAT.fcfx</t>
  </si>
  <si>
    <t>Components\IO_Source\WLAN.fcfx</t>
  </si>
  <si>
    <t>Components\IO_Source\WLAN_ESP12S.fcfx</t>
  </si>
  <si>
    <t>Components\IO_Source\EB2\EBlocks2_WLAN_ESP12S_BL0136.fcfx</t>
  </si>
  <si>
    <t>Components\IO_Source\WLAN_ESP32.fcfx</t>
  </si>
  <si>
    <t>Components\IO_Source\WLAN_ESP8266.fcfx</t>
  </si>
  <si>
    <t>Components\IO_Source\WLAN_ESP8266_EB069.fcfx</t>
  </si>
  <si>
    <t>Components\IO_Source\WebServer.fcfx</t>
  </si>
  <si>
    <t>Components\IO_Source\WebServer_EB023-00-1.fcfx</t>
  </si>
  <si>
    <t>Components\IO_Source\WebServer_EB023-00-1_EB.fcfx</t>
  </si>
  <si>
    <t>Components\IO_Source\WebServer_EB023-00-2.fcfx</t>
  </si>
  <si>
    <t>Components\IO_Source\WebServer_EB023-00-2_EB.fcfx</t>
  </si>
  <si>
    <t>Components\IO_Source\WebServer_W5500.fcfx</t>
  </si>
  <si>
    <t>Components\IO_Source\Sensors\WiiNunchuck.fcfx</t>
  </si>
  <si>
    <t>Components\IO_Source\outputs\X9C_Digital_Pot.fcfx</t>
  </si>
  <si>
    <t>Components\IO_Source\XPT2046TouchScreenController.fcfx</t>
  </si>
  <si>
    <t>Components\IO_Source\PCBs\XpressComponentPCBSource.fcfx</t>
  </si>
  <si>
    <t>Components\IO_Source\displays\GLCD_GraphXY.fcfx</t>
  </si>
  <si>
    <t>Components\IO_Source\outputs\XmasTree.fcfx</t>
  </si>
  <si>
    <t>Components\IO_Source\Zigbee.fcfx</t>
  </si>
  <si>
    <t>Components\IO_Source\adc\adc_Base.fcfx</t>
  </si>
  <si>
    <t>Components\IO_Source\mechatronics\animator.fcfx</t>
  </si>
  <si>
    <t>Components\IO_Source\auto_labels.fcfx</t>
  </si>
  <si>
    <t>Components\IO_Source\switch\basic_sim_switch_slide.fcfx</t>
  </si>
  <si>
    <t>Components\IO_Source\switch\basic_sim_switch.fcfx</t>
  </si>
  <si>
    <t>Components\IO_Source\switch\sw_generic.fcfx</t>
  </si>
  <si>
    <t>Components\IO_Source\Collisions\Beam_breaker.fcfx</t>
  </si>
  <si>
    <t>Components\IO_Source\Bezel Radiused.fcfx</t>
  </si>
  <si>
    <t>Components\IO_Source\Bluetooth.fcfx</t>
  </si>
  <si>
    <t>Components\CAL_Source\ADC.fcfx</t>
  </si>
  <si>
    <t>PERIPHERAL CAL</t>
  </si>
  <si>
    <t>Components\CAL_Source\CAN.fcfx</t>
  </si>
  <si>
    <t xml:space="preserve">CAN </t>
  </si>
  <si>
    <t>Components\CAL_Source\DMA.fcfx</t>
  </si>
  <si>
    <t>Components\CAL_Source\EEPROM.fcfx</t>
  </si>
  <si>
    <t>Components\CAL_Source\FLASH.fcfx</t>
  </si>
  <si>
    <t>Components\CAL_Source\HBRIDGE.fcfx</t>
  </si>
  <si>
    <t>Components\CAL_Source\I2C.fcfx</t>
  </si>
  <si>
    <t>Components\CAL_Source\PWM.fcfx</t>
  </si>
  <si>
    <t>Components\CAL_Source\SPI.fcfx</t>
  </si>
  <si>
    <t>Components\CAL_Source\UART.fcfx</t>
  </si>
  <si>
    <t>Components\IO_Source\Clone Matrix.fcfx</t>
  </si>
  <si>
    <t>Components\IO_Source\Collisions\Collision Detector.fcfx</t>
  </si>
  <si>
    <t>Components\IO_Source\component_label.fcfx</t>
  </si>
  <si>
    <t>Components\Ctrl_Source\buttonhelper.fcfx</t>
  </si>
  <si>
    <t>HELPERS</t>
  </si>
  <si>
    <t>Components\Ctrl_Source\LCD.fcfx</t>
  </si>
  <si>
    <t>Components\IO_Source\outputs\LED_SMD_SIM.fcfx</t>
  </si>
  <si>
    <t>Components\Ctrl_Source\markings.fcfx</t>
  </si>
  <si>
    <t>Components\Ctrl_Source\slider.fcfx</t>
  </si>
  <si>
    <t>Components\IO_Source\Dashboard\Dashboard Button.fcfx</t>
  </si>
  <si>
    <t>Components\IO_Source\Dashboard\Dashboard Knob.fcfx</t>
  </si>
  <si>
    <t>Components\IO_Source\Dashboard\Dashboard Indicator.fcfx</t>
  </si>
  <si>
    <t>Components\IO_Source\Dashboard\Dashboard Meter.fcfx</t>
  </si>
  <si>
    <t>Components\IO_Source\Dashboard\Dashboard Scale Horizontal.fcfx</t>
  </si>
  <si>
    <t>Components\IO_Source\Dashboard\Dashboard Scale Vertical.fcfx</t>
  </si>
  <si>
    <t>Components\IO_Source\Dashboard\Dashboard Switch.fcfx</t>
  </si>
  <si>
    <t>Components\IO_Source\Dashboard\Dashboard Text.fcfx</t>
  </si>
  <si>
    <t>Components\IO_Source\Storage\eeprom.fcfx</t>
  </si>
  <si>
    <t>Components\Ctrl_Source\fcdhelper.fcfx</t>
  </si>
  <si>
    <t>Components\IO_Source\displays\glcd_4D_Goldelox.fcfx</t>
  </si>
  <si>
    <t>Components\IO_Source\displays\glcd_4D_Picaso1.fcfx</t>
  </si>
  <si>
    <t>Components\IO_Source\displays\glcd_4D_Picaso2.fcfx</t>
  </si>
  <si>
    <t>Components\IO_Source\EB2\EBlocks2_Mono_GLCD_BL0139.fcfx</t>
  </si>
  <si>
    <t>Components\IO_Source\EB2\EBlocks2_Colour_GLCD_BL0157.fcfx</t>
  </si>
  <si>
    <t>Components\IO_Source\displays\glcd_EB043-00-1.fcfx</t>
  </si>
  <si>
    <t>Components\IO_Source\displays\glcd_EB043-00-2.fcfx</t>
  </si>
  <si>
    <t>Components\IO_Source\displays\glcd_EB057.fcfx</t>
  </si>
  <si>
    <t>Components\IO_Source\displays\glcd_4D_EB075.fcfx</t>
  </si>
  <si>
    <t>Components\IO_Source\displays\glcd_4D_EB076.fcfx</t>
  </si>
  <si>
    <t>Components\IO_Source\displays\glcd_4D_EB076v2.fcfx</t>
  </si>
  <si>
    <t>Components\IO_Source\displays\glcd_EBM001.fcfx</t>
  </si>
  <si>
    <t>Components\IO_Source\displays\glcd_Fonts.fcfx</t>
  </si>
  <si>
    <t>Components\IO_Source\displays\glcd_ILI9163C.fcfx</t>
  </si>
  <si>
    <t>Components\IO_Source\displays\glcd_ILI9341.fcfx</t>
  </si>
  <si>
    <t>Components\IO_Source\displays\glcd_ILI9341_SPI.fcfx</t>
  </si>
  <si>
    <t>Components\IO_Source\displays\glcd_ILI9488.fcfx</t>
  </si>
  <si>
    <t>Components\IO_Source\displays\glcd_ILI9488_SPI.fcfx</t>
  </si>
  <si>
    <t>Components\IO_Source\displays\glcd_KS0108.fcfx</t>
  </si>
  <si>
    <t>GRAPHICAL MONOCHROME</t>
  </si>
  <si>
    <t>Components\IO_Source\displays\glcd_S65_LS020.fcfx</t>
  </si>
  <si>
    <t>Components\IO_Source\displays\glcd_PCD8544.fcfx</t>
  </si>
  <si>
    <t>Components\IO_Source\SCADA\glcd_SCADA.fcsx</t>
  </si>
  <si>
    <t>Components\IO_Source\displays\glcd_SH1106_I2C.fcfx</t>
  </si>
  <si>
    <t>Components\IO_Source\displays\glcd_SH1106_SPI.fcfx</t>
  </si>
  <si>
    <t>Components\IO_Source\displays\glcd_SSD1289.fcfx</t>
  </si>
  <si>
    <t>Components\IO_Source\displays\glcd_SSD1305.fcfx</t>
  </si>
  <si>
    <t>Components\IO_Source\displays\glcd_SSD1305_buffered.fcfx</t>
  </si>
  <si>
    <t>Components\IO_Source\displays\glcd_SSD1306.fcfx</t>
  </si>
  <si>
    <t>Components\IO_Source\displays\glcd_SSD1306_SPI_Mx.fcfx</t>
  </si>
  <si>
    <t>Components\IO_Source\displays\glcd_SSD1306_buffered.fcfx</t>
  </si>
  <si>
    <t>Components\IO_Source\displays\glcd_SSD1306_I2C.fcfx</t>
  </si>
  <si>
    <t>Components\IO_Source\displays\glcd_SSD1322.fcfx</t>
  </si>
  <si>
    <t>Components\IO_Source\displays\glcd_SSD1322_buffered.fcfx</t>
  </si>
  <si>
    <t>Components\IO_Source\displays\glcd_SSD1327_I2C.fcfx</t>
  </si>
  <si>
    <t>Components\IO_Source\displays\glcd_SSD1331.fcfx</t>
  </si>
  <si>
    <t>Components\IO_Source\displays\glcd_SSD1351.fcfx</t>
  </si>
  <si>
    <t>Components\IO_Source\displays\glcd_SSD1351_SPI.fcfx</t>
  </si>
  <si>
    <t>Components\IO_Source\displays\glcd_SSD1963.fcfx</t>
  </si>
  <si>
    <t>Components\IO_Source\displays\glcd_ST7036_I2C.fcfx</t>
  </si>
  <si>
    <t>Components\IO_Source\displays\glcd_ST7565R.fcfx</t>
  </si>
  <si>
    <t>Components\IO_Source\displays\glcd_ST7565R_SPI.fcfx</t>
  </si>
  <si>
    <t>Components\IO_Source\displays\glcd_ST7567_SPI.fcfx</t>
  </si>
  <si>
    <t>Components\IO_Source\displays\glcd_ST7789V.fcfx</t>
  </si>
  <si>
    <t>Components\IO_Source\displays\glcd_ST7920.fcfx</t>
  </si>
  <si>
    <t>Components\IO_Source\displays\glcd_STM32F469NI.fcfx</t>
  </si>
  <si>
    <t>Components\IO_Source\displays\glcd_STM32F746NG.fcfx</t>
  </si>
  <si>
    <t>Components\IO_Source\displays\Grove_OLEDDisplay.fcfx</t>
  </si>
  <si>
    <t>Components\IO_Source\displays\glcd_T6963C.fcfx</t>
  </si>
  <si>
    <t>Components\IO_Source\displays\glcd_TLS8201.fcfx</t>
  </si>
  <si>
    <t>Components\IO_Source\displays\glcd_UC1701.fcfx</t>
  </si>
  <si>
    <t>Components\IO_Source\Keypad 4x4.fcfx</t>
  </si>
  <si>
    <t>KEYPAD</t>
  </si>
  <si>
    <t>Components\IO_Source\Keypad Base.fcfx</t>
  </si>
  <si>
    <t>Components\IO_Source\Keypad Cursor.fcfx</t>
  </si>
  <si>
    <t>Components\IO_Source\Keypad EB014.fcfx</t>
  </si>
  <si>
    <t>Components\IO_Source\keypad_hex.fcfx</t>
  </si>
  <si>
    <t>Components\IO_Source\Keypad Numeric.fcfx</t>
  </si>
  <si>
    <t>Components\IO_Source\adc\pot_Panel.fcfx</t>
  </si>
  <si>
    <t>Components\IO_Source\adc\pot_Colour.fcfx</t>
  </si>
  <si>
    <t>Components\IO_Source\adc\pot_Black.fcfx</t>
  </si>
  <si>
    <t>Components\IO_Source\adc\pot_Trimmer.fcfx</t>
  </si>
  <si>
    <t>Components\IO_Source\outputs\lamp_les.fcfx</t>
  </si>
  <si>
    <t>Components\IO_Source\outputs\lamp_les_SIM.fcfx</t>
  </si>
  <si>
    <t>Components\IO_Source\displays\LCD_16X2.fcfx</t>
  </si>
  <si>
    <t>Components\IO_Source\displays\LCD 4X20.fcfx</t>
  </si>
  <si>
    <t>Components\IO_Source\displays\LCD Grove Uart.fcfx</t>
  </si>
  <si>
    <t>Components\IO_Source\displays\LCD Grove I2C.fcfx</t>
  </si>
  <si>
    <t>Components\IO_Source\displays\LCD I2C.fcfx</t>
  </si>
  <si>
    <t>Components\IO_Source\displays\LCD ST7032i.fcfx</t>
  </si>
  <si>
    <t>Components\IO_Source\displays\LCD EB005.fcfx</t>
  </si>
  <si>
    <t>Components\IO_Source\displays\LCD Generic.fcfx</t>
  </si>
  <si>
    <t>Components\IO_Source\outputs\LED 3mm.fcfx</t>
  </si>
  <si>
    <t>Components\IO_Source\outputs\LED 3mm SIM.fcfx</t>
  </si>
  <si>
    <t>Components\IO_Source\outputs\led_5mm_basic.fcfx</t>
  </si>
  <si>
    <t>Components\IO_Source\outputs\led_5mm_pnl.fcfx</t>
  </si>
  <si>
    <t>Components\IO_Source\outputs\led_7seg_quad.fcfx</t>
  </si>
  <si>
    <t>Components\IO_Source\outputs\led_7seg_single.fcfx</t>
  </si>
  <si>
    <t>Components\IO_Source\outputs\LED array.fcfx</t>
  </si>
  <si>
    <t>Components\IO_Source\outputs\led_array_pcb.fcfx</t>
  </si>
  <si>
    <t>Components\IO_Source\outputs\LED_Base.fcfx</t>
  </si>
  <si>
    <t>Components\IO_Source\outputs\led_5mm_bicolour.fcfx</t>
  </si>
  <si>
    <t>Components\IO_Source\outputs\LED charlieplex.fcfx</t>
  </si>
  <si>
    <t>Components\IO_Source\outputs\led_array_EB004.fcfx</t>
  </si>
  <si>
    <t>Components\IO_Source\outputs\led_plcc2.fcfx</t>
  </si>
  <si>
    <t>Components\IO_Source\outputs\RGB_LED_5mm.fcfx</t>
  </si>
  <si>
    <t>Components\IO_Source\outputs\LED Shape.fcfx</t>
  </si>
  <si>
    <t>Components\IO_Source\outputs\led_5mm_tricolour.fcfx</t>
  </si>
  <si>
    <t>Components\Ctrl_Source\LUT.fcfx</t>
  </si>
  <si>
    <t>Components\IO_Source\MIAC Addons\ma_advanced.fcfx</t>
  </si>
  <si>
    <t>MIAC: ADDON MODULES</t>
  </si>
  <si>
    <t>Components\IO_Source\MIAC Addons\ma_basic.fcfx</t>
  </si>
  <si>
    <t>Components\IO_Source\MIAC Addons\ma_bluetooth.fcfx</t>
  </si>
  <si>
    <t>Components\IO_Source\MIAC Addons\ma_gps.fcfx</t>
  </si>
  <si>
    <t>Components\IO_Source\MIAC Addons\ma_gsm.fcfx</t>
  </si>
  <si>
    <t>Components\IO_Source\MIAC Addons\ma_industrial.fcfx</t>
  </si>
  <si>
    <t>Components\IO_Source\MIAC Addons\ma_serial.fcfx</t>
  </si>
  <si>
    <t>Components\IO_Source\MIAC Addons\ma_slave.fcfx</t>
  </si>
  <si>
    <t>Components\IO_Source\MIAC Addons\ma_zigbee_c.fcfx</t>
  </si>
  <si>
    <t>Components\IO_Source\MIAC Addons\ma_zigbee_r.fcfx</t>
  </si>
  <si>
    <t>Components\IO_Source\meter_square.fcfx</t>
  </si>
  <si>
    <t>Components\IO_Source\MIAC.fcfx</t>
  </si>
  <si>
    <t>MIAC MODULE</t>
  </si>
  <si>
    <t>Components\IO_Source\MIAC (Arduino).fcfx</t>
  </si>
  <si>
    <t>Components\IO_Source\MIAC (dsPIC).fcfx</t>
  </si>
  <si>
    <t>Components\IO_Source\mechatronics\Micro Servo 9G.fcfx</t>
  </si>
  <si>
    <t>Components\IO_Source\MIDI.fcfx</t>
  </si>
  <si>
    <t>Components\IO_Source\mechatronics\Motion Helper.fcfx</t>
  </si>
  <si>
    <t>Components\IO_Source\mechatronics\motor_base.fcfx</t>
  </si>
  <si>
    <t>Components\IO_Source\mechatronics\Motor_with_reverse.fcfx</t>
  </si>
  <si>
    <t>Components\IO_Source\mechatronics\Motor_simple.fcfx</t>
  </si>
  <si>
    <t>Components\IO_Source\nRF24L01.fcfx</t>
  </si>
  <si>
    <t>Components\IO_Source\switch\sw_push_pcb.fcfx</t>
  </si>
  <si>
    <t>Components\IO_Source\Sensors\Proximity_base.fcfx</t>
  </si>
  <si>
    <t>Components\IO_Source\mechatronics\Quadrature Encoder.fcfx</t>
  </si>
  <si>
    <t>Components\IO_Source\Sensors\Reed_Switch.fcfx</t>
  </si>
  <si>
    <t>Components\IO_Source\outputs\RGB_LED.fcfx</t>
  </si>
  <si>
    <t>Components\IO_Source\RTC (MCP7940N).fcfx</t>
  </si>
  <si>
    <t>Components\CAL_Source\UART_SCADA.fcfx</t>
  </si>
  <si>
    <t>Components\IO_Source\Scale_Linear.fcfx</t>
  </si>
  <si>
    <t>Components\IO_Source\scope_viewer.fcfx</t>
  </si>
  <si>
    <t>Components\IO_Source\Storage\Serial EEPROM (24C16).fcfx</t>
  </si>
  <si>
    <t>Components\IO_Source\Storage\Serial EEPROM (24C32).fcfx</t>
  </si>
  <si>
    <t>Components\IO_Source\Storage\Serial EEPROM (24LC512).fcfx</t>
  </si>
  <si>
    <t>Components\IO_Source\mechatronics\Servo Motor Base.fcfx</t>
  </si>
  <si>
    <t>Components\IO_Source\Shapes\shape_bowl.fcfx</t>
  </si>
  <si>
    <t>3D SHAPES</t>
  </si>
  <si>
    <t>Components\IO_Source\Shapes\shape_cone.fcfx</t>
  </si>
  <si>
    <t>Components\IO_Source\Shapes\shape_cuboid.fcfx</t>
  </si>
  <si>
    <t>Components\IO_Source\Shapes\shape_cylinder.fcfx</t>
  </si>
  <si>
    <t>Components\IO_Source\Shapes\shape_diamond.fcfx</t>
  </si>
  <si>
    <t>Components\IO_Source\Shapes\shape_ellipse.fcfx</t>
  </si>
  <si>
    <t>Components\IO_Source\Shapes\shape_hemisphere.fcfx</t>
  </si>
  <si>
    <t>Components\IO_Source\Shapes\shape_honeycomb.fcfx</t>
  </si>
  <si>
    <t>Components\IO_Source\Shapes\shape_label.fcfx</t>
  </si>
  <si>
    <t>Components\IO_Source\Shapes\shape_line.fcfx</t>
  </si>
  <si>
    <t>Components\IO_Source\Shapes\shape_prism.fcfx</t>
  </si>
  <si>
    <t>Components\IO_Source\Shapes\shape_pyramid.fcfx</t>
  </si>
  <si>
    <t>Components\IO_Source\Shapes\shape_rectangle.fcfx</t>
  </si>
  <si>
    <t>Components\IO_Source\Shapes\shape_rounded_rectangle.fcfx</t>
  </si>
  <si>
    <t>Components\IO_Source\Shapes\shape_sphere.fcfx</t>
  </si>
  <si>
    <t>Components\IO_Source\Shapes\shape_textbox.fcfx</t>
  </si>
  <si>
    <t>Components\IO_Source\Shapes\shape_tube.fcfx</t>
  </si>
  <si>
    <t>Components\IO_Source\Sim_External_Input.fcfx</t>
  </si>
  <si>
    <t>Components\IO_Source\outputs\LED_Sim_Base.fcfx</t>
  </si>
  <si>
    <t>Components\IO_Source\sim_switch_base.fcfx</t>
  </si>
  <si>
    <t>Components\IO_Source\adc\pot_Slider.fcfx</t>
  </si>
  <si>
    <t>Components\IO_Source\mechatronics\solenoid_base.fcfx</t>
  </si>
  <si>
    <t>Components\IO_Source\mechatronics\Solenoid DC.fcfx</t>
  </si>
  <si>
    <t>Components\IO_Source\mechatronics\Standard Servo.fcfx</t>
  </si>
  <si>
    <t>Components\IO_Source\mechatronics\Stepper Motor Base.fcfx</t>
  </si>
  <si>
    <t>Components\IO_Source\mechatronics\Stepper Motor Generic.fcfx</t>
  </si>
  <si>
    <t>Components\IO_Source\mechatronics\Stepper Motor NEMA8.fcfx</t>
  </si>
  <si>
    <t>Components\IO_Source\Collisions\sw_micro_roller.fcfx</t>
  </si>
  <si>
    <t>Components\IO_Source\switch\sw_push_pcb_smd.fcfx</t>
  </si>
  <si>
    <t>Components\IO_Source\switch\sw_push_pcb_smd_Sim.fcfx</t>
  </si>
  <si>
    <t>Components\IO_Source\switch\sw_push_rnd_pnl.fcfx</t>
  </si>
  <si>
    <t>Components\IO_Source\switch\sw_push_rnd_pnl_illuminated.fcfx</t>
  </si>
  <si>
    <t>Components\IO_Source\switch\sw_rocker_neon.fcfx</t>
  </si>
  <si>
    <t>Components\IO_Source\switch\sw_slide_sub_pcb.fcfx</t>
  </si>
  <si>
    <t>Components\IO_Source\switch\sw_toggle_pcb.fcfx</t>
  </si>
  <si>
    <t>Components\IO_Source\switch\sw_toggle_panel.fcfx</t>
  </si>
  <si>
    <t>Components\IO_Source\switch\Switch.fcfx</t>
  </si>
  <si>
    <t>Components\IO_Source\switch\switch_array.fcfx</t>
  </si>
  <si>
    <t>SWITCHES</t>
  </si>
  <si>
    <t>Components\IO_Source\switch\switch_array_push.fcfx</t>
  </si>
  <si>
    <t>Components\IO_Source\switch\switch_array_slide.fcfx</t>
  </si>
  <si>
    <t>Components\IO_Source\switch\switch_array_push_EB007.fcfx</t>
  </si>
  <si>
    <t>Components\IO_Source\XML\XMLParser.fcfx</t>
  </si>
  <si>
    <t>Simulation done, simulate comms option added and I2C communications scope, console, API exposed, 
Requires transaction conversion</t>
  </si>
  <si>
    <t>A</t>
  </si>
  <si>
    <t>Requires Transaction conversion. Need to decide if graphic image is still required? Changed injector ref within properties to API 15/6/21. Completed Transasction. Reedy for Ben to approve.</t>
  </si>
  <si>
    <t>The scale of the original component looks odd. Required checking if correct. Corrected 19-5-05</t>
  </si>
  <si>
    <t>Not removed 3D panel option. Component a way off centre. Fixed 10/06/21</t>
  </si>
  <si>
    <t>Components\IO_Source\ftd2xx_232.fcsx</t>
  </si>
  <si>
    <t>Components\IO_Source\FormulaFlowcode2\FormulaAllCode_API.fcsx</t>
  </si>
  <si>
    <t>Components\IO_Source\Velleman K8055\K8055D.fcsx</t>
  </si>
  <si>
    <t>Components\IO_Source\MIAC_Slave.fcsx</t>
  </si>
  <si>
    <t>Components\IO_Source\MIAC AllCode\MIAC_AllCode_Component_Source.fcsx</t>
  </si>
  <si>
    <t>Components\IO_Source\RobotARM\RA_API_Component_Source.fcsx</t>
  </si>
  <si>
    <t>Components\IO_Source\PS2000.fcsx</t>
  </si>
  <si>
    <t>Components\IO_Source\TTITG5011.fcsx</t>
  </si>
  <si>
    <t>Components\IO_Source\TTIPL155PPSU.fcsx</t>
  </si>
  <si>
    <t xml:space="preserve">Requires Transaction conversion. Transaction completed. </t>
  </si>
  <si>
    <t>Fixed bug. Will required sending to repo. 04/06/21.  Changed injector ref within properties to API 15/6/21</t>
  </si>
  <si>
    <t xml:space="preserve">Requires Transaction conversion. Changed injector ref within properties to API 15/6/21.  </t>
  </si>
  <si>
    <t>Requires Transaction conversion. Console icon not showing when console data is anabled. Fixed 10/06/21. Tranaction completed/</t>
  </si>
  <si>
    <t>Requires Transaction conversion for both I2C and SPI. Wrong o/p icon - Corrected 10/06/21.  Changed injector ref within properties to API 15/6/21</t>
  </si>
  <si>
    <t>Just do transaction conversion for I2C, SPI can stay as is and will work on ESP/ARM devices</t>
  </si>
  <si>
    <t>Both I2C &amp; SPI added, but only using I2C.  Wrong o/p icon - Corrected 10/06/21   Changed injector ref within properties to API 15/6/21</t>
  </si>
  <si>
    <t>Console within properties does not hide when sim not enabled.  Fixed 10-5-21. Added Indicators and o/p icon 10/6/21</t>
  </si>
  <si>
    <t>Add Sim enable. Add o/p icon 10/06/21</t>
  </si>
  <si>
    <t>Requires Transaction components adding. Added 10-05-21 MW. Added o/p icon 10/06/21</t>
  </si>
  <si>
    <t>Agreed this file had major issues, I've rolled back the source to when it was ok.</t>
  </si>
  <si>
    <t>References to weather. Fixed 08/06/21</t>
  </si>
  <si>
    <t>No conponent icon Fixed 08/06/21</t>
  </si>
  <si>
    <t>Changed injector ref within properties to API 15/6/21</t>
  </si>
  <si>
    <t>Unable to complete. Last two revisions are totally wrong with  missing routines and wrong  pins &amp; labelling. Lots of issuse. Fixed 14/7/21  MW</t>
  </si>
  <si>
    <t>Created own Simulation Routine.</t>
  </si>
  <si>
    <t>Created own Simulation Routines.</t>
  </si>
  <si>
    <t>GDI part that will fit the bill for the encoder?- No it can't. Simulation does not work.</t>
  </si>
  <si>
    <t>Icons missing  in Sim_SampleDevice. Fixed 3/6/21 MW Requires  Transaction conversion.</t>
  </si>
  <si>
    <t>Lib component  size change casue issue with the look. Gtreatly improved Look 21/7/21</t>
  </si>
  <si>
    <t>Sensor value limits will need to dynamically change.</t>
  </si>
  <si>
    <t xml:space="preserve"> Requires  Transaction conversion. Completed.</t>
  </si>
  <si>
    <t>Unable to complete as the fancy graphics version.</t>
  </si>
  <si>
    <t>Electrical Machines</t>
  </si>
  <si>
    <t>Works as expected With Console icon perm added. - Now the component icon is far too small! Fixed 10/06/21</t>
  </si>
  <si>
    <t>Had a quick go at fixing this, hopefully better now</t>
  </si>
  <si>
    <t xml:space="preserve">Unable to complete. Simulation not working. Please don't use. Fixed MW </t>
  </si>
  <si>
    <t>Changed injector ref within properties to API 16/6/21</t>
  </si>
  <si>
    <t>Requires Transaction conversion. Corrected wrong o/p icon  and added indicators - 10/06/21 Changed injector ref within properties to API 15/6/21</t>
  </si>
  <si>
    <t>Requires Transaction conversion. Fixed bug. Will required sending to repo. 04/06/21. Changed injector ref within properties to API 15/6/21. Transaction not carried out.</t>
  </si>
  <si>
    <t>Requires Transaction conversion. Found and fixed a Bug. If uploaded will require uploading again. Re arranged indicator component - 10/06/21</t>
  </si>
  <si>
    <t>Requires Transaction conversion.</t>
  </si>
  <si>
    <t>Requires Transaction conversion.  Changed injector ref within properties to API 15/6/21.   Changed injector ref within properties to API 15/6/21</t>
  </si>
  <si>
    <t>Requires Transaction conversion.  Changed injector ref within properties to API 15/6/21</t>
  </si>
  <si>
    <t>Have to use !Handle to work correctly. Fixed 04/05/21 Requires Transaction conversion.</t>
  </si>
  <si>
    <t>Not a separate flasher icon.  Converted 9/6/21</t>
  </si>
  <si>
    <t>*Had to use !Handle otherwise console icon only appears when data is off.  If console data is yes, FC refreshed Console icon does not show. It can take 2 tries to get console to appear. Console  Tab is wrong when enabled. Fixed 4/5/21. Changed  Injector references to API 15/6/21</t>
  </si>
  <si>
    <t>Used !Handle otherwise console icon only appears when data is off.  If console data is yes, FC refreshed Console icon does not show. It can take 2 tries to get console to appear. Console does not create correct tab on the original component Fixed 4/5/21. Changed  Injector references to API 15/6/21</t>
  </si>
  <si>
    <t>Can't get the console  icon to appear. Fixed 04/06/21   Changed injector ref within properties to API 15/6/21</t>
  </si>
  <si>
    <t>No Component Icon - Fixed Generated my own</t>
  </si>
  <si>
    <t xml:space="preserve"> Added Console lib component so icon is enabled when required. 10/06/21</t>
  </si>
  <si>
    <t>Resized and changed network component to invisible. Is that OK?</t>
  </si>
  <si>
    <t>Generated component properties  0,0,0 yet component is offset - Fixed 30/4/21</t>
  </si>
  <si>
    <t>Requires Transaction components adding. Looks like added, but not does not export. Added o/p icon 10/06/21. A calculation with two variables: Hum = 0 &amp; Temp = 0 within initialise macro. variables not present.  OK to delete?  Transaction converted 30-6-21.  Ben to confirm if ok?</t>
  </si>
  <si>
    <t>Added indicators and o/p icon 10/6/21 Transaction conversion required. Transaction Not completed.</t>
  </si>
  <si>
    <t xml:space="preserve"> The console Data properties is not triggering EV_Property. That means it does not enable the Console or console icon on the lib component until Refresh comports is used. Fixed</t>
  </si>
  <si>
    <t>Can't get the console  icon to appear. Fixed 04/06/22</t>
  </si>
  <si>
    <t xml:space="preserve">Not auto centering. Had to set component X oposition at -250, so it would load in the center. Best for Ben to invesigate. </t>
  </si>
  <si>
    <t>Strange one, I've investigated and currently no cause has been found, I've left the problem in as it's something we may need to pass to Steve for investigation.
It doesn't seem to be down to the XML as I've checked it against a normal component and all looks ok
Also doesn't seem to be something specific in the component that is doing some sort of panel move on init?</t>
  </si>
  <si>
    <t>Unable to get console to work correctly.</t>
  </si>
  <si>
    <t xml:space="preserve">Transaction Conversion Required. Transaction not carried out. </t>
  </si>
  <si>
    <t>Only App Developer</t>
  </si>
  <si>
    <t>Comps uploading to server: Grn = Ready, Rd = Not Ready, Bl conversion not required &amp; Or = Awaiting for approval.</t>
  </si>
  <si>
    <r>
      <t xml:space="preserve">Circuit Diagram Added </t>
    </r>
    <r>
      <rPr>
        <b/>
        <sz val="11"/>
        <color rgb="FF00B0F0"/>
        <rFont val="Calibri"/>
        <family val="2"/>
        <scheme val="minor"/>
      </rPr>
      <t>Bl</t>
    </r>
    <r>
      <rPr>
        <b/>
        <sz val="11"/>
        <color theme="1"/>
        <rFont val="Calibri"/>
        <family val="2"/>
        <scheme val="minor"/>
      </rPr>
      <t xml:space="preserve">= not Applicable </t>
    </r>
  </si>
  <si>
    <t>Will modify wiki when new rage has replaced current range.</t>
  </si>
  <si>
    <t>Not happy with console tabs. Transaction Conversion Required for both I2C &amp; SPI. Icon misisng.  No icons below .Return=UpdateXYZData(). Fixed &amp; Competed I2C transaction 16/8/21</t>
  </si>
  <si>
    <t>BH1750 Keyword requires adding. Added.</t>
  </si>
  <si>
    <t>Combo board is EB083 not EB086</t>
  </si>
  <si>
    <t>Bug- LCD_RAMWrite not working correctly (it is with 2x 20 LCD) Instead  of 1st number being row 0, it is coloumn 0</t>
  </si>
  <si>
    <t xml:space="preserve">There are two Panel Console Viewers (See row 52). </t>
  </si>
  <si>
    <t>?</t>
  </si>
  <si>
    <t>Bug - No componet icon</t>
  </si>
  <si>
    <t>Spotted issue 14/7/21. correct icon not assigned. Fixed MW Allow 2d only on enabled.. Fixed 23/8/21</t>
  </si>
  <si>
    <t>Was not added to relese.  Added 23/08/21</t>
  </si>
  <si>
    <t>Examples are called Sum</t>
  </si>
  <si>
    <t>Do we want to convert to GDI sensor component? Addirtional info Z  + R</t>
  </si>
  <si>
    <t>This could be converted?</t>
  </si>
  <si>
    <t>Could be converted.</t>
  </si>
  <si>
    <t xml:space="preserve">Updated component due to library size change. 24/8/21 </t>
  </si>
  <si>
    <t xml:space="preserve"> </t>
  </si>
  <si>
    <t>Changed export to 2d only. 24/08/21</t>
  </si>
  <si>
    <t>Changed export  settings to 2d panel only 24/8/21</t>
  </si>
  <si>
    <t>Export  settings require changing to 2d panel only?</t>
  </si>
  <si>
    <t>Examples out of date.</t>
  </si>
  <si>
    <t>Component icon missing</t>
  </si>
  <si>
    <t>Convert this next as Cir Buffer showing over the top.</t>
  </si>
  <si>
    <t>Not showing Console icon</t>
  </si>
  <si>
    <t>1Wire API</t>
  </si>
  <si>
    <t>1Wire</t>
  </si>
  <si>
    <t>Column1</t>
  </si>
  <si>
    <t>Component look wrong.  Looks like a cube rather than a pipe.</t>
  </si>
  <si>
    <t>Notes to Ben or Requires  Help From Ben?</t>
  </si>
  <si>
    <t>Export not set for 2d panel only.</t>
  </si>
  <si>
    <t>Not sure which flowchart to use? Update.  Ben will update component - Updated.</t>
  </si>
  <si>
    <t>The is a master Demo within the SPI slave Wiki</t>
  </si>
  <si>
    <t>Bug- Component Invisible</t>
  </si>
  <si>
    <t>Can't get the console icon to appear on the component. Simulation not correct. Requires creating.  Component freezing FC</t>
  </si>
  <si>
    <t>Component freezing FC</t>
  </si>
  <si>
    <t>*Used !Handle otherwise console icon only appears when data is off.  If console data is yes, FC refreshed Console icon does not show. It can take 2 tries to get console to appear. Fixed 4/5/21 Now component is invisible.</t>
  </si>
  <si>
    <r>
      <t xml:space="preserve">Example/Scenario Added. </t>
    </r>
    <r>
      <rPr>
        <b/>
        <sz val="11"/>
        <color theme="8"/>
        <rFont val="Calibri"/>
        <family val="2"/>
        <scheme val="minor"/>
      </rPr>
      <t>Bl</t>
    </r>
    <r>
      <rPr>
        <b/>
        <sz val="11"/>
        <color theme="1"/>
        <rFont val="Calibri"/>
        <family val="2"/>
        <scheme val="minor"/>
      </rPr>
      <t xml:space="preserve">= not Applicable </t>
    </r>
  </si>
  <si>
    <t>y</t>
  </si>
  <si>
    <t>Changed injector ref within properties to API 15/6/21.  Made some cosmetic imporvements 25/8/21.</t>
  </si>
  <si>
    <t>Not converting as will break existing projects? Not used anymore for new components.</t>
  </si>
  <si>
    <t>Unalbe to find component to load.</t>
  </si>
  <si>
    <t>CAL component visible above the display</t>
  </si>
  <si>
    <t>CAL component visible next to the display</t>
  </si>
  <si>
    <t>Component looks odd. Extra wire rectangles.</t>
  </si>
  <si>
    <t xml:space="preserve">Keypad backing is transparent </t>
  </si>
  <si>
    <t xml:space="preserve">Obsolete </t>
  </si>
  <si>
    <t>Example image will require updated after component converted.</t>
  </si>
  <si>
    <t>Hall effect invisible within the demo</t>
  </si>
  <si>
    <t>Component Freezes FC. - Fixed</t>
  </si>
  <si>
    <t>Crashes FC. Due to Additional timer set within Ev_timer? One for Ben to look at? Fixed.</t>
  </si>
  <si>
    <t>Export  settings require changing to 2d panel only? Fixed</t>
  </si>
  <si>
    <t>Export  settings require changing to 2d panel only? Fixed. Examples out of date.</t>
  </si>
  <si>
    <t>This Component crashes Flowcode. Ben has fixed. Lable showing when should be invisible. Hopefully fixed?</t>
  </si>
  <si>
    <t>Q</t>
  </si>
  <si>
    <t>Export to 2d only requires enabling. Fixed.</t>
  </si>
  <si>
    <t>There are two Panel Console Viewers (See row 107). 
This one is the current version, the other is old and now not supported / hidden</t>
  </si>
  <si>
    <t>No Console / Injector - Low Priority</t>
  </si>
  <si>
    <t>Hidden and defunct / John doesn't like this one as it makes a rod for our back in terms of supporting simulation via an injector</t>
  </si>
  <si>
    <t>Old and defunct / nothing required</t>
  </si>
  <si>
    <t>No Don't add the lib component for this</t>
  </si>
  <si>
    <t>Does the timer require reducing now? Hmm maybe you could try this</t>
  </si>
  <si>
    <t>Requires Tranaction conversion.  No Simulation option  properties. Console icon not showing.</t>
  </si>
  <si>
    <t>ACS7xx Current Sensor</t>
  </si>
  <si>
    <t>AA85A268-BA47-4A33-BDAD-04F51B716CDF</t>
  </si>
  <si>
    <t>ACS712_Current_Sensor.fcpx</t>
  </si>
  <si>
    <t>Components\IO_Source\Sensors\ACS7xx_Current_Sensors.fcfx</t>
  </si>
  <si>
    <t>EEPROM (DS28E07)</t>
  </si>
  <si>
    <t>D96F06B4-E7CC-4222-831E-520B53CFA278</t>
  </si>
  <si>
    <t>EEPROM_DS28E07.fcpx</t>
  </si>
  <si>
    <t>Components\IO_Source\Storage\EEPROM_DS28E07.fcfx</t>
  </si>
  <si>
    <t>C5D9FFA3-5A7D-4FB2-B9BA-EC855AD7B25C</t>
  </si>
  <si>
    <t>HC_SR04_Ultrasonic.fcpx</t>
  </si>
  <si>
    <t>Components\IO_Source\Sensors\HC_SR04.fcfx</t>
  </si>
  <si>
    <t>IButton (DS1990)</t>
  </si>
  <si>
    <t>7BBC8B49-5F3D-419E-8B25-4EA4C93467B6</t>
  </si>
  <si>
    <t>IButton_DS1990.fcpx</t>
  </si>
  <si>
    <t>Components\IO_Source\Storage\IButton_DS1990.fcfx</t>
  </si>
  <si>
    <t>LTSR Current Transducer</t>
  </si>
  <si>
    <t>29B4CD01-9DD8-43AD-B5B4-895358321A89</t>
  </si>
  <si>
    <t>LTSR_Current_Transducer.fcpx</t>
  </si>
  <si>
    <t>Components\IO_Source\Sensors\LTSR_Current_Transducer.fcfx</t>
  </si>
  <si>
    <t>One Wire (DS2482)</t>
  </si>
  <si>
    <t>55831E22-7885-4E0F-A9DE-73EBDA9D7FE9</t>
  </si>
  <si>
    <t>OneWireDS2482.fcpx</t>
  </si>
  <si>
    <t>Components\IO_Source\One_Wire_DS2482_I2C.fcfx</t>
  </si>
  <si>
    <t>Real Time Clock (ESP32)</t>
  </si>
  <si>
    <t>920175DD-ACE8-49E2-9208-EC548563C9C0</t>
  </si>
  <si>
    <t>RTC_ESP32_NTP.fcpx</t>
  </si>
  <si>
    <t>Components\IO_Source\Storage\RTC_ESP32.fcfx</t>
  </si>
  <si>
    <t>Temperature (DS1822)</t>
  </si>
  <si>
    <t>DF4ECA75-779F-47CE-9495-56D3233BE5E1</t>
  </si>
  <si>
    <t>Temp_DS1822.fcpx</t>
  </si>
  <si>
    <t>Components\IO_Source\Sensors\Temperature_DS1822.fcfx</t>
  </si>
  <si>
    <t>Temperature (DS18B20)</t>
  </si>
  <si>
    <t>783B7689-0C71-44FB-9DDE-673E4B7455BA</t>
  </si>
  <si>
    <t>Temp_DS18B20.fcpx</t>
  </si>
  <si>
    <t>Components\IO_Source\Sensors\Temperature_DS18B20.fcfx</t>
  </si>
  <si>
    <t>Temperature (DS18S20)</t>
  </si>
  <si>
    <t>B42D9405-A751-4622-8FBE-CE512DA391BA</t>
  </si>
  <si>
    <t>Temp_DS18S20.fcpx</t>
  </si>
  <si>
    <t>Components\IO_Source\Sensors\Temperature_DS18S20.fcfx</t>
  </si>
  <si>
    <t xml:space="preserve">N </t>
  </si>
  <si>
    <t>No indicators were used. Is that correct?</t>
  </si>
  <si>
    <t>No Simulate Comms to select. Is that correct?</t>
  </si>
  <si>
    <t>Unable to get the console to work</t>
  </si>
  <si>
    <t xml:space="preserve">Manager is reliant on missing DrawEllipse in Glcd_Col_Dummy. </t>
  </si>
  <si>
    <t>Unable to complete as the fancy graphics version with CAL bytes. OK to complete</t>
  </si>
  <si>
    <t>Use Circular knob?</t>
  </si>
  <si>
    <t>No 2D or 3D icon. OK to add the  2D Lib component?</t>
  </si>
  <si>
    <t>Glcd_Col_Dummy was missing ClearDispaly macro. This causes comonent extraction to fail. Fixed - mw</t>
  </si>
  <si>
    <t>Query on the selction of type. When indicators, console etc. should show.</t>
  </si>
  <si>
    <t>Console icon appearing but does show consol when clicked. Require Transaction conversion.</t>
  </si>
  <si>
    <t>Issue with EV_Click detection of Library Component. Used timer optopn instead.</t>
  </si>
  <si>
    <t>Converted component console was working in reverse. Fixed 25/10/21</t>
  </si>
  <si>
    <t>Wiki Demo asks you to log in. File missing - Requires fixing.  Template, not a component. Still requre Converting?</t>
  </si>
  <si>
    <t>Component Icon missing. Wiki Demo asks you to log in. File missing - Requires fixing.  Template, not a component. Still requre Converting?</t>
  </si>
  <si>
    <t>Component Label not renamed correctly. Far too small. What is supposed to load? Will just add Simulation LED Template label?</t>
  </si>
  <si>
    <t>Indicators and console handle missing. Fixed but console handle not appearing.</t>
  </si>
  <si>
    <t>I2C transactions required</t>
  </si>
  <si>
    <t>Component Label not renamed correctly. Invisible on the panel.</t>
  </si>
  <si>
    <t>Requires I2C transaction conversion. Transaction conversion completed 15/11/21</t>
  </si>
  <si>
    <t>Macros missing, component would have never worked.  Ben to look at? Will require MS5637 keyword adding. Rolled back version requires Transaction Conversion. Transaction conversion completed 15/11/21</t>
  </si>
  <si>
    <t>O</t>
  </si>
  <si>
    <t>I</t>
  </si>
  <si>
    <t>Confusing . Why examples for keypad?</t>
  </si>
  <si>
    <t>Examples are for  DALI Master &amp; DALI Slave</t>
  </si>
  <si>
    <t>GUID</t>
  </si>
  <si>
    <t>Component</t>
  </si>
  <si>
    <t>Component Macro tested</t>
  </si>
  <si>
    <t>BL0011 Pass?</t>
  </si>
  <si>
    <t>ESP32 Pass</t>
  </si>
  <si>
    <t>RedBoard. Pass?</t>
  </si>
  <si>
    <t>ARM</t>
  </si>
  <si>
    <t>Notes</t>
  </si>
  <si>
    <t>SendChar (57600 Baud)</t>
  </si>
  <si>
    <t>N  (Y Fixed)</t>
  </si>
  <si>
    <t>RX interrupt used and much be first. Error H = 2.6%, L = 2.4%. Uart does not work at all on Arm</t>
  </si>
  <si>
    <t>ReceiveChar (57600 Baud)</t>
  </si>
  <si>
    <t>SendSting (9600,57600 &amp; 115200 Baud)</t>
  </si>
  <si>
    <t>ReceieveSting (115200 Baud)</t>
  </si>
  <si>
    <t>ChangeHWBaud  (9600,57600 &amp; 115200 Baud)</t>
  </si>
  <si>
    <t>SendFloat</t>
  </si>
  <si>
    <t>Limited to 10 chars</t>
  </si>
  <si>
    <t>SendNumber</t>
  </si>
  <si>
    <t>SendHexNumber</t>
  </si>
  <si>
    <t>SendByteArray</t>
  </si>
  <si>
    <t>SendBinary32Bit</t>
  </si>
  <si>
    <t>Value sent 1023. Value on analyser MSB &gt; LSB   0, 1,226  &amp; 64.. Should have seen 0, 0, 3, 255</t>
  </si>
  <si>
    <t>Software mode ( Send "U")</t>
  </si>
  <si>
    <t>BL0011 4% Error. ESP32 &amp; RedBoard Teminiation error - won't compile</t>
  </si>
  <si>
    <t>Timer Version ( Send "U")</t>
  </si>
  <si>
    <t>Y*</t>
  </si>
  <si>
    <t>BL0061. Set timer 2 to 9600 UART at 14414 baud. Esp32 Not practicable as timer resolution is in ms only. *Works as indended, but will need to preload timer maco if standard Baud rates are required.</t>
  </si>
  <si>
    <t>LED Array</t>
  </si>
  <si>
    <t>BarGraph</t>
  </si>
  <si>
    <t>LEDOn</t>
  </si>
  <si>
    <t>AllOn</t>
  </si>
  <si>
    <t>LEDOff</t>
  </si>
  <si>
    <t>PointGraph</t>
  </si>
  <si>
    <t>WriteValue</t>
  </si>
  <si>
    <t>AllOff</t>
  </si>
  <si>
    <t>Pot Colour</t>
  </si>
  <si>
    <t>RawAverageByte</t>
  </si>
  <si>
    <t xml:space="preserve">BL0011 A6 Not working with switch on XTAL  postion </t>
  </si>
  <si>
    <t>RawAverageInt</t>
  </si>
  <si>
    <t>RawSampleInt</t>
  </si>
  <si>
    <t>BL0061 not stable no matter what PLCK is selected.</t>
  </si>
  <si>
    <t>RawSampleByte</t>
  </si>
  <si>
    <t>GetString</t>
  </si>
  <si>
    <t>GetByte</t>
  </si>
  <si>
    <t>GetInt</t>
  </si>
  <si>
    <t>GetVoltage</t>
  </si>
  <si>
    <t>GetAverageByte</t>
  </si>
  <si>
    <t>GetAverageInt</t>
  </si>
  <si>
    <t>Ref+</t>
  </si>
  <si>
    <t>BL0061 Unable to assign Vref+ to a pin as its connected to VDD via a coil. ESP32 Vref should be  about 1.1V.  There is no difference to selcted VDD (Fixed).</t>
  </si>
  <si>
    <t>FVR</t>
  </si>
  <si>
    <t>N/A</t>
  </si>
  <si>
    <t>BL0011 No mention of FVR wihtin Tooltips.  Redboard Vref option tooltips mentions Vref+ Pin When its AREF. ESP change tooltips from Vref+ pin to internal 1V</t>
  </si>
  <si>
    <t>444fb704-814c-4707-a15c-759ba088505c</t>
  </si>
  <si>
    <t>SetDutyCycle</t>
  </si>
  <si>
    <t>SetDutyCycle10Bit</t>
  </si>
  <si>
    <t>Bl0061. in the ball park. 1500Hz was 1125Hz</t>
  </si>
  <si>
    <t>Set Frequency</t>
  </si>
  <si>
    <t>BL0061 Set frequency produces 100% duty. All devices. Does not simulate.</t>
  </si>
  <si>
    <t>ChangePeriod</t>
  </si>
  <si>
    <t xml:space="preserve"> Change peroid  19999,16 is 150Hz, was expecting 200Hz</t>
  </si>
  <si>
    <t>f4400e36-dd95-4472-86da-4bba68d68d5d</t>
  </si>
  <si>
    <t>Quad 7seg</t>
  </si>
  <si>
    <t>ShowDigit</t>
  </si>
  <si>
    <t>I have noticed that seg A dimly flashes on random occasions when multiplexing.</t>
  </si>
  <si>
    <t>ShowSegments</t>
  </si>
  <si>
    <t>52c5383b-4f48-4029-8b75-c3633f7cf892</t>
  </si>
  <si>
    <t xml:space="preserve"> 7seg</t>
  </si>
  <si>
    <t>52c5383b-4f48-4029-8b75-c3633f7cf893</t>
  </si>
  <si>
    <t>Clear Digit</t>
  </si>
  <si>
    <t>Defaults to  Comm Cath and comm type low. Both should be in the opposite state.</t>
  </si>
  <si>
    <t>bcd6a955-12c6-4ed4-a22f-f16eb62e0762</t>
  </si>
  <si>
    <t>Backpack I2C</t>
  </si>
  <si>
    <t>BacklightControl</t>
  </si>
  <si>
    <t>bcd6a955-12c6-4ed4-a22f-f16eb62e0763</t>
  </si>
  <si>
    <t>Clear</t>
  </si>
  <si>
    <t>bcd6a955-12c6-4ed4-a22f-f16eb62e0764</t>
  </si>
  <si>
    <t>ClearLine</t>
  </si>
  <si>
    <t>bcd6a955-12c6-4ed4-a22f-f16eb62e0765</t>
  </si>
  <si>
    <t>Command</t>
  </si>
  <si>
    <t>command 1  used to clear the display - Not simulated.</t>
  </si>
  <si>
    <t>bcd6a955-12c6-4ed4-a22f-f16eb62e0766</t>
  </si>
  <si>
    <t>Cursor</t>
  </si>
  <si>
    <t>bcd6a955-12c6-4ed4-a22f-f16eb62e0767</t>
  </si>
  <si>
    <t>PrintAscii</t>
  </si>
  <si>
    <t>bcd6a955-12c6-4ed4-a22f-f16eb62e0768</t>
  </si>
  <si>
    <t>PrintFloat</t>
  </si>
  <si>
    <t>bcd6a955-12c6-4ed4-a22f-f16eb62e0769</t>
  </si>
  <si>
    <t>PrintFormattedNumber</t>
  </si>
  <si>
    <t>bcd6a955-12c6-4ed4-a22f-f16eb62e0770</t>
  </si>
  <si>
    <t>PrintNumber</t>
  </si>
  <si>
    <t>bcd6a955-12c6-4ed4-a22f-f16eb62e0771</t>
  </si>
  <si>
    <t>PrintString</t>
  </si>
  <si>
    <t>bcd6a955-12c6-4ed4-a22f-f16eb62e0772</t>
  </si>
  <si>
    <t>RAMWrite</t>
  </si>
  <si>
    <t>Does work but clears the whole display.</t>
  </si>
  <si>
    <t>bcd6a955-12c6-4ed4-a22f-f16eb62e0773</t>
  </si>
  <si>
    <t>RemapCharacter</t>
  </si>
  <si>
    <t>bcd6a955-12c6-4ed4-a22f-f16eb62e0774</t>
  </si>
  <si>
    <t>ScrollDisplay</t>
  </si>
  <si>
    <t>Simulation does not work for scrolling  Hardware is working OK.</t>
  </si>
  <si>
    <t>bcd6a955-12c6-4ed4-a22f-f16eb62e0775</t>
  </si>
  <si>
    <t>SetI2CAddress</t>
  </si>
  <si>
    <t>SetAddress  does not work if placed After Start! Requires a ToolTip change</t>
  </si>
  <si>
    <t>bcd6a955-12c6-4ed4-a22f-f16eb62e0776</t>
  </si>
  <si>
    <t>Start</t>
  </si>
  <si>
    <t>bcd6a955-12c6-4ed4-a22f-f16eb62e0777</t>
  </si>
  <si>
    <t>Software Mode</t>
  </si>
  <si>
    <t>Int Val &gt;</t>
  </si>
  <si>
    <t>bcd6a955-12c6-4ed4-a22f-f16eb62e0778</t>
  </si>
  <si>
    <t>Simulate Comms</t>
  </si>
  <si>
    <t xml:space="preserve">Y </t>
  </si>
  <si>
    <t>=MSB&gt;</t>
  </si>
  <si>
    <t>bcd6a955-12c6-4ed4-a22f-f16eb62e0779</t>
  </si>
  <si>
    <t>API Tested</t>
  </si>
  <si>
    <t>=LSB&gt;</t>
  </si>
  <si>
    <t>Master I2C</t>
  </si>
  <si>
    <t>As Backpack uses I2C this was a good test.</t>
  </si>
  <si>
    <t>Read</t>
  </si>
  <si>
    <t>ReadByte</t>
  </si>
  <si>
    <t>ReadFloat</t>
  </si>
  <si>
    <t>ReadInt</t>
  </si>
  <si>
    <t>ReadLong</t>
  </si>
  <si>
    <t>ReadString</t>
  </si>
  <si>
    <t>Write</t>
  </si>
  <si>
    <t>WriteByte</t>
  </si>
  <si>
    <t>WriteFloat</t>
  </si>
  <si>
    <t>WritedInt</t>
  </si>
  <si>
    <t>WriteLong</t>
  </si>
  <si>
    <t>WriteString</t>
  </si>
  <si>
    <t>AutoMoveToPosition</t>
  </si>
  <si>
    <t>9202A62E-0A42-4780-ADCE-16B701E5EC54</t>
  </si>
  <si>
    <t>AutoMoveToPositionInt</t>
  </si>
  <si>
    <t>9202A62E-0A42-4780-ADCE-16B701E5EC55</t>
  </si>
  <si>
    <t>DisableServo</t>
  </si>
  <si>
    <t>9202A62E-0A42-4780-ADCE-16B701E5EC56</t>
  </si>
  <si>
    <t>EnableServo</t>
  </si>
  <si>
    <t>9202A62E-0A42-4780-ADCE-16B701E5EC57</t>
  </si>
  <si>
    <t>Initilise</t>
  </si>
  <si>
    <t>9202A62E-0A42-4780-ADCE-16B701E5EC58</t>
  </si>
  <si>
    <t>IsAutoMoving</t>
  </si>
  <si>
    <t>9202A62E-0A42-4780-ADCE-16B701E5EC59</t>
  </si>
  <si>
    <t>IsServoAutoMoving</t>
  </si>
  <si>
    <t>9202A62E-0A42-4780-ADCE-16B701E5EC60</t>
  </si>
  <si>
    <t>MoveToPosiiton</t>
  </si>
  <si>
    <t>9202A62E-0A42-4780-ADCE-16B701E5EC61</t>
  </si>
  <si>
    <t>MoveToPosiitonINT</t>
  </si>
  <si>
    <t>9202A62E-0A42-4780-ADCE-16B701E5EC62</t>
  </si>
  <si>
    <t>SetAutoMoveSpeed</t>
  </si>
  <si>
    <t>9202A62E-0A42-4780-ADCE-16B701E5EC63</t>
  </si>
  <si>
    <t>SetAutoMoveSpeedInt</t>
  </si>
  <si>
    <t>9202A62E-0A42-4780-ADCE-16B701E5EC64</t>
  </si>
  <si>
    <t>SetPosition</t>
  </si>
  <si>
    <t>9202A62E-0A42-4780-ADCE-16B701E5EC65</t>
  </si>
  <si>
    <t>SetPositionInt</t>
  </si>
  <si>
    <t>9202A62E-0A42-4780-ADCE-16B701E5EC66</t>
  </si>
  <si>
    <t>SetTrim</t>
  </si>
  <si>
    <t>9202A62E-0A42-4780-ADCE-16B701E5EC67</t>
  </si>
  <si>
    <t>9202A62E-0A42-4780-ADCE-16B701E5EC68</t>
  </si>
  <si>
    <t>9202A62E-0A42-4780-ADCE-16B701E5EC69</t>
  </si>
  <si>
    <t>9202A62E-0A42-4780-ADCE-16B701E5EC70</t>
  </si>
  <si>
    <t>9202A62E-0A42-4780-ADCE-16B701E5EC71</t>
  </si>
  <si>
    <t>9202A62E-0A42-4780-ADCE-16B701E5EC72</t>
  </si>
  <si>
    <t>9202A62E-0A42-4780-ADCE-16B701E5EC73</t>
  </si>
  <si>
    <t>9202A62E-0A42-4780-ADCE-16B701E5EC74</t>
  </si>
  <si>
    <t>9202A62E-0A42-4780-ADCE-16B701E5EC75</t>
  </si>
  <si>
    <t>9202A62E-0A42-4780-ADCE-16B701E5EC76</t>
  </si>
  <si>
    <t>9202A62E-0A42-4780-ADCE-16B701E5EC77</t>
  </si>
  <si>
    <t>9202A62E-0A42-4780-ADCE-16B701E5EC78</t>
  </si>
  <si>
    <t>Not changing the retun value to 1. I believe it could be the pulse is ont stable?</t>
  </si>
  <si>
    <t>ESP32 Pulse not present un a relivent channel has a move command.</t>
  </si>
  <si>
    <t>Properties  Min us</t>
  </si>
  <si>
    <t>Properties  Max us</t>
  </si>
  <si>
    <t xml:space="preserve">Does not appear to change the pulse width MoveToPosiitonINT 0 </t>
  </si>
  <si>
    <t>BL0011. &amp; RedBoard. AutoMoveToPosition 0  Kills all pulses in all servo if used with SetAutoMove 4.  Channels It looks like return does not change to 0 when complete. The pulse width  keeps narrower until it complety has vanished.</t>
  </si>
  <si>
    <t>BL0011. &amp; RedBoard. AutoMoveToPositionInt 0  Kills all pulses in all servo Channels It looks like return does not change to 0 when complete. The pulse width  keeps narrower until it complety has vanished.</t>
  </si>
  <si>
    <t>Causes issues with autoMove</t>
  </si>
  <si>
    <t xml:space="preserve">LCD Generic 20x4 (BL0169) </t>
  </si>
  <si>
    <t xml:space="preserve">Org format with broken link to the example. Low priority </t>
  </si>
  <si>
    <t>Example links not working &amp; Old type. Low Prioriy</t>
  </si>
  <si>
    <t>Page never created?</t>
  </si>
  <si>
    <t>Was 'N' Fixed MW</t>
  </si>
  <si>
    <t>Was 'N' Fixed BR</t>
  </si>
  <si>
    <t>Was 'N' Fixed MW (Page was deleted)</t>
  </si>
  <si>
    <t>Wrong Example - Detector</t>
  </si>
  <si>
    <t>Flags as App Dev only.  Its Embedded only.</t>
  </si>
  <si>
    <t>Link to Example is broken</t>
  </si>
  <si>
    <t xml:space="preserve">No component Icon </t>
  </si>
  <si>
    <t>??</t>
  </si>
  <si>
    <t>Component is also missing from Wiki componet library page</t>
  </si>
  <si>
    <t>Was 'N' Fixed MW (Redirect added)</t>
  </si>
  <si>
    <t>Accelerometer(EB068)</t>
  </si>
  <si>
    <t>Accelerometer 3-Axis(LIS3LV02DQ)</t>
  </si>
  <si>
    <t>Accelerometer 3-Axis(MMA8452Q)</t>
  </si>
  <si>
    <t>Ambient Light(BH1750FVI)</t>
  </si>
  <si>
    <t>Bluetooth(BL0170)</t>
  </si>
  <si>
    <t>Bluetooth(RN4677)</t>
  </si>
  <si>
    <t>Colour Sensor(TCS3200)</t>
  </si>
  <si>
    <t>Combo Board(EB083)</t>
  </si>
  <si>
    <t>Combo(BL0114)</t>
  </si>
  <si>
    <t>DAC(MCP49x1)</t>
  </si>
  <si>
    <t>DAC Dual(MCP49x2)</t>
  </si>
  <si>
    <t>DAC Dual(MCP48x2)</t>
  </si>
  <si>
    <t>Console Debugger(Raspberry Pi)</t>
  </si>
  <si>
    <t>Touch Pads(EB088)</t>
  </si>
  <si>
    <t>Potentiometer(EBM002)</t>
  </si>
  <si>
    <t>Thermistor(EBM003)</t>
  </si>
  <si>
    <t>Digital Temperature(EBM004)</t>
  </si>
  <si>
    <t>Dual Potentiometer - Trimmer(EBM006)</t>
  </si>
  <si>
    <t>Quadrature Encoder(EBM007)</t>
  </si>
  <si>
    <t>Thermocouple TypeK(EBM008)</t>
  </si>
  <si>
    <t>Gyroscope(EBM009)</t>
  </si>
  <si>
    <t>Hall Effect(EBM011)</t>
  </si>
  <si>
    <t>PIR(EBM012)</t>
  </si>
  <si>
    <t>Touch Pads(EBM013)</t>
  </si>
  <si>
    <t>Touch Slider(EBM014)</t>
  </si>
  <si>
    <t>Accel / Mag 6-Axis(EBM015)</t>
  </si>
  <si>
    <t>Humidity(EBM016)</t>
  </si>
  <si>
    <t>Colour Sensor(EBM018)</t>
  </si>
  <si>
    <t>Ultrasonic(EBM019)</t>
  </si>
  <si>
    <t>Infrared(EBM020)</t>
  </si>
  <si>
    <t>Daytona Racetrack(HP458)</t>
  </si>
  <si>
    <t>Formula AllCode(RB4420)</t>
  </si>
  <si>
    <t>Temperature Infrared(Grove 101020062)</t>
  </si>
  <si>
    <t>Magnetometer 3-Axis(HMC5883L)</t>
  </si>
  <si>
    <t>Temp / Humidity(HTS221)</t>
  </si>
  <si>
    <t>Load Cell(HX711)</t>
  </si>
  <si>
    <t>Temp / Humidity(SHT21)</t>
  </si>
  <si>
    <t>Temp / Humidity(SHT31)</t>
  </si>
  <si>
    <t>Keypad(BL0138)</t>
  </si>
  <si>
    <t>Gyroscope 3-Axis(L3G4200D)</t>
  </si>
  <si>
    <t>LCD(BL0169)</t>
  </si>
  <si>
    <t>LED Matrix(HT16K33)</t>
  </si>
  <si>
    <t>LED(BL0167)</t>
  </si>
  <si>
    <t>Temperature(LM75B)</t>
  </si>
  <si>
    <t>Accel / Mag 6-Axis(LSM303DLHC)</t>
  </si>
  <si>
    <t>Accel / Mag 6-Axis(LSM303D)</t>
  </si>
  <si>
    <t>Accel / Gyro / Mag 9-Axis(LSM9DS1)</t>
  </si>
  <si>
    <t>Thermocouple(MAX31855)</t>
  </si>
  <si>
    <t>IO Expander(MCP23017)</t>
  </si>
  <si>
    <t>IO Expander(MCP23S17)</t>
  </si>
  <si>
    <t>IO Expander(BL0155)</t>
  </si>
  <si>
    <t>Thermocouple( MCP960X)</t>
  </si>
  <si>
    <t>Accel / Gyro 6-Axis(MPU-6050)</t>
  </si>
  <si>
    <t>Accel / Gyro 6-Axis(MPU-6886)</t>
  </si>
  <si>
    <t>Accel / Gyro / Mag 9-Axis(MPU9250)</t>
  </si>
  <si>
    <t>MULTIUART(SPI2UART)</t>
  </si>
  <si>
    <t>Maze Generator(HP458)</t>
  </si>
  <si>
    <t>IO Expander(PCF8574)</t>
  </si>
  <si>
    <t>IO Expander(PCF8575)</t>
  </si>
  <si>
    <t>PicoScope(PS2000)</t>
  </si>
  <si>
    <t>Barometer(MS5637)</t>
  </si>
  <si>
    <t>Barometer(BME280)</t>
  </si>
  <si>
    <t>Magnetometer 3-Axis(QMC5883L)</t>
  </si>
  <si>
    <t>Magnetometer(SM324)</t>
  </si>
  <si>
    <t>SPI Master(EB013)</t>
  </si>
  <si>
    <t>Servo Motor(BL0162)</t>
  </si>
  <si>
    <t>7Segment(74HC595)</t>
  </si>
  <si>
    <t>Switch(BL0145)</t>
  </si>
  <si>
    <t>TCP/IP(ENC28J60)</t>
  </si>
  <si>
    <t>TCP/IP(NM7010A)</t>
  </si>
  <si>
    <t>TCP/IP(EB023 v1)</t>
  </si>
  <si>
    <t>TCP/IP(WIZ810MJ W5100)</t>
  </si>
  <si>
    <t>TCP/IP(EB023 v2)</t>
  </si>
  <si>
    <t>TCP/IP(Raspberry Pi)</t>
  </si>
  <si>
    <t>TCP/IP(W5500)</t>
  </si>
  <si>
    <t>TTI TG5011 Signal Generator(TG5011)</t>
  </si>
  <si>
    <t>7Segment(Quad TM1637)</t>
  </si>
  <si>
    <t>7Segment(Hex TM1637)</t>
  </si>
  <si>
    <t>TTI Power Supply - PL155-P(TTI PL155-P PSU)</t>
  </si>
  <si>
    <t>WLAN(ESP-12S)</t>
  </si>
  <si>
    <t>WIFI(BL0136)</t>
  </si>
  <si>
    <t>WLAN ESP32(ESP32)</t>
  </si>
  <si>
    <t>WLAN(ESP8266)</t>
  </si>
  <si>
    <t>WIFI(ESP8266)</t>
  </si>
  <si>
    <t>Webserver(EB023 v1)</t>
  </si>
  <si>
    <t>Webserver(WIZ810MJ)</t>
  </si>
  <si>
    <t>Webserver(EB023 v2)</t>
  </si>
  <si>
    <t>Webserver(W5500)</t>
  </si>
  <si>
    <t>ADC(CAL)</t>
  </si>
  <si>
    <t>CAN(CAL)</t>
  </si>
  <si>
    <t>EEPROM(CAL)</t>
  </si>
  <si>
    <t>HBRIDGE(CAL)</t>
  </si>
  <si>
    <t>I2C(CAL)</t>
  </si>
  <si>
    <t>PWM(CAL)</t>
  </si>
  <si>
    <t>SPI(CAL)</t>
  </si>
  <si>
    <t>UART(CAL)</t>
  </si>
  <si>
    <t>Rx/Tx Flasher</t>
  </si>
  <si>
    <t>Components\IO_Source\Comms_indicators.fcfx</t>
  </si>
  <si>
    <t>GLCD Monochrome(BL0139)</t>
  </si>
  <si>
    <t>GLCD(EB057 / EB058)</t>
  </si>
  <si>
    <t>Keypad(4x4)</t>
  </si>
  <si>
    <t>Keypad(EB014)</t>
  </si>
  <si>
    <t>LCD(EB005)</t>
  </si>
  <si>
    <t>LED (EB004)</t>
  </si>
  <si>
    <t>RF 2.4GHz(nRF24L01)</t>
  </si>
  <si>
    <t>UART SCADA(CAL)</t>
  </si>
  <si>
    <t>Switch(EB007)</t>
  </si>
  <si>
    <t>ELECTRICAL</t>
  </si>
  <si>
    <t>Ultrasonic(HCSR04)</t>
  </si>
  <si>
    <t>Analogue Temp Sensors</t>
  </si>
  <si>
    <t>69A2CA78-26F3-47DF-A402-B5A7C1FF73F2</t>
  </si>
  <si>
    <t>Components\IO_Source\Sensors\Analogue Temperature Sensors.fcfx</t>
  </si>
  <si>
    <t>DSPBuffer</t>
  </si>
  <si>
    <t>08D7F73A-6B9F-47FA-AA34-B306613D1E51</t>
  </si>
  <si>
    <t>Buff.fcpx</t>
  </si>
  <si>
    <t>Components\IO_Source\DSP\DSP_Buff.fcfx</t>
  </si>
  <si>
    <t>LoRa(LAMBDA SX1272)</t>
  </si>
  <si>
    <t>LIN Master</t>
  </si>
  <si>
    <t>63DE6312-8008-46D2-8A0C-BB66E56674E2</t>
  </si>
  <si>
    <t>LinMasterV2.fcpx</t>
  </si>
  <si>
    <t>Components\IO_Source\LinMasterV2.fcfx</t>
  </si>
  <si>
    <t>Barometer(BMP180)</t>
  </si>
  <si>
    <t>38F89887-AF35-470E-8C6F-C91F3C99E88D</t>
  </si>
  <si>
    <t>PressureSensor_BME180.fcpx</t>
  </si>
  <si>
    <t>Components\IO_Source\Sensors\Pressure_Sensor_BMP180.fcfx</t>
  </si>
  <si>
    <t>DSPBufferRef</t>
  </si>
  <si>
    <t>1E4A092C-CB7C-4E40-863C-0A64DF7D297C</t>
  </si>
  <si>
    <t>Ref.fcpx</t>
  </si>
  <si>
    <t>Components\IO_Source\DSP\DSP_Buff_Ref.fcfx</t>
  </si>
  <si>
    <t>GLCD (SSD1327) SPI</t>
  </si>
  <si>
    <t>DEADE808-DA0A-4530-8CF4-7C7894FDB6A3</t>
  </si>
  <si>
    <t>gLCD_SSD1327_SPI.fcpx</t>
  </si>
  <si>
    <t>Components\IO_Source\displays\glcd_SSD1327_SPI.fcfx</t>
  </si>
  <si>
    <t>Page/redirect never created?</t>
  </si>
  <si>
    <t>Wrong example</t>
  </si>
  <si>
    <t>Example opens text editor instead of downloading file</t>
  </si>
  <si>
    <t>[[File:]] </t>
  </si>
  <si>
    <t>Broken file links</t>
  </si>
  <si>
    <t>Broken example link</t>
  </si>
  <si>
    <t>When adding Network dummy. The dummy name is not present.</t>
  </si>
  <si>
    <t xml:space="preserve"> URL</t>
  </si>
  <si>
    <t>https://www.flowcode.co.uk/wiki/index.php?title=Component:_ID_3d87ffe9_97c1_4013_a2cd_82c24d0ccb48</t>
  </si>
  <si>
    <t>https://www.flowcode.co.uk/wiki/index.php?title=Component:_ID_937e425e_21c0_4b08_8d8f_0bf80a6391d2</t>
  </si>
  <si>
    <t>https://www.flowcode.co.uk/wiki/index.php?title=Component:_ID_87d8bad5_6392_41fb_b370_d9b2c0f8f13f</t>
  </si>
  <si>
    <t>https://www.flowcode.co.uk/wiki/index.php?title=Component:_ID_235fd689_bfd1_4c4a_a918_6c3c36e9a49f</t>
  </si>
  <si>
    <t>https://www.flowcode.co.uk/wiki/index.php?title=Component:_ID_e1d52efb_00d4_4e19_ba4c_29b292535ea1</t>
  </si>
  <si>
    <t>https://www.flowcode.co.uk/wiki/index.php?title=Component:_ID_b81925b1_7504_4d77_ac90_3a4fa700fcc4</t>
  </si>
  <si>
    <t>https://www.flowcode.co.uk/wiki/index.php?title=Component:_ID_72f0a8c3_2b8f_4723_b22a_4a81873e5151</t>
  </si>
  <si>
    <t>https://www.flowcode.co.uk/wiki/index.php?title=Component:_ID_2c716005_e9b5_46e3_86f9_30e5268341a9</t>
  </si>
  <si>
    <t>https://www.flowcode.co.uk/wiki/index.php?title=Component:_ID_e08872a7_6962_4b61_bcca_71389f8ed8d7</t>
  </si>
  <si>
    <t>https://www.flowcode.co.uk/wiki/index.php?title=Component:_ID_a907d905_5879_48f3_9add_369a2f4e164f</t>
  </si>
  <si>
    <t>https://www.flowcode.co.uk/wiki/index.php?title=Component:_ID_1911d96c_78dd_414a_b23c_6691fb19f63f</t>
  </si>
  <si>
    <t>https://www.flowcode.co.uk/wiki/index.php?title=Component:_ID_72cd9559_26f7_4ffd_984c_cf3a82a6db16</t>
  </si>
  <si>
    <t>https://www.flowcode.co.uk/wiki/index.php?title=Component:_ID_bf90426c_1763_4a7a_be5c_b3e442e3f6d8</t>
  </si>
  <si>
    <t>https://www.flowcode.co.uk/wiki/index.php?title=Component:_ID_df96ffa1_4d36_453a_8877_758f68a2676c</t>
  </si>
  <si>
    <t>https://www.flowcode.co.uk/wiki/index.php?title=Component:_ID_60b296cd_5b02_4c9c_9239_cca36238f480</t>
  </si>
  <si>
    <t>https://www.flowcode.co.uk/wiki/index.php?title=Component:_ID_ca60c1d2_fb77_4e3e_9d01_c4496d35db1e</t>
  </si>
  <si>
    <t>https://www.flowcode.co.uk/wiki/index.php?title=Component:_ID_1286ca5c_6453_4a92_9cce_c6ba47457a69</t>
  </si>
  <si>
    <t>https://www.flowcode.co.uk/wiki/index.php?title=Component:_ID_b9285f96_06e8_4cdd_b0e2_a413f5150f1a</t>
  </si>
  <si>
    <t>https://www.flowcode.co.uk/wiki/index.php?title=Component:_ID_e11146d4_2d40_4be6_95cc_fbbdf8338c25</t>
  </si>
  <si>
    <t>https://www.flowcode.co.uk/wiki/index.php?title=Component:_ID_6e425786_81b6_4f40_ac24_6c674bffe958</t>
  </si>
  <si>
    <t>https://www.flowcode.co.uk/wiki/index.php?title=Component:_ID_a78483e1_b293_47e7_984c_55984fc93571</t>
  </si>
  <si>
    <t>https://www.flowcode.co.uk/wiki/index.php?title=Component:_ID_4384cba9_0bea_4359_8c5b_dcd046aa7778</t>
  </si>
  <si>
    <t>https://www.flowcode.co.uk/wiki/index.php?title=Component:_ID_0cc9193a_1f8b_4d22_85d0_952b37c40b25</t>
  </si>
  <si>
    <t>https://www.flowcode.co.uk/wiki/index.php?title=Component:_ID_b71c1512_a4c6_4887_a443_1ecf08d14d64</t>
  </si>
  <si>
    <t>https://www.flowcode.co.uk/wiki/index.php?title=Component:_ID_52dd90bd_fec9_4ee5_934c_e4b2297168a5</t>
  </si>
  <si>
    <t>https://www.flowcode.co.uk/wiki/index.php?title=Component:_ID_b02b7c75_53cb_4be4_871f_61be633d898c</t>
  </si>
  <si>
    <t>https://www.flowcode.co.uk/wiki/index.php?title=Component:_ID_76b3eb5c_2d23_4c8d_bde8_505032bc886a</t>
  </si>
  <si>
    <t>https://www.flowcode.co.uk/wiki/index.php?title=Component:_ID_5f9d5a58_6c01_4588_afa0_df4c01ce161a</t>
  </si>
  <si>
    <t>https://www.flowcode.co.uk/wiki/index.php?title=Component:_ID_0c7df3fc_a46f_4712_8cd3_77079978f4fc</t>
  </si>
  <si>
    <t>https://www.flowcode.co.uk/wiki/index.php?title=Component:_ID_a8dbe015_0985_4581_abd5_1cc44f576fab</t>
  </si>
  <si>
    <t>https://www.flowcode.co.uk/wiki/index.php?title=Component:_ID_8be2ce64_4860_468a_aa8a_eac443274da3</t>
  </si>
  <si>
    <t>https://www.flowcode.co.uk/wiki/index.php?title=Component:_ID_dc99e179_216f_4618_aee7_3f5f87541a9d</t>
  </si>
  <si>
    <t>https://www.flowcode.co.uk/wiki/index.php?title=Component:_ID_5d52e8a2_f248_4318_a0ac_e7b9503237cf</t>
  </si>
  <si>
    <t>https://www.flowcode.co.uk/wiki/index.php?title=Component:_ID_04bbd3b8_ee11_40eb_91e8_1bbbd6f65b8c</t>
  </si>
  <si>
    <t>https://www.flowcode.co.uk/wiki/index.php?title=Component:_ID_da332928_6342_4c2c_afc7_eaf33917d33e</t>
  </si>
  <si>
    <t>https://www.flowcode.co.uk/wiki/index.php?title=Component:_ID_93252f96_a8e5_4d65_8c40_11614bb15b52</t>
  </si>
  <si>
    <t>https://www.flowcode.co.uk/wiki/index.php?title=Component:_ID_cbb3c28e_2d73_4442_ac52_23a3b45d9870</t>
  </si>
  <si>
    <t>https://www.flowcode.co.uk/wiki/index.php?title=Component:_ID_7d0c33a1_0aaa_4250_84bb_f96fc113abac</t>
  </si>
  <si>
    <t>https://www.flowcode.co.uk/wiki/index.php?title=Component:_ID_fde30de0_35ed_40ca_937a_88da6409c1d2</t>
  </si>
  <si>
    <t>https://www.flowcode.co.uk/wiki/index.php?title=Component:_ID_0187d13d_8822_4e75_ab22_474c7058ebe4</t>
  </si>
  <si>
    <t>https://www.flowcode.co.uk/wiki/index.php?title=Component:_ID_3d632cd0_b8cb_4ca0_8f7a_59f88ac02fa3</t>
  </si>
  <si>
    <t>https://www.flowcode.co.uk/wiki/index.php?title=Component:_ID_c34f9b8a_a915_4f75_ad0c_87f2ad670a8a</t>
  </si>
  <si>
    <t>https://www.flowcode.co.uk/wiki/index.php?title=Component:_ID_201d99f7_acf8_481d_a703_61860c2ba3ea</t>
  </si>
  <si>
    <t>https://www.flowcode.co.uk/wiki/index.php?title=Component:_ID_ed491c82_9f85_4627_93ce_d2b588352539</t>
  </si>
  <si>
    <t>https://www.flowcode.co.uk/wiki/index.php?title=Component:_ID_995fa4f2_71ce_4d91_aa62_87f731ae7e7d</t>
  </si>
  <si>
    <t>https://www.flowcode.co.uk/wiki/index.php?title=Component:_ID_a11aa47b_7c82_4dad_b62d_b1a263e2a4fe</t>
  </si>
  <si>
    <t>https://www.flowcode.co.uk/wiki/index.php?title=Component:_ID_d8b85f99_8de3_41dd_9bab_f8bfc19e74af</t>
  </si>
  <si>
    <t>https://www.flowcode.co.uk/wiki/index.php?title=Component:_ID_ba8897fe_8349_47b3_9072_e823e74131af</t>
  </si>
  <si>
    <t>https://www.flowcode.co.uk/wiki/index.php?title=Component:_ID_9a7d4e50_8d7e_4c5e_9a93_7948ab47edad</t>
  </si>
  <si>
    <t>https://www.flowcode.co.uk/wiki/index.php?title=Component:_ID_d4c04ac8_bbcd_4981_8ce6_9d6c9bb1e26a</t>
  </si>
  <si>
    <t>https://www.flowcode.co.uk/wiki/index.php?title=Component:_ID_06db27a4_c20a_4371_b05e_7cdb55556859</t>
  </si>
  <si>
    <t>https://www.flowcode.co.uk/wiki/index.php?title=Component:_ID_940e39a6_d035_4e43_8dbb_455ee4679066</t>
  </si>
  <si>
    <t>https://www.flowcode.co.uk/wiki/index.php?title=Component:_ID_bd23228f_b173_4135_ab3b_a4c3c4caa7a8</t>
  </si>
  <si>
    <t>https://www.flowcode.co.uk/wiki/index.php?title=Component:_ID_83c095cc_fefc_4854_a7c5_7fe867753bf4</t>
  </si>
  <si>
    <t>https://www.flowcode.co.uk/wiki/index.php?title=Component:_ID_8d419cd0_3404_4bee_8049_22accc2c815b</t>
  </si>
  <si>
    <t>https://www.flowcode.co.uk/wiki/index.php?title=Component:_ID_e83923b3_994a_41c9_b277_5b107ab6e1dd</t>
  </si>
  <si>
    <t>https://www.flowcode.co.uk/wiki/index.php?title=Component:_ID_e78d88a0_e132_4f82_988d_59353009b669</t>
  </si>
  <si>
    <t>https://www.flowcode.co.uk/wiki/index.php?title=Component:_ID_70a3bead_e66d_4a76_bc7b_fb1baa86d2e6</t>
  </si>
  <si>
    <t>https://www.flowcode.co.uk/wiki/index.php?title=Component:_ID_fab5cf20_8686_4397_8a21_cc936659d5f6</t>
  </si>
  <si>
    <t>https://www.flowcode.co.uk/wiki/index.php?title=Component:_ID_09222494_fbef_455b_9651_9e9e46592eb5</t>
  </si>
  <si>
    <t>https://www.flowcode.co.uk/wiki/index.php?title=Component:_ID_b6de5668_e0ae_4c1a_9c16_b16aa3f58024</t>
  </si>
  <si>
    <t>https://www.flowcode.co.uk/wiki/index.php?title=Component:_ID_b66f5769_5e9d_40e7_9159_c6a0552ff86e</t>
  </si>
  <si>
    <t>https://www.flowcode.co.uk/wiki/index.php?title=Component:_ID_f484e96a_af4f_434e_a002_70d3f4315dfb</t>
  </si>
  <si>
    <t>https://www.flowcode.co.uk/wiki/index.php?title=Component:_ID_adb523db_db13_4d19_bfa3_0fbc177e4d3f</t>
  </si>
  <si>
    <t>https://www.flowcode.co.uk/wiki/index.php?title=Component:_ID_5aefac05_ee5e_4d51_9f31_05281900a97e</t>
  </si>
  <si>
    <t>https://www.flowcode.co.uk/wiki/index.php?title=Component:_ID_c714f39e_c8fb_413f_afda_2d169e655134</t>
  </si>
  <si>
    <t>https://www.flowcode.co.uk/wiki/index.php?title=Component:_ID_2061d38d_0cca_440c_a842_f9c84ca55f90</t>
  </si>
  <si>
    <t>https://www.flowcode.co.uk/wiki/index.php?title=Component:_ID_40785d28_4fe3_4aec_a5d9_ba30b2d58760</t>
  </si>
  <si>
    <t>https://www.flowcode.co.uk/wiki/index.php?title=Component:_ID_95a1525b_7e03_4836_8c09_59bf174f603b</t>
  </si>
  <si>
    <t>https://www.flowcode.co.uk/wiki/index.php?title=Component:_ID_b4e10f9e_4ea9_4fbc_a584_a4d7d4d8fba6</t>
  </si>
  <si>
    <t>https://www.flowcode.co.uk/wiki/index.php?title=Component:_ID_1be0ac44_3521_402e_a8b7_1faf86c09560</t>
  </si>
  <si>
    <t>https://www.flowcode.co.uk/wiki/index.php?title=Component:_ID_3420d1ea_bc10_4727_8419_746101b8dc13</t>
  </si>
  <si>
    <t>https://www.flowcode.co.uk/wiki/index.php?title=Component:_ID_e6dd1315_4acf_4fb5_abd9_5743d3715cbe</t>
  </si>
  <si>
    <t>https://www.flowcode.co.uk/wiki/index.php?title=Component:_ID_4483da18_fa5a_4436_9edb_0cfb55a4bce1</t>
  </si>
  <si>
    <t>https://www.flowcode.co.uk/wiki/index.php?title=Component:_ID_0b1d97c1_ee89_45a5_8c39_114cd6d552ad</t>
  </si>
  <si>
    <t>https://www.flowcode.co.uk/wiki/index.php?title=Component:_ID_e0ddc704_6bab_4d08_8f10_19a14c6683ef</t>
  </si>
  <si>
    <t>https://www.flowcode.co.uk/wiki/index.php?title=Component:_ID_f804a7bd_0280_4ff7_ab75_63be77fb2af3</t>
  </si>
  <si>
    <t>https://www.flowcode.co.uk/wiki/index.php?title=Component:_ID_317efb6a_2bad_4f83_a0bc_4ada0f4cd51e</t>
  </si>
  <si>
    <t>https://www.flowcode.co.uk/wiki/index.php?title=Component:_ID_cbe42abc_5955_44da_a6d0_03e7cbcdcaca</t>
  </si>
  <si>
    <t>https://www.flowcode.co.uk/wiki/index.php?title=Component:_ID_c73d493a_b6a0_4dbe_b4b5_79648f67d11e</t>
  </si>
  <si>
    <t>https://www.flowcode.co.uk/wiki/index.php?title=Component:_ID_73c1c565_8d04_44dd_ab78_1997d5e3c641</t>
  </si>
  <si>
    <t>https://www.flowcode.co.uk/wiki/index.php?title=Component:_ID_8d6ffd33_4087_46b5_8dfd_f43513748755</t>
  </si>
  <si>
    <t>https://www.flowcode.co.uk/wiki/index.php?title=Component:_ID_23b8de7f_5214_4f77_9bac_4982123b8d4b</t>
  </si>
  <si>
    <t>https://www.flowcode.co.uk/wiki/index.php?title=Component:_ID_83fac7ac_b7b5_4cc4_890a_394cbf16cf71</t>
  </si>
  <si>
    <t>https://www.flowcode.co.uk/wiki/index.php?title=Component:_ID_e648c3de_ec39_4a3f_bbd9_46e45cce4a63</t>
  </si>
  <si>
    <t>https://www.flowcode.co.uk/wiki/index.php?title=Component:_ID_82872714_f0f0_4758_91ec_bd39d2cdddc8</t>
  </si>
  <si>
    <t>https://www.flowcode.co.uk/wiki/index.php?title=Component:_ID_facc8c89_963a_408e_985e_ed768a52b01a</t>
  </si>
  <si>
    <t>https://www.flowcode.co.uk/wiki/index.php?title=Component:_ID_a9e01aa0_f224_4902_a558_6a199fc039c5</t>
  </si>
  <si>
    <t>https://www.flowcode.co.uk/wiki/index.php?title=Component:_ID_88a7dbc4_af92_4205_8943_abaa77504462</t>
  </si>
  <si>
    <t>https://www.flowcode.co.uk/wiki/index.php?title=Component:_ID_34b6f31b_7e33_4beb_891e_defacbee8587</t>
  </si>
  <si>
    <t>https://www.flowcode.co.uk/wiki/index.php?title=Component:_ID_1392d5c3_35ba_4c7f_a539_7f30a09758e4</t>
  </si>
  <si>
    <t>https://www.flowcode.co.uk/wiki/index.php?title=Component:_ID_5142bd81_abad_444b_b6db_36a87dce5835</t>
  </si>
  <si>
    <t>https://www.flowcode.co.uk/wiki/index.php?title=Component:_ID_0d048c7d_18d5_4bce_83f1_7e429c0d86b6</t>
  </si>
  <si>
    <t>https://www.flowcode.co.uk/wiki/index.php?title=Component:_ID_649f4bc2_1360_4629_82aa_62e2fc32d4e4</t>
  </si>
  <si>
    <t>https://www.flowcode.co.uk/wiki/index.php?title=Component:_ID_939a5d54_28c7_488d_af39_46f7c5d2c429</t>
  </si>
  <si>
    <t>https://www.flowcode.co.uk/wiki/index.php?title=Component:_ID_f1af5256_1dee_491c_b43f_fdc8f33279fb</t>
  </si>
  <si>
    <t>https://www.flowcode.co.uk/wiki/index.php?title=Component:_ID_907f24e9_a8a3_46ea_942d_67dc55f7eb44</t>
  </si>
  <si>
    <t>https://www.flowcode.co.uk/wiki/index.php?title=Component:_ID_a3a84355_5d1c_4437_900d_fdf3fe6ee6fb</t>
  </si>
  <si>
    <t>https://www.flowcode.co.uk/wiki/index.php?title=Component:_ID_265d450b_0719_4b6b_8f66_1aefce666e3f</t>
  </si>
  <si>
    <t>https://www.flowcode.co.uk/wiki/index.php?title=Component:_ID_a1da060c_e74a_4e12_bb90_3ddb43265592</t>
  </si>
  <si>
    <t>https://www.flowcode.co.uk/wiki/index.php?title=Component:_ID_e2ed1829_6967_4339_98e1_3806650297c5</t>
  </si>
  <si>
    <t>https://www.flowcode.co.uk/wiki/index.php?title=Component:_ID_d2a7fe23_7dd2_43ca_ad55_185eec92fdd8</t>
  </si>
  <si>
    <t>https://www.flowcode.co.uk/wiki/index.php?title=Component:_ID_d9e86781_7fa0_4e64_9f82_ef49152611b0</t>
  </si>
  <si>
    <t>https://www.flowcode.co.uk/wiki/index.php?title=Component:_ID_9415f6ca_f29a_46cc_b3e8_f047cf0c598a</t>
  </si>
  <si>
    <t>https://www.flowcode.co.uk/wiki/index.php?title=Component:_ID_cbfb3c21_f13d_488d_9b90_400c8d4fc605</t>
  </si>
  <si>
    <t>https://www.flowcode.co.uk/wiki/index.php?title=Component:_ID_8e91085e_f978_404f_9de9_56424c4b56dd</t>
  </si>
  <si>
    <t>https://www.flowcode.co.uk/wiki/index.php?title=Component:_ID_cbb357fa_5252_415d_80f5_01e4ab85cb4a</t>
  </si>
  <si>
    <t>https://www.flowcode.co.uk/wiki/index.php?title=Component:_ID_7ae74a71_a424_452f_8d71_618cf50cff98</t>
  </si>
  <si>
    <t>https://www.flowcode.co.uk/wiki/index.php?title=Component:_ID_a5320e5b_75c1_4e67_9ed4_e933f40efc9a</t>
  </si>
  <si>
    <t>https://www.flowcode.co.uk/wiki/index.php?title=Component:_ID_9a0503ff_2954_445e_9032_3465a05f8f82</t>
  </si>
  <si>
    <t>https://www.flowcode.co.uk/wiki/index.php?title=Component:_ID_2f3dd5e3_b652_4045_9ab9_10d49440e5cd</t>
  </si>
  <si>
    <t>https://www.flowcode.co.uk/wiki/index.php?title=Component:_ID_e3fdcca6_1408_4389_8e2d_e741b06b3463</t>
  </si>
  <si>
    <t>https://www.flowcode.co.uk/wiki/index.php?title=Component:_ID_245b0876_a350_4546_bb71_b427ff6ec9ef</t>
  </si>
  <si>
    <t>https://www.flowcode.co.uk/wiki/index.php?title=Component:_ID_0c8229b3_03ea_415c_824b_a5c9a8394751</t>
  </si>
  <si>
    <t>https://www.flowcode.co.uk/wiki/index.php?title=Component:_ID_d5c30cea_62de_4a55_9783_9bf9d104e3ec</t>
  </si>
  <si>
    <t>https://www.flowcode.co.uk/wiki/index.php?title=Component:_ID_7b1edf74_d0c8_4b1d_a8b3_54580ed79f64</t>
  </si>
  <si>
    <t>https://www.flowcode.co.uk/wiki/index.php?title=Component:_ID_b42786ab_fd9a_47cf_b3c4_560ecdc613fd</t>
  </si>
  <si>
    <t>https://www.flowcode.co.uk/wiki/index.php?title=Component:_ID_beb1f845_8f53_4214_9b14_11b7c2bf3ba8</t>
  </si>
  <si>
    <t>https://www.flowcode.co.uk/wiki/index.php?title=Component:_ID_8a853d8e_967b_4317_85d2_070167d41396</t>
  </si>
  <si>
    <t>https://www.flowcode.co.uk/wiki/index.php?title=Component:_ID_ef0c13ae_8a23_459c_947a_f0d2ad5f8bf1</t>
  </si>
  <si>
    <t>https://www.flowcode.co.uk/wiki/index.php?title=Component:_ID_bdb9fcf6_3fb3_4051_8078_455b44cb249c</t>
  </si>
  <si>
    <t>https://www.flowcode.co.uk/wiki/index.php?title=Component:_ID_5cb8f1ac_bab2_4740_9a9d_01602a5fb196</t>
  </si>
  <si>
    <t>https://www.flowcode.co.uk/wiki/index.php?title=Component:_ID_749afd05_ce22_42cb_b17e_3f424cbca6b0</t>
  </si>
  <si>
    <t>https://www.flowcode.co.uk/wiki/index.php?title=Component:_ID_feb064a2_e087_45e1_a7f9_c9fa0edfdace</t>
  </si>
  <si>
    <t>https://www.flowcode.co.uk/wiki/index.php?title=Component:_ID_a6989ec5_8d9b_4c16_b06f_b55394465946</t>
  </si>
  <si>
    <t>https://www.flowcode.co.uk/wiki/index.php?title=Component:_ID_f88f79ae_0240_418c_820a_e2bcdb406007</t>
  </si>
  <si>
    <t>https://www.flowcode.co.uk/wiki/index.php?title=Component:_ID_c3e5eb13_e03d_4ca6_be4d_1c63ad107a35</t>
  </si>
  <si>
    <t>https://www.flowcode.co.uk/wiki/index.php?title=Component:_ID_42f3f8ef_ff5b_44e6_9be8_8c43d9ab5b08</t>
  </si>
  <si>
    <t>https://www.flowcode.co.uk/wiki/index.php?title=Component:_ID_947089aa_ca9f_4e6f_9f86_7d49a1ae6f86</t>
  </si>
  <si>
    <t>https://www.flowcode.co.uk/wiki/index.php?title=Component:_ID_3022653d_9f9f_4981_b558_9ed8d265c931</t>
  </si>
  <si>
    <t>https://www.flowcode.co.uk/wiki/index.php?title=Component:_ID_f137a538_3ebf_42e7_a941_b8f628802070</t>
  </si>
  <si>
    <t>https://www.flowcode.co.uk/wiki/index.php?title=Component:_ID_0b61bd39_05a3_46ee_a2a5_da7bffb583c5</t>
  </si>
  <si>
    <t>https://www.flowcode.co.uk/wiki/index.php?title=Component:_ID_9cb6d9da_5555_4e1c_a65c_93b299b6011c</t>
  </si>
  <si>
    <t>https://www.flowcode.co.uk/wiki/index.php?title=Component:_ID_264eadac_6fe5_43e0_bfb6_969175aaab93</t>
  </si>
  <si>
    <t>https://www.flowcode.co.uk/wiki/index.php?title=Component:_ID_90c9f255_b526_4288_b0b6_26736e6db2e2</t>
  </si>
  <si>
    <t>https://www.flowcode.co.uk/wiki/index.php?title=Component:_ID_7b54013c_c426_4aa0_abb7_80fc10cd39cc</t>
  </si>
  <si>
    <t>https://www.flowcode.co.uk/wiki/index.php?title=Component:_ID_eedbc87c_0433_4f67_86c5_a106439fc603</t>
  </si>
  <si>
    <t>https://www.flowcode.co.uk/wiki/index.php?title=Component:_ID_810fd965_8219_4633_a26f_49d73890b4c9</t>
  </si>
  <si>
    <t>https://www.flowcode.co.uk/wiki/index.php?title=Component:_ID_3a9b473c_04d9_43e2_b6d4_1b22555e16af</t>
  </si>
  <si>
    <t>https://www.flowcode.co.uk/wiki/index.php?title=Component:_ID_06829bc6_9e27_4353_9d95_3ba9dabc3384</t>
  </si>
  <si>
    <t>https://www.flowcode.co.uk/wiki/index.php?title=Component:_ID_c8b6350e_b89a_4ad0_8669_e9387e24599e</t>
  </si>
  <si>
    <t>https://www.flowcode.co.uk/wiki/index.php?title=Component:_ID_4182ece3_6ad5_41d3_a0e2_31bc570806db</t>
  </si>
  <si>
    <t>https://www.flowcode.co.uk/wiki/index.php?title=Component:_ID_e3be641a_8808_4138_bee5_805fbbce468c</t>
  </si>
  <si>
    <t>https://www.flowcode.co.uk/wiki/index.php?title=Component:_ID_9d5300ab_57ae_4483_8f18_04ec2007b406</t>
  </si>
  <si>
    <t>https://www.flowcode.co.uk/wiki/index.php?title=Component:_ID_1c2d5136_7f3e_45ae_abf5_6a53d5d6ca03</t>
  </si>
  <si>
    <t>https://www.flowcode.co.uk/wiki/index.php?title=Component:_ID_7c3895d3_0359_4b4c_8fa4_ab6314cd5fbf</t>
  </si>
  <si>
    <t>https://www.flowcode.co.uk/wiki/index.php?title=Component:_ID_a00b9a94_9608_4208_af26_68a94dab336b</t>
  </si>
  <si>
    <t>https://www.flowcode.co.uk/wiki/index.php?title=Component:_ID_575a3a3f_09b8_46be_8069_c4d1894d7e7e</t>
  </si>
  <si>
    <t>https://www.flowcode.co.uk/wiki/index.php?title=Component:_ID_0d02ccfd_4cda_42b8_91d8_5392f491f9af</t>
  </si>
  <si>
    <t>https://www.flowcode.co.uk/wiki/index.php?title=Component:_ID_b5665f5d_809d_4bd8_a79b_411f893bec16</t>
  </si>
  <si>
    <t>https://www.flowcode.co.uk/wiki/index.php?title=Component:_ID_bfa45502_f9d6_4b53_a239_b5731f9288d5</t>
  </si>
  <si>
    <t>https://www.flowcode.co.uk/wiki/index.php?title=Component:_ID_d4994410_ca95_4d1c_8d57_542d48a21d58</t>
  </si>
  <si>
    <t>https://www.flowcode.co.uk/wiki/index.php?title=Component:_ID_0e4cb9c6_10d4_416f_bc27_5f8f7bc746b4</t>
  </si>
  <si>
    <t>https://www.flowcode.co.uk/wiki/index.php?title=Component:_ID_05acf53c_0b2e_4d26_8d5d_f112d4ce4c68</t>
  </si>
  <si>
    <t>https://www.flowcode.co.uk/wiki/index.php?title=Component:_ID_940ad7e9_abab_434f_a5e3_ff50e2fdf962</t>
  </si>
  <si>
    <t>https://www.flowcode.co.uk/wiki/index.php?title=Component:_ID_b52758bf_4466_48c0_8054_33ee4b11e82b</t>
  </si>
  <si>
    <t>https://www.flowcode.co.uk/wiki/index.php?title=Component:_ID_bbfc7c9f_fa05_4257_849d_8601ff7dc1de</t>
  </si>
  <si>
    <t>https://www.flowcode.co.uk/wiki/index.php?title=Component:_ID_0689100f_8b13_45a6_98a2_b9833b02eed5</t>
  </si>
  <si>
    <t>https://www.flowcode.co.uk/wiki/index.php?title=Component:_ID_0a5d4625_78e6_4bf3_a802_925c655ef718</t>
  </si>
  <si>
    <t>https://www.flowcode.co.uk/wiki/index.php?title=Component:_ID_eca89720_1386_4589_ab75_6c0425162b91</t>
  </si>
  <si>
    <t>https://www.flowcode.co.uk/wiki/index.php?title=Component:_ID_a1ea988c_88c9_4f96_ac26_1684e918a3de</t>
  </si>
  <si>
    <t>https://www.flowcode.co.uk/wiki/index.php?title=Component:_ID_f3b8eed1_fef6_4c1b_b62d_8efc84b1be35</t>
  </si>
  <si>
    <t>https://www.flowcode.co.uk/wiki/index.php?title=Component:_ID_6664b695_2a8f_4247_ae55_110b38270877</t>
  </si>
  <si>
    <t>https://www.flowcode.co.uk/wiki/index.php?title=Component:_ID_9c5b7454_e67d_4111_b220_bf8e5ff8b174</t>
  </si>
  <si>
    <t>https://www.flowcode.co.uk/wiki/index.php?title=Component:_ID_ccbd6829_44c8_4011_954b_c39dd93adbed</t>
  </si>
  <si>
    <t>https://www.flowcode.co.uk/wiki/index.php?title=Component:_ID_2f95990b_1dc6_4cb4_a6b1_e000a487b702</t>
  </si>
  <si>
    <t>https://www.flowcode.co.uk/wiki/index.php?title=Component:_ID_27104eb6_255f_486e_ad25_b8512b2cc2d4</t>
  </si>
  <si>
    <t>https://www.flowcode.co.uk/wiki/index.php?title=Component:_ID_3bb0eba4_8ae3_442b_8653_507d1bde8be0</t>
  </si>
  <si>
    <t>https://www.flowcode.co.uk/wiki/index.php?title=Component:_ID_de8dcab3_c23b_48b4_a88e_3eb8b584109f</t>
  </si>
  <si>
    <t>https://www.flowcode.co.uk/wiki/index.php?title=Component:_ID_06c52475_f44f_41f3_aae7_9ddeee44fc06</t>
  </si>
  <si>
    <t>https://www.flowcode.co.uk/wiki/index.php?title=Component:_ID_4b57ccb5_9e55_4d0e_8961_43f6fcaec2d7</t>
  </si>
  <si>
    <t>https://www.flowcode.co.uk/wiki/index.php?title=Component:_ID_593b7216_0a11_465c_9cf5_3b809503a72c</t>
  </si>
  <si>
    <t>https://www.flowcode.co.uk/wiki/index.php?title=Component:_ID_4c2256c0_4453_4369_8c36_09770d223a09</t>
  </si>
  <si>
    <t>https://www.flowcode.co.uk/wiki/index.php?title=Component:_ID_66e6f00d_d894_49de_a768_02997eaf45e1</t>
  </si>
  <si>
    <t>https://www.flowcode.co.uk/wiki/index.php?title=Component:_ID_e8ec17bd_a898_44d2_83af_968c96826948</t>
  </si>
  <si>
    <t>https://www.flowcode.co.uk/wiki/index.php?title=Component:_ID_c14492da_a844_40e6_ae29_50e58864b237</t>
  </si>
  <si>
    <t>https://www.flowcode.co.uk/wiki/index.php?title=Component:_ID_655234db_5700_4206_934f_56e499edbff9</t>
  </si>
  <si>
    <t>https://www.flowcode.co.uk/wiki/index.php?title=Component:_ID_cc493328_7354_44de_b2f1_b70afac30dff</t>
  </si>
  <si>
    <t>https://www.flowcode.co.uk/wiki/index.php?title=Component:_ID_75d7da2a_c682_4622_ac86_b6eb9ed7a88e</t>
  </si>
  <si>
    <t>https://www.flowcode.co.uk/wiki/index.php?title=Component:_ID_4475d8e8_4f60_48be_8a27_e91d85fbabae</t>
  </si>
  <si>
    <t>https://www.flowcode.co.uk/wiki/index.php?title=Component:_ID_5915b437_6925_4d90_a0f8_f91702837bdb</t>
  </si>
  <si>
    <t>https://www.flowcode.co.uk/wiki/index.php?title=Component:_ID_24219805_113d_4b12_b6bd_e1b0b0c33981</t>
  </si>
  <si>
    <t>https://www.flowcode.co.uk/wiki/index.php?title=Component:_ID_eac43fda_0bc5_4b08_881c_6d3e364f2eff</t>
  </si>
  <si>
    <t>https://www.flowcode.co.uk/wiki/index.php?title=Component:_ID_081af1a1_da0b_426d_9ca6_58d8313d1499</t>
  </si>
  <si>
    <t>https://www.flowcode.co.uk/wiki/index.php?title=Component:_ID_4bc379d2_b6ca_4612_8557_79686bfa81bd</t>
  </si>
  <si>
    <t>https://www.flowcode.co.uk/wiki/index.php?title=Component:_ID_b50d5c0a_2340_4f67_b276_7bc0235de8a3</t>
  </si>
  <si>
    <t>https://www.flowcode.co.uk/wiki/index.php?title=Component:_ID_5a237757_52e5_414b_b6e4_79c7b784c3ba</t>
  </si>
  <si>
    <t>https://www.flowcode.co.uk/wiki/index.php?title=Component:_ID_cc936c18_5d20_42c4_b940_d3c7ea7ca802</t>
  </si>
  <si>
    <t>https://www.flowcode.co.uk/wiki/index.php?title=Component:_ID_299cb595_3e6f_4022_a728_b9df1434262c</t>
  </si>
  <si>
    <t>https://www.flowcode.co.uk/wiki/index.php?title=Component:_ID_002be1ac_efff_4c07_95de_1eab087cb25e</t>
  </si>
  <si>
    <t>https://www.flowcode.co.uk/wiki/index.php?title=Component:_ID_8d670813_9a40_4891_accc_c1bf864b8217</t>
  </si>
  <si>
    <t>https://www.flowcode.co.uk/wiki/index.php?title=Component:_ID_50738af3_82a5_4074_a9b8_9f8f80be2b87</t>
  </si>
  <si>
    <t>https://www.flowcode.co.uk/wiki/index.php?title=Component:_ID_c6d16a4d_a800_4636_98c5_70f7bde65654</t>
  </si>
  <si>
    <t>https://www.flowcode.co.uk/wiki/index.php?title=Component:_ID_2ed54982_ef92_4509_a67c_7b3a72f91279</t>
  </si>
  <si>
    <t>https://www.flowcode.co.uk/wiki/index.php?title=Component:_ID_31d48d3e_01e3_4546_96e5_2e935f963166</t>
  </si>
  <si>
    <t>https://www.flowcode.co.uk/wiki/index.php?title=Component:_ID_927d2882_ab2f_43e9_8690_d1d6891001ee</t>
  </si>
  <si>
    <t>https://www.flowcode.co.uk/wiki/index.php?title=Component:_ID_dbc62603_09e5_4a5e_8df3_22b921d9e9e9</t>
  </si>
  <si>
    <t>https://www.flowcode.co.uk/wiki/index.php?title=Component:_ID_916e4f8c_ea50_4d16_bcbb_60492d600217</t>
  </si>
  <si>
    <t>https://www.flowcode.co.uk/wiki/index.php?title=Component:_ID_e9f80ee2_3377_4c1f_856b_eb42da1eff02</t>
  </si>
  <si>
    <t>https://www.flowcode.co.uk/wiki/index.php?title=Component:_ID_08d6aad0_ffe7_4c11_af82_0faa2cb6abcf</t>
  </si>
  <si>
    <t>https://www.flowcode.co.uk/wiki/index.php?title=Component:_ID_1b5acb6c_d16d_483b_9868_cf406165ac55</t>
  </si>
  <si>
    <t>https://www.flowcode.co.uk/wiki/index.php?title=Component:_ID_b81ab4d7_be8f_4ddd_b5dc_937bda03dc82</t>
  </si>
  <si>
    <t>https://www.flowcode.co.uk/wiki/index.php?title=Component:_ID_6ed9452d_1ae7_4f70_991c_6d8085a2d923</t>
  </si>
  <si>
    <t>https://www.flowcode.co.uk/wiki/index.php?title=Component:_ID_3e5cc6d0_3e36_46b8_bc40_f238a5735b6e</t>
  </si>
  <si>
    <t>https://www.flowcode.co.uk/wiki/index.php?title=Component:_ID_2740a93b_32a9_48d1_8fc3_089d13b50bb5</t>
  </si>
  <si>
    <t>https://www.flowcode.co.uk/wiki/index.php?title=Component:_ID_2bfc8781_9817_4e0c_89f3_28dac37e9a62</t>
  </si>
  <si>
    <t>https://www.flowcode.co.uk/wiki/index.php?title=Component:_ID_5f7b77e5_e979_4010_93f1_e6d98f83bd71</t>
  </si>
  <si>
    <t>https://www.flowcode.co.uk/wiki/index.php?title=Component:_ID_29e63c23_636f_4f9a_b691_ba1a717e3503</t>
  </si>
  <si>
    <t>https://www.flowcode.co.uk/wiki/index.php?title=Component:_ID_74571cdc_4f94_4e9a_b56b_376f36424996</t>
  </si>
  <si>
    <t>https://www.flowcode.co.uk/wiki/index.php?title=Component:_ID_563f8662_1205_4508_9e07_0b54471683f3</t>
  </si>
  <si>
    <t>https://www.flowcode.co.uk/wiki/index.php?title=Component:_ID_eb9025a7_acec_455c_9033_bd4dd2586e05</t>
  </si>
  <si>
    <t>https://www.flowcode.co.uk/wiki/index.php?title=Component:_ID_b904b771_a7bc_47ec_a1ea_9d4c77afccf2</t>
  </si>
  <si>
    <t>https://www.flowcode.co.uk/wiki/index.php?title=Component:_ID_447dabf8_4e39_46a5_a3d6_a02341bef0f0</t>
  </si>
  <si>
    <t>https://www.flowcode.co.uk/wiki/index.php?title=Component:_ID_8e4553f8_fce7_4fed_80c1_33de9590a678</t>
  </si>
  <si>
    <t>https://www.flowcode.co.uk/wiki/index.php?title=Component:_ID_0953aac0_9c23_4c2f_9843_88954a4191ea</t>
  </si>
  <si>
    <t>https://www.flowcode.co.uk/wiki/index.php?title=Component:_ID_672cb410_6026_403b_aff7_0628fe9e8140</t>
  </si>
  <si>
    <t>https://www.flowcode.co.uk/wiki/index.php?title=Component:_ID_913991df_9bcb_475a_ae49_d9eb611b0d71</t>
  </si>
  <si>
    <t>https://www.flowcode.co.uk/wiki/index.php?title=Component:_ID_3cf64267_8c56_47b0_84a1_a933a77716bc</t>
  </si>
  <si>
    <t>https://www.flowcode.co.uk/wiki/index.php?title=Component:_ID_c198e346_6b0f_4309_973c_78d7207e0b96</t>
  </si>
  <si>
    <t>https://www.flowcode.co.uk/wiki/index.php?title=Component:_ID_ee697d50_7fb5_4074_8cd6_996e5c386722</t>
  </si>
  <si>
    <t>https://www.flowcode.co.uk/wiki/index.php?title=Component:_ID_b4f41fb0_9335_4a8f_a41d_284a8cfc31b5</t>
  </si>
  <si>
    <t>https://www.flowcode.co.uk/wiki/index.php?title=Component:_ID_ef9cb184_0167_4d3e_a63b_6e0faad72391</t>
  </si>
  <si>
    <t>https://www.flowcode.co.uk/wiki/index.php?title=Component:_ID_24bef796_e0e3_4195_a76d_920fdba5ea79</t>
  </si>
  <si>
    <t>https://www.flowcode.co.uk/wiki/index.php?title=Component:_ID_5a88c882_0396_44f3_a67b_f236244800d1</t>
  </si>
  <si>
    <t>https://www.flowcode.co.uk/wiki/index.php?title=Component:_ID_66dc78fd_b0c7_42f8_aaea_ccbb291001fb</t>
  </si>
  <si>
    <t>https://www.flowcode.co.uk/wiki/index.php?title=Component:_ID_0161e243_0ca0_497d_88be_76351cf4dfa1</t>
  </si>
  <si>
    <t>https://www.flowcode.co.uk/wiki/index.php?title=Component:_ID_103aab27_2ea3_483c_9710_fc3c495288a7</t>
  </si>
  <si>
    <t>https://www.flowcode.co.uk/wiki/index.php?title=Component:_ID_284bf38b_0fe1_4a0b_ae43_e1784445821b</t>
  </si>
  <si>
    <t>https://www.flowcode.co.uk/wiki/index.php?title=Component:_ID_5015c7e1_2166_4f1a_b9b1_9bd181784cea</t>
  </si>
  <si>
    <t>https://www.flowcode.co.uk/wiki/index.php?title=Component:_ID_d814cb36_0d04_4eeb_b5b3_da8276ad8bdf</t>
  </si>
  <si>
    <t>https://www.flowcode.co.uk/wiki/index.php?title=Component:_ID_d977c3ef_c7dc_4683_a1be_76e17e6ba12b</t>
  </si>
  <si>
    <t>https://www.flowcode.co.uk/wiki/index.php?title=Component:_ID_bbf0ab46_623e_44c6_9402_3acfcd9d0006</t>
  </si>
  <si>
    <t>https://www.flowcode.co.uk/wiki/index.php?title=Component:_ID_d61dd6a6_231e_4244_9e8d_4f15e7ea10d5</t>
  </si>
  <si>
    <t>https://www.flowcode.co.uk/wiki/index.php?title=Component:_ID_db2c91d9_4fd5_42b8_98f4_76dfb160dece</t>
  </si>
  <si>
    <t>https://www.flowcode.co.uk/wiki/index.php?title=Component:_ID_20699a0c_0925_40c4_8aa1_35f294e225e6</t>
  </si>
  <si>
    <t>https://www.flowcode.co.uk/wiki/index.php?title=Component:_ID_a05022fd_6fa1_499d_b885_a7d983e7bfdf</t>
  </si>
  <si>
    <t>https://www.flowcode.co.uk/wiki/index.php?title=Component:_ID_58be670e_18fb_477e_ab09_61fde14b23ec</t>
  </si>
  <si>
    <t>https://www.flowcode.co.uk/wiki/index.php?title=Component:_ID_3a68ebf7_1225_4b29_87da_a734c0720591</t>
  </si>
  <si>
    <t>https://www.flowcode.co.uk/wiki/index.php?title=Component:_ID_15921536_cf92_4cd3_88e4_207c251ab775</t>
  </si>
  <si>
    <t>https://www.flowcode.co.uk/wiki/index.php?title=Component:_ID_05e09581_b11d_46ae_b32d_c6414a6a922d</t>
  </si>
  <si>
    <t>https://www.flowcode.co.uk/wiki/index.php?title=Component:_ID_b6909b43_7bfb_433f_8fdb_3b7d457ea73d</t>
  </si>
  <si>
    <t>https://www.flowcode.co.uk/wiki/index.php?title=Component:_ID_9f9ffa92_a20d_4ba8_94e1_04e45bdea154</t>
  </si>
  <si>
    <t>https://www.flowcode.co.uk/wiki/index.php?title=Component:_ID_97e631c7_51d9_4482_9b65_481b390a686d</t>
  </si>
  <si>
    <t>https://www.flowcode.co.uk/wiki/index.php?title=Component:_ID_76bb1b8c_43da_48d3_b53f_a9907f03a528</t>
  </si>
  <si>
    <t>https://www.flowcode.co.uk/wiki/index.php?title=Component:_ID_331daac0_653d_4f45_9822_6408a8258bda</t>
  </si>
  <si>
    <t>https://www.flowcode.co.uk/wiki/index.php?title=Component:_ID_e565ab5d_bf80_4911_938a_75b226ca6f93</t>
  </si>
  <si>
    <t>https://www.flowcode.co.uk/wiki/index.php?title=Component:_ID_37025734_a84d_46ad_9078_925beb81f38b</t>
  </si>
  <si>
    <t>https://www.flowcode.co.uk/wiki/index.php?title=Component:_ID_3a3a0802_42b6_4c31_8983_4d043b70b443</t>
  </si>
  <si>
    <t>https://www.flowcode.co.uk/wiki/index.php?title=Component:_ID_a69bf9b3_272e_44b3_a47d_22f53c3c0804</t>
  </si>
  <si>
    <t>https://www.flowcode.co.uk/wiki/index.php?title=Component:_ID_60de8264_7faf_4f77_904e_69bb19909ba8</t>
  </si>
  <si>
    <t>https://www.flowcode.co.uk/wiki/index.php?title=Component:_ID_eabeda20_432c_4554_80b3_5851d675a9e7</t>
  </si>
  <si>
    <t>https://www.flowcode.co.uk/wiki/index.php?title=Component:_ID_482486a9_7207_4b46_9e63_5c459534ab19</t>
  </si>
  <si>
    <t>https://www.flowcode.co.uk/wiki/index.php?title=Component:_ID_75a362f4_d74d_48e7_9790_530f4d0e78b6</t>
  </si>
  <si>
    <t>https://www.flowcode.co.uk/wiki/index.php?title=Component:_ID_d950cf7c_f9fc_49ba_a486_0d45b6afd1aa</t>
  </si>
  <si>
    <t>https://www.flowcode.co.uk/wiki/index.php?title=Component:_ID_5d2c6406_e3aa_46bd_8144_57f60194a1e9</t>
  </si>
  <si>
    <t>https://www.flowcode.co.uk/wiki/index.php?title=Component:_ID_459c9cfb_82e3_40ad_9456_54fc40ba5e6c</t>
  </si>
  <si>
    <t>https://www.flowcode.co.uk/wiki/index.php?title=Component:_ID_43861adb_8a59_492d_8f9f_a08775800bc1</t>
  </si>
  <si>
    <t>https://www.flowcode.co.uk/wiki/index.php?title=Component:_ID_ccdce31d_a1a3_437a_88ba_5431745ddf6e</t>
  </si>
  <si>
    <t>https://www.flowcode.co.uk/wiki/index.php?title=Component:_ID_83c10dbf_a8d2_42d0_8be5_60adbe2d49b1</t>
  </si>
  <si>
    <t>https://www.flowcode.co.uk/wiki/index.php?title=Component:_ID_fc012d2f_082a_4f6f_a61b_314c46477eb2</t>
  </si>
  <si>
    <t>https://www.flowcode.co.uk/wiki/index.php?title=Component:_ID_b3061d15_325b_4a8f_863a_a059fab79caf</t>
  </si>
  <si>
    <t>https://www.flowcode.co.uk/wiki/index.php?title=Component:_ID_f2e05e6d_1864_465b_8d1d_0fc9238a7535</t>
  </si>
  <si>
    <t>https://www.flowcode.co.uk/wiki/index.php?title=Component:_ID_c211fc8f_6f17_461f_a44b_01dbc2368fbe</t>
  </si>
  <si>
    <t>https://www.flowcode.co.uk/wiki/index.php?title=Component:_ID_4239fde7_4f14_4a0e_b4d5_2b7886aa5e14</t>
  </si>
  <si>
    <t>https://www.flowcode.co.uk/wiki/index.php?title=Component:_ID_f222b30d_9da1_4487_9032_5f05b6fb85fc</t>
  </si>
  <si>
    <t>https://www.flowcode.co.uk/wiki/index.php?title=Component:_ID_47f6b39b_ead7_40f5_9931_8a79aa54014a</t>
  </si>
  <si>
    <t>https://www.flowcode.co.uk/wiki/index.php?title=Component:_ID_97647329_1e06_46dc_ba11_9d721038294d</t>
  </si>
  <si>
    <t>https://www.flowcode.co.uk/wiki/index.php?title=Component:_ID_019e3dbb_2bfa_44a7_baf0_17b672d9b8f4</t>
  </si>
  <si>
    <t>https://www.flowcode.co.uk/wiki/index.php?title=Component:_ID_687f8ad4_59f2_4079_bb84_7713dcb57a13</t>
  </si>
  <si>
    <t>https://www.flowcode.co.uk/wiki/index.php?title=Component:_ID_a93b1f52_b96d_4a14_806e_63f73d2654b2</t>
  </si>
  <si>
    <t>https://www.flowcode.co.uk/wiki/index.php?title=Component:_ID_2bff9939_f404_4915_8a51_59db53e5470e</t>
  </si>
  <si>
    <t>https://www.flowcode.co.uk/wiki/index.php?title=Component:_ID_1ecb9b0a_53e7_45c9_ab6f_7a0d4a0c47e1</t>
  </si>
  <si>
    <t>https://www.flowcode.co.uk/wiki/index.php?title=Component:_ID_82a800d4_8620_4386_8ba3_25af2768f24e</t>
  </si>
  <si>
    <t>https://www.flowcode.co.uk/wiki/index.php?title=Component:_ID_91049bf5_2436_42dc_947a_c30c86463d98</t>
  </si>
  <si>
    <t>https://www.flowcode.co.uk/wiki/index.php?title=Component:_ID_756045fb_388b_4dbb_8f10_5136de8bfacb</t>
  </si>
  <si>
    <t>https://www.flowcode.co.uk/wiki/index.php?title=Component:_ID_64f3c8ad_21a4_4e15_b9aa_c32a2edca893</t>
  </si>
  <si>
    <t>https://www.flowcode.co.uk/wiki/index.php?title=Component:_ID_0d82e327_2114_430e_812e_9f5b3fe99ef7</t>
  </si>
  <si>
    <t>https://www.flowcode.co.uk/wiki/index.php?title=Component:_ID_53a15e07_4dcd_4dd6_96a9_d96164d63574</t>
  </si>
  <si>
    <t>https://www.flowcode.co.uk/wiki/index.php?title=Component:_ID_f959d1c6_e0be_415b_abd6_da5b386638f3</t>
  </si>
  <si>
    <t>https://www.flowcode.co.uk/wiki/index.php?title=Component:_ID_4b055fcf_06dd_471b_8736_d2a089e0dbe5</t>
  </si>
  <si>
    <t>https://www.flowcode.co.uk/wiki/index.php?title=Component:_ID_64b26b13_68cf_4a92_8616_e882b7c71023</t>
  </si>
  <si>
    <t>https://www.flowcode.co.uk/wiki/index.php?title=Component:_ID_5bd41be2_1b9c_4f30_ba78_84cb29d61ced</t>
  </si>
  <si>
    <t>https://www.flowcode.co.uk/wiki/index.php?title=Component:_ID_d43a1c1f_8ad6_4271_9f62_20e1bdf529f0</t>
  </si>
  <si>
    <t>https://www.flowcode.co.uk/wiki/index.php?title=Component:_ID_4616b658_531f_4c5e_981a_4d9fc04f9a36</t>
  </si>
  <si>
    <t>https://www.flowcode.co.uk/wiki/index.php?title=Component:_ID_e65e5368_af24_44a9_897e_cb0422fcea27</t>
  </si>
  <si>
    <t>https://www.flowcode.co.uk/wiki/index.php?title=Component:_ID_ec64c307_3099_485b_bd55_052a5da95128</t>
  </si>
  <si>
    <t>https://www.flowcode.co.uk/wiki/index.php?title=Component:_ID_66309a73_20da_4f2f_bb92_c4749cfad84c</t>
  </si>
  <si>
    <t>https://www.flowcode.co.uk/wiki/index.php?title=Component:_ID_444fb704_814c_4707_a15c_759ba088505c</t>
  </si>
  <si>
    <t>https://www.flowcode.co.uk/wiki/index.php?title=Component:_ID_c46023c5_27e5_4122_bf3e_4519f23cfa0c</t>
  </si>
  <si>
    <t>https://www.flowcode.co.uk/wiki/index.php?title=Component:_ID_20a48db1_d91d_4c51_a49f_f878d0bcbad3</t>
  </si>
  <si>
    <t>https://www.flowcode.co.uk/wiki/index.php?title=Component:_ID_6e5b4f6f_e2d9_4272_a854_749a762f55c1</t>
  </si>
  <si>
    <t>https://www.flowcode.co.uk/wiki/index.php?title=Component:_ID_77e27287_6ca9_44f7_a160_d338d87b68de</t>
  </si>
  <si>
    <t>https://www.flowcode.co.uk/wiki/index.php?title=Component:_ID_70ec3aee_f273_4b0e_8ee6_e2b3a8b693af</t>
  </si>
  <si>
    <t>https://www.flowcode.co.uk/wiki/index.php?title=Component:_ID_10253706_19b9_4d0c_b3a2_33fabd2c5b82</t>
  </si>
  <si>
    <t>https://www.flowcode.co.uk/wiki/index.php?title=Component:_ID_64f4811d_e83f_4e82_be8a_9e857f6ec6e6</t>
  </si>
  <si>
    <t>https://www.flowcode.co.uk/wiki/index.php?title=Component:_ID_b8c43425_121c_4dfc_8a70_665973e9938b</t>
  </si>
  <si>
    <t>https://www.flowcode.co.uk/wiki/index.php?title=Component:_ID_a9eb79b0_1d24_4acf_aade_d3639aa800c7</t>
  </si>
  <si>
    <t>https://www.flowcode.co.uk/wiki/index.php?title=Component:_ID_819d0c05_aaa2_4431_84dc_d40f3eee1b54</t>
  </si>
  <si>
    <t>https://www.flowcode.co.uk/wiki/index.php?title=Component:_ID_03b98e89_8fee_466f_87b9_42b3b3e1cb41</t>
  </si>
  <si>
    <t>https://www.flowcode.co.uk/wiki/index.php?title=Component:_ID_055a7ab6_78df_47ca_b967_143485c4d706</t>
  </si>
  <si>
    <t>https://www.flowcode.co.uk/wiki/index.php?title=Component:_ID_311acbb0_1031_4952_bc15_9524b6b1b074</t>
  </si>
  <si>
    <t>https://www.flowcode.co.uk/wiki/index.php?title=Component:_ID_81e90a9f_1594_4b34_8aef_5dd671dddc30</t>
  </si>
  <si>
    <t>https://www.flowcode.co.uk/wiki/index.php?title=Component:_ID_74423151_1bf4_48b8_8ba8_a70c170ef2de</t>
  </si>
  <si>
    <t>https://www.flowcode.co.uk/wiki/index.php?title=Component:_ID_05b6159b_1572_4c0d_8ddf_705d9741955a</t>
  </si>
  <si>
    <t>https://www.flowcode.co.uk/wiki/index.php?title=Component:_ID_3f8d29a6_40a6_4d5e_a254_190c86d9ebb7</t>
  </si>
  <si>
    <t>https://www.flowcode.co.uk/wiki/index.php?title=Component:_ID_45bd9065_b6f7_42be_b96f_28c3df2c0a22</t>
  </si>
  <si>
    <t>https://www.flowcode.co.uk/wiki/index.php?title=Component:_ID_12a23e2a_0b1e_427e_975a_f0b56d4a9483</t>
  </si>
  <si>
    <t>https://www.flowcode.co.uk/wiki/index.php?title=Component:_ID_c73616d1_7ad0_45d9_aada_69ccfa4c5efc</t>
  </si>
  <si>
    <t>https://www.flowcode.co.uk/wiki/index.php?title=Component:_ID_f0e01201_8951_4748_87c3_d1f8423bb6e4</t>
  </si>
  <si>
    <t>https://www.flowcode.co.uk/wiki/index.php?title=Component:_ID_b49da131_faf9_4bd7_bcdf_323016e64ffd</t>
  </si>
  <si>
    <t>https://www.flowcode.co.uk/wiki/index.php?title=Component:_ID_73611f11_f97d_4e6e_88e6_2d59b39c0a4a</t>
  </si>
  <si>
    <t>https://www.flowcode.co.uk/wiki/index.php?title=Component:_ID_488c3a77_9ff2_4e60_9bfd_cf074405e294</t>
  </si>
  <si>
    <t>https://www.flowcode.co.uk/wiki/index.php?title=Component:_ID_4ae66a67_562d_4d77_8417_9cd652f4f103</t>
  </si>
  <si>
    <t>https://www.flowcode.co.uk/wiki/index.php?title=Component:_ID_62b6ca37_eb0a_4b5f_b2e1_9a732c4e05ce</t>
  </si>
  <si>
    <t>https://www.flowcode.co.uk/wiki/index.php?title=Component:_ID_c474787b_7730_4e4e_9883_24530b676ea3</t>
  </si>
  <si>
    <t>https://www.flowcode.co.uk/wiki/index.php?title=Component:_ID_76e989d0_a2ed_457f_a293_3025b804f433</t>
  </si>
  <si>
    <t>https://www.flowcode.co.uk/wiki/index.php?title=Component:_ID_9306f758_06af_49f8_8b09_d10d2b4374dd</t>
  </si>
  <si>
    <t>https://www.flowcode.co.uk/wiki/index.php?title=Component:_ID_c7edc169_d417_46ec_ad9b_983ee0326e29</t>
  </si>
  <si>
    <t>https://www.flowcode.co.uk/wiki/index.php?title=Component:_ID_2b53c2f2_b5d4_4e36_a647_6f9238744a75</t>
  </si>
  <si>
    <t>https://www.flowcode.co.uk/wiki/index.php?title=Component:_ID_556754b4_bed5_4bcd_88dd_fb13f92020d6</t>
  </si>
  <si>
    <t>https://www.flowcode.co.uk/wiki/index.php?title=Component:_ID_c9197106_edf6_4dcc_9654_ea56ad26f370</t>
  </si>
  <si>
    <t>https://www.flowcode.co.uk/wiki/index.php?title=Component:_ID_40d5f2e2_3fb5_479a_91e1_f8ec3aae9e3a</t>
  </si>
  <si>
    <t>https://www.flowcode.co.uk/wiki/index.php?title=Component:_ID_e52b2356_d8b7_458b_8583_71f208bfd572</t>
  </si>
  <si>
    <t>https://www.flowcode.co.uk/wiki/index.php?title=Component:_ID_b0a73b26_a060_4bbc_a94e_d4ee2fd0edbd</t>
  </si>
  <si>
    <t>https://www.flowcode.co.uk/wiki/index.php?title=Component:_ID_ed171d42_05fd_4946_9bf1_e59a9c98c5b8</t>
  </si>
  <si>
    <t>https://www.flowcode.co.uk/wiki/index.php?title=Component:_ID_3705f53b_93ce_4fa7_8947_0b67f098022d</t>
  </si>
  <si>
    <t>https://www.flowcode.co.uk/wiki/index.php?title=Component:_ID_ec492589_4787_4b79_96df_718f9a2b46f1</t>
  </si>
  <si>
    <t>https://www.flowcode.co.uk/wiki/index.php?title=Component:_ID_1f50402b_cc0b_468c_a329_5108c448e263</t>
  </si>
  <si>
    <t>https://www.flowcode.co.uk/wiki/index.php?title=Component:_ID_e4f1697e_5571_475a_a2b1_aa7243920422</t>
  </si>
  <si>
    <t>https://www.flowcode.co.uk/wiki/index.php?title=Component:_ID_4627d2fb_b41e_44cf_b125_e8511e5ebaa4</t>
  </si>
  <si>
    <t>https://www.flowcode.co.uk/wiki/index.php?title=Component:_ID_96862c4d_debc_45fa_9433_74711a4b9a3b</t>
  </si>
  <si>
    <t>https://www.flowcode.co.uk/wiki/index.php?title=Component:_ID_e2955f6c_d724_4ab0_afca_d62093a77248</t>
  </si>
  <si>
    <t>https://www.flowcode.co.uk/wiki/index.php?title=Component:_ID_cd5898bf_3a23_455e_b4e0_cddc1eec1d62</t>
  </si>
  <si>
    <t>https://www.flowcode.co.uk/wiki/index.php?title=Component:_ID_a871ac1d_7a58_4474_a08b_c9c9017cd2ed</t>
  </si>
  <si>
    <t>https://www.flowcode.co.uk/wiki/index.php?title=Component:_ID_f307403b_2134_4efa_bfac_bbd0adc0f253</t>
  </si>
  <si>
    <t>https://www.flowcode.co.uk/wiki/index.php?title=Component:_ID_165242cb_b40c_416e_a435_1fe7e724c5b8</t>
  </si>
  <si>
    <t>https://www.flowcode.co.uk/wiki/index.php?title=Component:_ID_960e433c_1295_4aeb_ac84_04d75422119e</t>
  </si>
  <si>
    <t>https://www.flowcode.co.uk/wiki/index.php?title=Component:_ID_b86179cb_b561_4be4_9d12_e51da4248807</t>
  </si>
  <si>
    <t>https://www.flowcode.co.uk/wiki/index.php?title=Component:_ID_bc8ae960_3887_4d08_ac7c_1eedb8e5f6c8</t>
  </si>
  <si>
    <t>https://www.flowcode.co.uk/wiki/index.php?title=Component:_ID_9202a62e_0a42_4780_adce_16b701e5ec53</t>
  </si>
  <si>
    <t>https://www.flowcode.co.uk/wiki/index.php?title=Component:_ID_bddc472f_59dc_4705_997e_662768d643cd</t>
  </si>
  <si>
    <t>https://www.flowcode.co.uk/wiki/index.php?title=Component:_ID_406f69d1_6f0e_4c9a_974f_aa0d178feb3a</t>
  </si>
  <si>
    <t>https://www.flowcode.co.uk/wiki/index.php?title=Component:_ID_fddf4a52_13cf_4a42_b4c5_d525e824a55a</t>
  </si>
  <si>
    <t>https://www.flowcode.co.uk/wiki/index.php?title=Component:_ID_ca4f7f42_4697_4d24_95b8_9cc3a9ebdd83</t>
  </si>
  <si>
    <t>https://www.flowcode.co.uk/wiki/index.php?title=Component:_ID_315b8ff5_e86e_4b4a_b823_5d8574101738</t>
  </si>
  <si>
    <t>https://www.flowcode.co.uk/wiki/index.php?title=Component:_ID_01fd689c_985c_4b10_bc98_99de5f9b41a8</t>
  </si>
  <si>
    <t>https://www.flowcode.co.uk/wiki/index.php?title=Component:_ID_c31acc1a_f3a2_4fe2_b57c_f654379dd832</t>
  </si>
  <si>
    <t>https://www.flowcode.co.uk/wiki/index.php?title=Component:_ID_a8abdc98_224c_4c8a_8311_2921cb3dbe46</t>
  </si>
  <si>
    <t>https://www.flowcode.co.uk/wiki/index.php?title=Component:_ID_9d05cfe0_9394_4b7f_83fa_7b001e12c5d3</t>
  </si>
  <si>
    <t>https://www.flowcode.co.uk/wiki/index.php?title=Component:_ID_306b3759_a92f_4779_b15f_93a9e35a75bf</t>
  </si>
  <si>
    <t>https://www.flowcode.co.uk/wiki/index.php?title=Component:_ID_4b8ae722_573a_473d_8455_a2e6edad1f36</t>
  </si>
  <si>
    <t>https://www.flowcode.co.uk/wiki/index.php?title=Component:_ID_b3a7287a_4070_49d1_9122_bf6169f67cd1</t>
  </si>
  <si>
    <t>https://www.flowcode.co.uk/wiki/index.php?title=Component:_ID_8aab4b54_a912_449c_b11a_7c1a5db8d591</t>
  </si>
  <si>
    <t>https://www.flowcode.co.uk/wiki/index.php?title=Component:_ID_54369d81_80ed_4d59_97bf_91f4b2cdf24c</t>
  </si>
  <si>
    <t>https://www.flowcode.co.uk/wiki/index.php?title=Component:_ID_a1820de1_8cfe_4675_b185_a62ce44e2a6f</t>
  </si>
  <si>
    <t>https://www.flowcode.co.uk/wiki/index.php?title=Component:_ID_bb483909_20df_4e51_ac45_092ab4adf36a</t>
  </si>
  <si>
    <t>https://www.flowcode.co.uk/wiki/index.php?title=Component:_ID_d6db973b_a543_4743_91b5_176f9c6613df</t>
  </si>
  <si>
    <t>https://www.flowcode.co.uk/wiki/index.php?title=Component:_ID_35d02098_c871_49c0_b34d_a3f86d764886</t>
  </si>
  <si>
    <t>https://www.flowcode.co.uk/wiki/index.php?title=Component:_ID_0341d84f_f7fd_473c_8076_b38b2d563e13</t>
  </si>
  <si>
    <t>https://www.flowcode.co.uk/wiki/index.php?title=Component:_ID_e18e39d3_2e05_4a15_b8aa_e8ada16cd3ef</t>
  </si>
  <si>
    <t>https://www.flowcode.co.uk/wiki/index.php?title=Component:_ID_3c01caaa_b732_49a0_b15e_7c9d98878b19</t>
  </si>
  <si>
    <t>https://www.flowcode.co.uk/wiki/index.php?title=Component:_ID_e2c3165d_8020_4e52_bc7e_7022ff459129</t>
  </si>
  <si>
    <t>https://www.flowcode.co.uk/wiki/index.php?title=Component:_ID_4de4697e_2de3_432e_a0fe_97ef8c79dfc0</t>
  </si>
  <si>
    <t>https://www.flowcode.co.uk/wiki/index.php?title=Component:_ID_8c08bf29_be7e_4408_92bc_91c476fb70db</t>
  </si>
  <si>
    <t>https://www.flowcode.co.uk/wiki/index.php?title=Component:_ID_387b4d2c_fc0f_44c0_a2ad_5fa05ed7db82</t>
  </si>
  <si>
    <t>https://www.flowcode.co.uk/wiki/index.php?title=Component:_ID_9e0fa7e4_0c8c_485d_98c4_6f0ef8e57d40</t>
  </si>
  <si>
    <t>https://www.flowcode.co.uk/wiki/index.php?title=Component:_ID_93ab1895_66cf_4fd8_a04f_79f09acc19e6</t>
  </si>
  <si>
    <t>https://www.flowcode.co.uk/wiki/index.php?title=Component:_ID_bd7d5205_c2eb_48b1_8a37_f967f349965f</t>
  </si>
  <si>
    <t>https://www.flowcode.co.uk/wiki/index.php?title=Component:_ID_a96ddf9d_631d_4db7_a66e_c709e2de7164</t>
  </si>
  <si>
    <t>https://www.flowcode.co.uk/wiki/index.php?title=Component:_ID_24ad2718_c70b_4088_aeda_3949dfdba740</t>
  </si>
  <si>
    <t>https://www.flowcode.co.uk/wiki/index.php?title=Component:_ID_51ad4fb4_3b45_4cd0_a74c_87311de8d3a2</t>
  </si>
  <si>
    <t>https://www.flowcode.co.uk/wiki/index.php?title=Component:_ID_dbf602c1_cb49_4149_bcd3_4a5afeae9a7a</t>
  </si>
  <si>
    <t>https://www.flowcode.co.uk/wiki/index.php?title=Component:_ID_0c6b22fc_6e81_4406_aabd_5feb928e6aee</t>
  </si>
  <si>
    <t>https://www.flowcode.co.uk/wiki/index.php?title=Component:_ID_6508c7be_063a_4f9f_bae5_4a41cf977a86</t>
  </si>
  <si>
    <t>https://www.flowcode.co.uk/wiki/index.php?title=Component:_ID_06a0a9b3_dd23_4592_a781_537a31b97c2a</t>
  </si>
  <si>
    <t>https://www.flowcode.co.uk/wiki/index.php?title=Component:_ID_fdceef06_919a_405b_8d0b_6118cd0e104c</t>
  </si>
  <si>
    <t>https://www.flowcode.co.uk/wiki/index.php?title=Component:_ID_3e28ac22_2855_410a_9660_0b0a4731e545</t>
  </si>
  <si>
    <t>https://www.flowcode.co.uk/wiki/index.php?title=Component:_ID_26cbc2df_5ef0_47db_ab2f_c2425b14462f</t>
  </si>
  <si>
    <t>https://www.flowcode.co.uk/wiki/index.php?title=Component:_ID_743ea495_34e7_47ee_bd79_3bfdc067b01c</t>
  </si>
  <si>
    <t>https://www.flowcode.co.uk/wiki/index.php?title=Component:_ID_6436a040_ccc8_46e5_82c1_68f8d87b16c5</t>
  </si>
  <si>
    <t>https://www.flowcode.co.uk/wiki/index.php?title=Component:_ID_eaee384d_6b16_4988_b1aa_8628231a7128</t>
  </si>
  <si>
    <t>https://www.flowcode.co.uk/wiki/index.php?title=Component:_ID_0dde7075_368e_404c_9d88_d9c6bec55172</t>
  </si>
  <si>
    <t>https://www.flowcode.co.uk/wiki/index.php?title=Component:_ID_66990164_3c50_4960_916d_327737a7a093</t>
  </si>
  <si>
    <t>https://www.flowcode.co.uk/wiki/index.php?title=Component:_ID_ea9c0946_5f88_4f9a_ae5f_8ba9b981b389</t>
  </si>
  <si>
    <t>https://www.flowcode.co.uk/wiki/index.php?title=Component:_ID_f0f54e46_0848_4930_9bb6_eff9a34ed229</t>
  </si>
  <si>
    <t>https://www.flowcode.co.uk/wiki/index.php?title=Component:_ID_e1bb4679_58ef_40dc_8d09_306ada46f7bf</t>
  </si>
  <si>
    <t>https://www.flowcode.co.uk/wiki/index.php?title=Component:_ID_4d985181_e4b1_4767_a068_fb31a6d68158</t>
  </si>
  <si>
    <t>https://www.flowcode.co.uk/wiki/index.php?title=Component:_ID_a1c9b843_a641_4b9c_b762_26995b8f9464</t>
  </si>
  <si>
    <t>https://www.flowcode.co.uk/wiki/index.php?title=Component:_ID_ff377ede_2c09_4a83_99a0_5e11c7ae16d9</t>
  </si>
  <si>
    <t>https://www.flowcode.co.uk/wiki/index.php?title=Component:_ID_c0a18557_a477_4d5a_b9ca_e0724378d983</t>
  </si>
  <si>
    <t>https://www.flowcode.co.uk/wiki/index.php?title=Component:_ID_9e68a715_edc2_4a98_be64_c0d02f700135</t>
  </si>
  <si>
    <t>https://www.flowcode.co.uk/wiki/index.php?title=Component:_ID_ee1635e0_3008_4836_89e1_005435f4a33d</t>
  </si>
  <si>
    <t>https://www.flowcode.co.uk/wiki/index.php?title=Component:_ID_f77f2b22_6a7c_4ae6_9f5f_724660cc6c93</t>
  </si>
  <si>
    <t>https://www.flowcode.co.uk/wiki/index.php?title=Component:_ID_8c4c9db2_8c42_458d_b071_001acd191c49</t>
  </si>
  <si>
    <t>https://www.flowcode.co.uk/wiki/index.php?title=Component:_ID_0a0819d2_73b7_4bc2_bc11_f3139972d224</t>
  </si>
  <si>
    <t>https://www.flowcode.co.uk/wiki/index.php?title=Component:_ID_ab872cc0_e6fe_4d30_a7cb_a1efc6ae87a6</t>
  </si>
  <si>
    <t>https://www.flowcode.co.uk/wiki/index.php?title=Component:_ID_5e5e01ec_16bb_4c83_8805_e6cb22d41c51</t>
  </si>
  <si>
    <t>https://www.flowcode.co.uk/wiki/index.php?title=Component:_ID_7b198227_81d6_404c_a2d4_ce1e59ef84f8</t>
  </si>
  <si>
    <t>https://www.flowcode.co.uk/wiki/index.php?title=Component:_ID_144a220f_7bc3_4b73_bc56_f9c7203bf204</t>
  </si>
  <si>
    <t>https://www.flowcode.co.uk/wiki/index.php?title=Component:_ID_53548cbe_cd57_471c_8ac1_3205d0e9da38</t>
  </si>
  <si>
    <t>https://www.flowcode.co.uk/wiki/index.php?title=Component:_ID_7aad74d6_b24e_4dab_91eb_5d72a973f12d</t>
  </si>
  <si>
    <t>https://www.flowcode.co.uk/wiki/index.php?title=Component:_ID_f2dfca22_b0b8_4694_8d30_1c25063578e3</t>
  </si>
  <si>
    <t>https://www.flowcode.co.uk/wiki/index.php?title=Component:_ID_446d753f_a6dc_489d_b624_f4f191783aa0</t>
  </si>
  <si>
    <t>https://www.flowcode.co.uk/wiki/index.php?title=Component:_ID_ff84da29_d690_4c8f_a6ab_3c5d59722061</t>
  </si>
  <si>
    <t>https://www.flowcode.co.uk/wiki/index.php?title=Component:_ID_cc31d777_b10d_4a0a_8b7a_58d842b5530d</t>
  </si>
  <si>
    <t>https://www.flowcode.co.uk/wiki/index.php?title=Component:_ID_a31b1f0a_4221_490d_ae25_027868688f0b</t>
  </si>
  <si>
    <t>https://www.flowcode.co.uk/wiki/index.php?title=Component:_ID_d79f7da1_0e33_4fba_b4a0_ac127b5a4812</t>
  </si>
  <si>
    <t>https://www.flowcode.co.uk/wiki/index.php?title=Component:_ID_d497dced_8e07_49d5_a9f9_4e67c43cb186</t>
  </si>
  <si>
    <t>https://www.flowcode.co.uk/wiki/index.php?title=Component:_ID_cff93310_545b_4948_a8fa_12b119c5f7a7</t>
  </si>
  <si>
    <t>https://www.flowcode.co.uk/wiki/index.php?title=Component:_ID_e77a4e40_e0df_431a_98f8_7ae4d8ebfbeb</t>
  </si>
  <si>
    <t>https://www.flowcode.co.uk/wiki/index.php?title=Component:_ID_8a1cca2f_7df1_4b3a_b24b_ca575fe84348</t>
  </si>
  <si>
    <t>https://www.flowcode.co.uk/wiki/index.php?title=Component:_ID_5bc4e362_1d31_4533_b8dd_134a53c5c0d9</t>
  </si>
  <si>
    <t>https://www.flowcode.co.uk/wiki/index.php?title=Component:_ID_18738948_277c_4ed2_8be0_becc616cb0b9</t>
  </si>
  <si>
    <t>https://www.flowcode.co.uk/wiki/index.php?title=Component:_ID_f857ba2b_69dd_4c95_b14d_cd0979f066f1</t>
  </si>
  <si>
    <t>https://www.flowcode.co.uk/wiki/index.php?title=Component:_ID_71d6cb24_d865_4ea8_b147_734ef7f76850</t>
  </si>
  <si>
    <t>https://www.flowcode.co.uk/wiki/index.php?title=Component:_ID_ed3a5141_43bb_43e0_86b0_2243fd1147ca</t>
  </si>
  <si>
    <t>https://www.flowcode.co.uk/wiki/index.php?title=Component:_ID_068080a0_b949_4a7e_b370_c45430e0c9de</t>
  </si>
  <si>
    <t>https://www.flowcode.co.uk/wiki/index.php?title=Component:_ID_c67171df_0ad6_4b11_8361_cfe14b072847</t>
  </si>
  <si>
    <t>https://www.flowcode.co.uk/wiki/index.php?title=Component:_ID_91b64b1d_b8b2_40f1_b073_e953a91fa234</t>
  </si>
  <si>
    <t>https://www.flowcode.co.uk/wiki/index.php?title=Component:_ID_9d67e3dc_ef9b_4d4d_b294_19c176eefab1</t>
  </si>
  <si>
    <t>https://www.flowcode.co.uk/wiki/index.php?title=Component:_ID_fc68f857_0f97_420b_8f46_38eb56e5c8cf</t>
  </si>
  <si>
    <t>https://www.flowcode.co.uk/wiki/index.php?title=Component:_ID_c5be1da0_4b4c_49b9_82e5_ea2426f52606</t>
  </si>
  <si>
    <t>https://www.flowcode.co.uk/wiki/index.php?title=Component:_ID_3005c264_3a6d_412a_97dc_2569ed8c149c</t>
  </si>
  <si>
    <t>https://www.flowcode.co.uk/wiki/index.php?title=Component:_ID_0506f9ed_0e0e_493f_a08b_e9e66052b13e</t>
  </si>
  <si>
    <t>https://www.flowcode.co.uk/wiki/index.php?title=Component:_ID_caf757fd_8813_421e_bf75_1a365b20dbc5</t>
  </si>
  <si>
    <t>https://www.flowcode.co.uk/wiki/index.php?title=Component:_ID_d750dde7_ddbc_4d66_bea1_5a5ae94dfa70</t>
  </si>
  <si>
    <t>https://www.flowcode.co.uk/wiki/index.php?title=Component:_ID_0d074f2e_5ff6_45d2_a0a8_1b5c3aa34e41</t>
  </si>
  <si>
    <t>https://www.flowcode.co.uk/wiki/index.php?title=Component:_ID_175423b4_b359_4aa7_9bc4_1867301742af</t>
  </si>
  <si>
    <t>https://www.flowcode.co.uk/wiki/index.php?title=Component:_ID_aba70ed4_4d0c_47e1_90c7_bfda5262eec3</t>
  </si>
  <si>
    <t>https://www.flowcode.co.uk/wiki/index.php?title=Component:_ID_2e0aa52e_ac04_4997_b3ac_77205ba19522</t>
  </si>
  <si>
    <t>https://www.flowcode.co.uk/wiki/index.php?title=Component:_ID_d68e61bc_0e8c_4e3d_959b_39e2decfb680</t>
  </si>
  <si>
    <t>https://www.flowcode.co.uk/wiki/index.php?title=Component:_ID_8c84170a_6fe8_4386_9709_451a0d21da64</t>
  </si>
  <si>
    <t>https://www.flowcode.co.uk/wiki/index.php?title=Component:_ID_c7af6f97_a9d6_45d0_a7d2_48d85dbef664</t>
  </si>
  <si>
    <t>https://www.flowcode.co.uk/wiki/index.php?title=Component:_ID_f51b5e55_6a64_49ad_b79d_2b57db0cd54b</t>
  </si>
  <si>
    <t>https://www.flowcode.co.uk/wiki/index.php?title=Component:_ID_ddad9cb9_122d_4f29_aaa9_233d3a967ca8</t>
  </si>
  <si>
    <t>https://www.flowcode.co.uk/wiki/index.php?title=Component:_ID_7ade85db_6ca2_48bf_b19c_8148ebda497b</t>
  </si>
  <si>
    <t>https://www.flowcode.co.uk/wiki/index.php?title=Component:_ID_dcbf571f_a6fa_402d_bdd4_be00cca4070f</t>
  </si>
  <si>
    <t>https://www.flowcode.co.uk/wiki/index.php?title=Component:_ID_fc3c670c_502a_418f_a123_649179752383</t>
  </si>
  <si>
    <t>https://www.flowcode.co.uk/wiki/index.php?title=Component:_ID_07698cde_7f30_419b_825c_35450877ad26</t>
  </si>
  <si>
    <t>https://www.flowcode.co.uk/wiki/index.php?title=Component:_ID_44f742f7_3039_4edb_8e96_717377b85e69</t>
  </si>
  <si>
    <t>https://www.flowcode.co.uk/wiki/index.php?title=Component:_ID_b710c9a3_b93a_407d_81b2_190b5f6afdf1</t>
  </si>
  <si>
    <t>https://www.flowcode.co.uk/wiki/index.php?title=Component:_ID_4d50e925_93e7_43ff_9c9f_8e958b9d714c</t>
  </si>
  <si>
    <t>https://www.flowcode.co.uk/wiki/index.php?title=Component:_ID_25db03ef_5393_4fb8_9b34_87a506428296</t>
  </si>
  <si>
    <t>https://www.flowcode.co.uk/wiki/index.php?title=Component:_ID_15d02383_645d_4bbe_8732_a67162cdb90c</t>
  </si>
  <si>
    <t>https://www.flowcode.co.uk/wiki/index.php?title=Component:_ID_c3e842d5_cf5d_4e4e_a406_95067ba26693</t>
  </si>
  <si>
    <t>https://www.flowcode.co.uk/wiki/index.php?title=Component:_ID_c4badacf_868a_4744_ad5a_a74fea126d6b</t>
  </si>
  <si>
    <t>https://www.flowcode.co.uk/wiki/index.php?title=Component:_ID_c7ba30ad_1d81_496e_b2ca_e4efb109521b</t>
  </si>
  <si>
    <t>https://www.flowcode.co.uk/wiki/index.php?title=Component:_ID_c6586b24_9a1c_4e19_8051_8ae5923c418a</t>
  </si>
  <si>
    <t>https://www.flowcode.co.uk/wiki/index.php?title=Component:_ID_cb40c3c2_03fd_4d66_9364_790e72714bcb</t>
  </si>
  <si>
    <t>https://www.flowcode.co.uk/wiki/index.php?title=Component:_ID_5a6d2f2e_da92_49b4_ad5c_71f51e8fe24b</t>
  </si>
  <si>
    <t>https://www.flowcode.co.uk/wiki/index.php?title=Component:_ID_1b08885c_807e_4631_930e_a4fef06159dc</t>
  </si>
  <si>
    <t>https://www.flowcode.co.uk/wiki/index.php?title=Component:_ID_79f105db_3eb0_45cb_b3fb_e4b6d6e94358</t>
  </si>
  <si>
    <t>https://www.flowcode.co.uk/wiki/index.php?title=Component:_ID_bc0a0612_ef85_48fb_8960_5e78f4083df1</t>
  </si>
  <si>
    <t>https://www.flowcode.co.uk/wiki/index.php?title=Component:_ID_7bd84555_ae51_40cc_8e1a_a7bcba661e52</t>
  </si>
  <si>
    <t>https://www.flowcode.co.uk/wiki/index.php?title=Component:_ID_b5148d9e_884c_488e_8536_741e7fc4306c</t>
  </si>
  <si>
    <t>https://www.flowcode.co.uk/wiki/index.php?title=Component:_ID_3408fde0_f512_487b_8902_74cd56623191</t>
  </si>
  <si>
    <t>https://www.flowcode.co.uk/wiki/index.php?title=Component:_ID_c9d3b357_b914_4301_a741_0d13819e441c</t>
  </si>
  <si>
    <t>https://www.flowcode.co.uk/wiki/index.php?title=Component:_ID_641b19bc_b941_46de_843d_229ca347466d</t>
  </si>
  <si>
    <t>https://www.flowcode.co.uk/wiki/index.php?title=Component:_ID_a1edc3df_71d0_4ec5_a511_05818570696f</t>
  </si>
  <si>
    <t>https://www.flowcode.co.uk/wiki/index.php?title=Component:_ID_b0f3982e_7ca6_4504_afe5_1b76fa09fad1</t>
  </si>
  <si>
    <t>https://www.flowcode.co.uk/wiki/index.php?title=Component:_ID_ebf9c18e_044e_41e2_b845_da14e744b25f</t>
  </si>
  <si>
    <t>https://www.flowcode.co.uk/wiki/index.php?title=Component:_ID_91c1b7f5_6974_4ea3_84b3_4e24a9784631</t>
  </si>
  <si>
    <t>https://www.flowcode.co.uk/wiki/index.php?title=Component:_ID_0a432f5f_d9a0_4726_9b42_18de4eeddfd8</t>
  </si>
  <si>
    <t>https://www.flowcode.co.uk/wiki/index.php?title=Component:_ID_5ed21fc4_3979_4825_8c8e_95944d1101d9</t>
  </si>
  <si>
    <t>https://www.flowcode.co.uk/wiki/index.php?title=Component:_ID_8fccb5eb_1664_4dd5_9d2e_5c62294a7151</t>
  </si>
  <si>
    <t>https://www.flowcode.co.uk/wiki/index.php?title=Component:_ID_7b1ef6f5_5c39_4b7f_9faf_eed122ff2b3e</t>
  </si>
  <si>
    <t>https://www.flowcode.co.uk/wiki/index.php?title=Component:_ID_4ce64477_fd81_4ed6_ba31_176465949fd0</t>
  </si>
  <si>
    <t>https://www.flowcode.co.uk/wiki/index.php?title=Component:_ID_9e067700_36d1_4697_a165_9e8d60b45399</t>
  </si>
  <si>
    <t>https://www.flowcode.co.uk/wiki/index.php?title=Component:_ID_f6ab6074_68ba_4cd4_9274_f973102f8518</t>
  </si>
  <si>
    <t>https://www.flowcode.co.uk/wiki/index.php?title=Component:_ID_dba19ea1_efe2_46e4_90be_18ee41930d1e</t>
  </si>
  <si>
    <t>https://www.flowcode.co.uk/wiki/index.php?title=Component:_ID_f0f2f410_3216_4a3f_a2dc_db35f4a2821d</t>
  </si>
  <si>
    <t>https://www.flowcode.co.uk/wiki/index.php?title=Component:_ID_6548a7da_7e0b_4d45_ad92_f61bf5713442</t>
  </si>
  <si>
    <t>https://www.flowcode.co.uk/wiki/index.php?title=Component:_ID_e635704b_9d69_466c_be7f_a03543f011a6</t>
  </si>
  <si>
    <t>https://www.flowcode.co.uk/wiki/index.php?title=Component:_ID_fd1a193b_149f_4ba8_b1ce_ce39ca863975</t>
  </si>
  <si>
    <t>https://www.flowcode.co.uk/wiki/index.php?title=Component:_ID_8af7f5ec_2e7a_4080_9566_b816c24ebbfa</t>
  </si>
  <si>
    <t>https://www.flowcode.co.uk/wiki/index.php?title=Component:_ID_9d414a42_fd9b_4afd_9493_dbf80eece14a</t>
  </si>
  <si>
    <t>https://www.flowcode.co.uk/wiki/index.php?title=Component:_ID_496cf2f0_4220_4f70_9219_7c67c672e36e</t>
  </si>
  <si>
    <t>https://www.flowcode.co.uk/wiki/index.php?title=Component:_ID_889a6ac6_12d0_40c0_9882_075ce9801eeb</t>
  </si>
  <si>
    <t>https://www.flowcode.co.uk/wiki/index.php?title=Component:_ID_2149fdef_84e9_407d_b68d_fc7f39e6f41e</t>
  </si>
  <si>
    <t>https://www.flowcode.co.uk/wiki/index.php?title=Component:_ID_7e19b0ee_6cfd_49d3_8efb_67e7b145dfba</t>
  </si>
  <si>
    <t>https://www.flowcode.co.uk/wiki/index.php?title=Component:_ID_4e30b15e_2507_4583_995d_b2056e04a286</t>
  </si>
  <si>
    <t>https://www.flowcode.co.uk/wiki/index.php?title=Component:_ID_804de427_4b97_4468_9ea9_b5adf7b98771</t>
  </si>
  <si>
    <t>https://www.flowcode.co.uk/wiki/index.php?title=Component:_ID_5bd73e47_8060_4677_a1a3_6191ceb924b7</t>
  </si>
  <si>
    <t>https://www.flowcode.co.uk/wiki/index.php?title=Component:_ID_6a2520bc_d8dd_4001_937e_21925253291a</t>
  </si>
  <si>
    <t>https://www.flowcode.co.uk/wiki/index.php?title=Component:_ID_8a7a90d2_3274_4433_8609_699e976e0719</t>
  </si>
  <si>
    <t>https://www.flowcode.co.uk/wiki/index.php?title=Component:_ID_c9d3b357_b914_4301_a741_0d13819e452e</t>
  </si>
  <si>
    <t>https://www.flowcode.co.uk/wiki/index.php?title=Component:_ID_71ba0cdd_e003_4f6d_9dae_8eecffd1774b</t>
  </si>
  <si>
    <t>https://www.flowcode.co.uk/wiki/index.php?title=Component:_ID_ebd426a3_c694_42bb_8611_320e27c6ea65</t>
  </si>
  <si>
    <t>https://www.flowcode.co.uk/wiki/index.php?title=Component:_ID_6c74b9ee_2907_4b1e_8a9b_80fc192b6027</t>
  </si>
  <si>
    <t>https://www.flowcode.co.uk/wiki/index.php?title=Component:_ID_b80e57b1_8941_4831_878b_b27440b4f4d8</t>
  </si>
  <si>
    <t>https://www.flowcode.co.uk/wiki/index.php?title=Component:_ID_1d24df27_423c_4d91_b2bb_e6ad3e121f14</t>
  </si>
  <si>
    <t>https://www.flowcode.co.uk/wiki/index.php?title=Component:_ID_e871d984_b0e0_4185_8d94_b11d28040996</t>
  </si>
  <si>
    <t>https://www.flowcode.co.uk/wiki/index.php?title=Component:_ID_287e2f0b_8869_4994_a958_c8f851091322</t>
  </si>
  <si>
    <t>https://www.flowcode.co.uk/wiki/index.php?title=Component:_ID_b07090da_50a4_41ed_97d8_99016c092a14</t>
  </si>
  <si>
    <t>https://www.flowcode.co.uk/wiki/index.php?title=Component:_ID_8c97cc7d_3c7b_41b6_b255_6694b6b8eed9</t>
  </si>
  <si>
    <t>https://www.flowcode.co.uk/wiki/index.php?title=Component:_ID_14683ea8_5a08_4b3a_be2d_3dea3e17e720</t>
  </si>
  <si>
    <t>https://www.flowcode.co.uk/wiki/index.php?title=Component:_ID_d7e01665_00e9_4091_8aa6_b9a0dd265bce</t>
  </si>
  <si>
    <t>https://www.flowcode.co.uk/wiki/index.php?title=Component:_ID_8462ac99_ca8f_429b_953a_36dbe58ada72</t>
  </si>
  <si>
    <t>https://www.flowcode.co.uk/wiki/index.php?title=Component:_ID_2c813cfa_9563_4da8_85df_b4355a3c5108</t>
  </si>
  <si>
    <t>https://www.flowcode.co.uk/wiki/index.php?title=Component:_ID_3442e7cf_5482_48ce_886f_f151c73b27ef</t>
  </si>
  <si>
    <t>https://www.flowcode.co.uk/wiki/index.php?title=Component:_ID_f8c9b53d_0bf2_469f_8f0a_34caa93749ba</t>
  </si>
  <si>
    <t>https://www.flowcode.co.uk/wiki/index.php?title=Component:_ID_a2b40602_5421_4e2f_ba82_96db1be51d69</t>
  </si>
  <si>
    <t>https://www.flowcode.co.uk/wiki/index.php?title=Component:_ID_31326041_9339_4cf4_b609_c14cc66318b3</t>
  </si>
  <si>
    <t>https://www.flowcode.co.uk/wiki/index.php?title=Component:_ID_f45468b8_5731_4bfb_b5c0_4042ef1dd1da</t>
  </si>
  <si>
    <t>https://www.flowcode.co.uk/wiki/index.php?title=Component:_ID_bcd6a955_12c6_4ed4_a22f_f16eb62e0762</t>
  </si>
  <si>
    <t>https://www.flowcode.co.uk/wiki/index.php?title=Component:_ID_24a7a014_0ad0_44a7_b63b_61dac014eee7</t>
  </si>
  <si>
    <t>https://www.flowcode.co.uk/wiki/index.php?title=Component:_ID_d29dda88_17de_4008_991a_c881890d4c57</t>
  </si>
  <si>
    <t>https://www.flowcode.co.uk/wiki/index.php?title=Component:_ID_51677753_5eaf_4e3a_a3c8_71c49a142171</t>
  </si>
  <si>
    <t>https://www.flowcode.co.uk/wiki/index.php?title=Component:_ID_1085ee2f_0d48_4189_869c_f659fd873fd4</t>
  </si>
  <si>
    <t>https://www.flowcode.co.uk/wiki/index.php?title=Component:_ID_83bd894c_8f2c_4370_95c3_cae107ccc64d</t>
  </si>
  <si>
    <t>https://www.flowcode.co.uk/wiki/index.php?title=Component:_ID_d92e8259_f3a8_4176_a8c4_fe7ca42b2c3f</t>
  </si>
  <si>
    <t>https://www.flowcode.co.uk/wiki/index.php?title=Component:_ID_7fdaec78_394e_4ec9_a578_4f1a12a12076</t>
  </si>
  <si>
    <t>https://www.flowcode.co.uk/wiki/index.php?title=Component:_ID_f4400e36_dd95_4472_86da_4bba68d68d5d</t>
  </si>
  <si>
    <t>https://www.flowcode.co.uk/wiki/index.php?title=Component:_ID_52c5383b_4f48_4029_8b75_c3633f7cf892</t>
  </si>
  <si>
    <t>https://www.flowcode.co.uk/wiki/index.php?title=Component:_ID_c8da67a7_fc7b_48c0_8c3f_3264c74f4024</t>
  </si>
  <si>
    <t>https://www.flowcode.co.uk/wiki/index.php?title=Component:_ID_63177601_e8e2_4330_89d3_a4c5a7e228f5</t>
  </si>
  <si>
    <t>https://www.flowcode.co.uk/wiki/index.php?title=Component:_ID_a7b05886_784c_48c8_a6f6_cc371c7728e1</t>
  </si>
  <si>
    <t>https://www.flowcode.co.uk/wiki/index.php?title=Component:_ID_67271369_4b2e_4126_a5d0_a93142ac71b9</t>
  </si>
  <si>
    <t>https://www.flowcode.co.uk/wiki/index.php?title=Component:_ID_489ad870_75dd_4fc4_9879_aa83871ddef6</t>
  </si>
  <si>
    <t>https://www.flowcode.co.uk/wiki/index.php?title=Component:_ID_82c2f7d0_c6ed_4c6e_8ab8_7958b490dc99</t>
  </si>
  <si>
    <t>https://www.flowcode.co.uk/wiki/index.php?title=Component:_ID_ad052176_691e_4542_adb5_53f6fbea9b5b</t>
  </si>
  <si>
    <t>https://www.flowcode.co.uk/wiki/index.php?title=Component:_ID_ec156555_e872_47f6_971e_a610f03ce81d</t>
  </si>
  <si>
    <t>https://www.flowcode.co.uk/wiki/index.php?title=Component:_ID_248e0a81_43e3_4ff7_b87d_69c04add1fb9</t>
  </si>
  <si>
    <t>https://www.flowcode.co.uk/wiki/index.php?title=Component:_ID_a5c2033e_8639_4de3_80eb_58c02b44bd96</t>
  </si>
  <si>
    <t>https://www.flowcode.co.uk/wiki/index.php?title=Component:_ID_dfb4d07a_3d70_45d5_83ef_07e3c95d86ab</t>
  </si>
  <si>
    <t>https://www.flowcode.co.uk/wiki/index.php?title=Component:_ID_e8461f5f_751e_432e_9fa1_ca725f0001b1</t>
  </si>
  <si>
    <t>https://www.flowcode.co.uk/wiki/index.php?title=Component:_ID_8c6ad2c7_f4a7_4584_a376_ec7fed05e5d3</t>
  </si>
  <si>
    <t>https://www.flowcode.co.uk/wiki/index.php?title=Component:_ID_6ab6c413_80f6_4db4_9b1d_458412446d4c</t>
  </si>
  <si>
    <t>https://www.flowcode.co.uk/wiki/index.php?title=Component:_ID_bd4a15a6_c326_4762_8573_3e7a6fde7d88</t>
  </si>
  <si>
    <t>https://www.flowcode.co.uk/wiki/index.php?title=Component:_ID_018199e8_ef66_49af_bac0_483043d71830</t>
  </si>
  <si>
    <t>https://www.flowcode.co.uk/wiki/index.php?title=Component:_ID_4c1bd3cf_a504_4a05_9ae7_318d6a4f9a07</t>
  </si>
  <si>
    <t>https://www.flowcode.co.uk/wiki/index.php?title=Component:_ID_126523d0_e391_4ccb_86c0_0e9d1b33d5f0</t>
  </si>
  <si>
    <t>https://www.flowcode.co.uk/wiki/index.php?title=Component:_ID_184de24b_daf7_457c_95cb_d9b97b939839</t>
  </si>
  <si>
    <t>https://www.flowcode.co.uk/wiki/index.php?title=Component:_ID_b5e4faac_ed09_4e4c_a644_09e1e151a405</t>
  </si>
  <si>
    <t>https://www.flowcode.co.uk/wiki/index.php?title=Component:_ID_8dd620e3_3cdb_4d8a_ba3d_cd4dbca0ba34</t>
  </si>
  <si>
    <t>https://www.flowcode.co.uk/wiki/index.php?title=Component:_ID_4aead223_94b8_4744_9674_7c21acc80681</t>
  </si>
  <si>
    <t>https://www.flowcode.co.uk/wiki/index.php?title=Component:_ID_d69543a8_f38b_488a_b905_9fa2d5970beb</t>
  </si>
  <si>
    <t>https://www.flowcode.co.uk/wiki/index.php?title=Component:_ID_463bfc0e_2a04_414c_bf85_10718fa2ca08</t>
  </si>
  <si>
    <t>https://www.flowcode.co.uk/wiki/index.php?title=Component:_ID_596e6f4d_d87a_4e8b_b108_c0501127c382</t>
  </si>
  <si>
    <t>https://www.flowcode.co.uk/wiki/index.php?title=Component:_ID_b6fdc61f_7be2_49c7_925f_aea3dc284cba</t>
  </si>
  <si>
    <t>https://www.flowcode.co.uk/wiki/index.php?title=Component:_ID_a9b43242_9ccc_4f1c_b2d1_acdfbe420fc1</t>
  </si>
  <si>
    <t>https://www.flowcode.co.uk/wiki/index.php?title=Component:_ID_ddc97f5d_2b6c_4e5a_be40_c5c91123b8cc</t>
  </si>
  <si>
    <t>https://www.flowcode.co.uk/wiki/index.php?title=Component:_ID_952471c7_11ca_430b_ab72_4fda8b195f83</t>
  </si>
  <si>
    <t>https://www.flowcode.co.uk/wiki/index.php?title=Component:_ID_3becc5a1_4034_45ca_b84f_d995c6cacdb2</t>
  </si>
  <si>
    <t>https://www.flowcode.co.uk/wiki/index.php?title=Component:_ID_4edcb163_5216_44c4_99d9_d6b24869f341</t>
  </si>
  <si>
    <t>https://www.flowcode.co.uk/wiki/index.php?title=Component:_ID_882b6951_9944_48cc_8989_6ebd3d91956f</t>
  </si>
  <si>
    <t>https://www.flowcode.co.uk/wiki/index.php?title=Component:_ID_fc04a65f_f03d_40c8_9f69_0d23d2daac29</t>
  </si>
  <si>
    <t>https://www.flowcode.co.uk/wiki/index.php?title=Component:_ID_92b44587_a7a8_444f_abe6_93e5d1669bc6</t>
  </si>
  <si>
    <t>https://www.flowcode.co.uk/wiki/index.php?title=Component:_ID_3531a68d_7686_44b7_a3a5_67afda8467dc</t>
  </si>
  <si>
    <t>https://www.flowcode.co.uk/wiki/index.php?title=Component:_ID_1c8bc72f_4944_4456_af99_9686c237d6b3</t>
  </si>
  <si>
    <t>https://www.flowcode.co.uk/wiki/index.php?title=Component:_ID_1fb787a5_54fb_4847_9299_3adbf9927b59</t>
  </si>
  <si>
    <t>https://www.flowcode.co.uk/wiki/index.php?title=Component:_ID_c48dfdeb_1177_4381_86dd_d7a98fefeb7a</t>
  </si>
  <si>
    <t>https://www.flowcode.co.uk/wiki/index.php?title=Component:_ID_a7c1210d_3637_4a18_a6b3_9414ee73b179</t>
  </si>
  <si>
    <t>https://www.flowcode.co.uk/wiki/index.php?title=Component:_ID_34671299_61e7_40d8_aac1_e33c93759d73</t>
  </si>
  <si>
    <t>https://www.flowcode.co.uk/wiki/index.php?title=Component:_ID_33b1e2c6_5509_40bf_a464_167edcbcf571</t>
  </si>
  <si>
    <t>https://www.flowcode.co.uk/wiki/index.php?title=Component:_ID_fdb712e0_3861_4e64_9c68_67eade64b089</t>
  </si>
  <si>
    <t>https://www.flowcode.co.uk/wiki/index.php?title=Component:_ID_35934f36_5cda_49e7_b1a0_05c85722d858</t>
  </si>
  <si>
    <t>https://www.flowcode.co.uk/wiki/index.php?title=Component:_ID_4d9912c0_0f17_4fbe_9c76_09331167a886</t>
  </si>
  <si>
    <t>https://www.flowcode.co.uk/wiki/index.php?title=Component:_ID_fbad3c39_8c38_49b7_a860_ae37e9b979a2</t>
  </si>
  <si>
    <t>https://www.flowcode.co.uk/wiki/index.php?title=Component:_ID_bea47ee6_07be_4545_a699_50c160ea12c0</t>
  </si>
  <si>
    <t>https://www.flowcode.co.uk/wiki/index.php?title=Component:_ID_18d0ecea_755f_43f7_9444_9dc9efaf859f</t>
  </si>
  <si>
    <t>https://www.flowcode.co.uk/wiki/index.php?title=Component:_ID_4cbae05a_fee8_4685_b94c_829abc3466ab</t>
  </si>
  <si>
    <t>https://www.flowcode.co.uk/wiki/index.php?title=Component:_ID_c87d4bfd_6d1b_45ea_83b4_63250326b329</t>
  </si>
  <si>
    <t>https://www.flowcode.co.uk/wiki/index.php?title=Component:_ID_a7b268fb_4991_4ab8_b394_c1d6997c7422</t>
  </si>
  <si>
    <t>https://www.flowcode.co.uk/wiki/index.php?title=Component:_ID_93c4effe_9d15_4a15_a750_f47d206143a7</t>
  </si>
  <si>
    <t>https://www.flowcode.co.uk/wiki/index.php?title=Component:_ID_b8bf4aa3_e477_4d95_9592_f7f609357658</t>
  </si>
  <si>
    <t>https://www.flowcode.co.uk/wiki/index.php?title=Component:_ID_296ec9fd_cf9b_4338_bb42_b92e4326af25</t>
  </si>
  <si>
    <t>https://www.flowcode.co.uk/wiki/index.php?title=Component:_ID_9a971ee1_28e0_4e47_9c09_71268383fc75</t>
  </si>
  <si>
    <t>https://www.flowcode.co.uk/wiki/index.php?title=Component:_ID_3a376ef4_ada5_4d3f_b255_2cf7139f051d</t>
  </si>
  <si>
    <t>https://www.flowcode.co.uk/wiki/index.php?title=Component:_ID_783af32a_4d8c_466c_938d_7b3c97e76e83</t>
  </si>
  <si>
    <t>https://www.flowcode.co.uk/wiki/index.php?title=Component:_ID_7a7f8adf_6b2a_4594_a511_94d47124a465</t>
  </si>
  <si>
    <t>https://www.flowcode.co.uk/wiki/index.php?title=Component:_ID_9ec41243_060f_42c3_93b0_de81ada331fa</t>
  </si>
  <si>
    <t>https://www.flowcode.co.uk/wiki/index.php?title=Component:_ID_8583543f_4a30_428c_baa1_699145e36314</t>
  </si>
  <si>
    <t>https://www.flowcode.co.uk/wiki/index.php?title=Component:_ID_b295124a_85ec_4fae_943f_347bb2c50311</t>
  </si>
  <si>
    <t>https://www.flowcode.co.uk/wiki/index.php?title=Component:_ID_16d8b52e_ca01_4309_9afb_5e265b4ae1ca</t>
  </si>
  <si>
    <t>https://www.flowcode.co.uk/wiki/index.php?title=Component:_ID_50c4286c_9896_48bd_8b7b_ab5d10540a1a</t>
  </si>
  <si>
    <t>https://www.flowcode.co.uk/wiki/index.php?title=Component:_ID_b9cd8fbe_d082_4fe3_b1a0_d6f33f8af028</t>
  </si>
  <si>
    <t>https://www.flowcode.co.uk/wiki/index.php?title=Component:_ID_1bdd06a6_fc18_4990_917d_004c430f855e</t>
  </si>
  <si>
    <t>https://www.flowcode.co.uk/wiki/index.php?title=Component:_ID_3bdcb2e0_ed44_451f_9889_66f316359482</t>
  </si>
  <si>
    <t>https://www.flowcode.co.uk/wiki/index.php?title=Component:_ID_1a8c2bb7_8bed_4a1c_9186_ba24688c8840</t>
  </si>
  <si>
    <t>https://www.flowcode.co.uk/wiki/index.php?title=Component:_ID_eb1db17a_1c6c_44ef_84d0_d718549343c4</t>
  </si>
  <si>
    <t>https://www.flowcode.co.uk/wiki/index.php?title=Component:_ID_1ac8ae8b_bcd2_493f_b516_36dacb3695f9</t>
  </si>
  <si>
    <t>https://www.flowcode.co.uk/wiki/index.php?title=Component:_ID_cc031290_2255_4e8d_b382_1998c8dda95a</t>
  </si>
  <si>
    <t>https://www.flowcode.co.uk/wiki/index.php?title=Component:_ID_faf668b1_a0e6_426f_b1ef_9d4f8e54d784</t>
  </si>
  <si>
    <t>https://www.flowcode.co.uk/wiki/index.php?title=Component:_ID_cfd176dc_a2c1_4dad_ac45_117781624c82</t>
  </si>
  <si>
    <t>https://www.flowcode.co.uk/wiki/index.php?title=Component:_ID_23f522d8_3986_4482_a2dd_eac5e407c0d6</t>
  </si>
  <si>
    <t>https://www.flowcode.co.uk/wiki/index.php?title=Component:_ID_6f2c4205_6a87_46ba_a8b4_8c869e144fcd</t>
  </si>
  <si>
    <t>https://www.flowcode.co.uk/wiki/index.php?title=Component:_ID_26732594_ad79_472f_80ff_95d365b3b252</t>
  </si>
  <si>
    <t>https://www.flowcode.co.uk/wiki/index.php?title=Component:_ID_3e62cd96_c0e2_47a3_9ff2_cb448ad09acf</t>
  </si>
  <si>
    <t>https://www.flowcode.co.uk/wiki/index.php?title=Component:_ID_5c1da48f_ce54_4622_bdd9_fc812e373696</t>
  </si>
  <si>
    <t>https://www.flowcode.co.uk/wiki/index.php?title=Component:_ID_b39ff9fd_430a_45dd_888a_07f1d83a9792</t>
  </si>
  <si>
    <t>https://www.flowcode.co.uk/wiki/index.php?title=Component:_ID_42cb88b2_e965_4a49_893c_64eb001fc861</t>
  </si>
  <si>
    <t>https://www.flowcode.co.uk/wiki/index.php?title=Component:_ID_7a287a58_cba5_42ad_b8a5_58694d7f678a</t>
  </si>
  <si>
    <t>https://www.flowcode.co.uk/wiki/index.php?title=Component:_ID_c6c91999_1fe0_414e_b6aa_0a7ddc9a6417</t>
  </si>
  <si>
    <t>https://www.flowcode.co.uk/wiki/index.php?title=Component:_ID_e8f04af0_03d9_4b1c_83d3_9d0b1dc0f80a</t>
  </si>
  <si>
    <t>https://www.flowcode.co.uk/wiki/index.php?title=Component:_ID_953a042a_b2aa_4f2e_94e2_ee2979cfc92e</t>
  </si>
  <si>
    <t>https://www.flowcode.co.uk/wiki/index.php?title=Component:_ID_c0df38ee_7a7e_4a0a_bfd5_5a7745203826</t>
  </si>
  <si>
    <t>https://www.flowcode.co.uk/wiki/index.php?title=Component:_ID_208101fb_f735_4e83_980b_c1d2b4be28ff</t>
  </si>
  <si>
    <t>https://www.flowcode.co.uk/wiki/index.php?title=Component:_ID_4ac72986_ad7d_49ce_afe5_9128831debc9</t>
  </si>
  <si>
    <t>https://www.flowcode.co.uk/wiki/index.php?title=Component:_ID_4772ea31_c5fb_4ac1_8aef_c9385a0e9a53</t>
  </si>
  <si>
    <t>https://www.flowcode.co.uk/wiki/index.php?title=Component:_ID_f54fa744_5af4_4c08_bdb9_fb31848a2b63</t>
  </si>
  <si>
    <t>https://www.flowcode.co.uk/wiki/index.php?title=Component:_ID_aa85a268_ba47_4a33_bdad_04f51b716cdf</t>
  </si>
  <si>
    <t>https://www.flowcode.co.uk/wiki/index.php?title=Component:_ID_d96f06b4_e7cc_4222_831e_520b53cfa278</t>
  </si>
  <si>
    <t>https://www.flowcode.co.uk/wiki/index.php?title=Component:_ID_c5d9ffa3_5a7d_4fb2_b9ba_ec855ad7b25c</t>
  </si>
  <si>
    <t>https://www.flowcode.co.uk/wiki/index.php?title=Component:_ID_7bbc8b49_5f3d_419e_8b25_4ea4c93467b6</t>
  </si>
  <si>
    <t>https://www.flowcode.co.uk/wiki/index.php?title=Component:_ID_29b4cd01_9dd8_43ad_b5b4_895358321a89</t>
  </si>
  <si>
    <t>https://www.flowcode.co.uk/wiki/index.php?title=Component:_ID_55831e22_7885_4e0f_a9de_73ebda9d7fe9</t>
  </si>
  <si>
    <t>https://www.flowcode.co.uk/wiki/index.php?title=Component:_ID_920175dd_ace8_49e2_9208_ec548563c9c0</t>
  </si>
  <si>
    <t>https://www.flowcode.co.uk/wiki/index.php?title=Component:_ID_df4eca75_779f_47ce_9495_56d3233be5e1</t>
  </si>
  <si>
    <t>https://www.flowcode.co.uk/wiki/index.php?title=Component:_ID_783b7689_0c71_44fb_9dde_673e4b7455ba</t>
  </si>
  <si>
    <t>https://www.flowcode.co.uk/wiki/index.php?title=Component:_ID_b42d9405_a751_4622_8fbe_ce512da391ba</t>
  </si>
  <si>
    <t>https://www.flowcode.co.uk/wiki/index.php?title=Component:_ID_69a2ca78_26f3_47df_a402_b5a7c1ff73f2</t>
  </si>
  <si>
    <t>https://www.flowcode.co.uk/wiki/index.php?title=Component:_ID_08d7f73a_6b9f_47fa_aa34_b306613d1e51</t>
  </si>
  <si>
    <t>https://www.flowcode.co.uk/wiki/index.php?title=Component:_ID_ea261653_86e2_4c37_94f6_4151b318c6f5</t>
  </si>
  <si>
    <t>https://www.flowcode.co.uk/wiki/index.php?title=Component:_ID_63de6312_8008_46d2_8a0c_bb66e56674e2</t>
  </si>
  <si>
    <t>https://www.flowcode.co.uk/wiki/index.php?title=Component:_ID_38f89887_af35_470e_8c6f_c91f3c99e88d</t>
  </si>
  <si>
    <t>https://www.flowcode.co.uk/wiki/index.php?title=Component:_ID_1e4a092c_cb7c_4e40_863c_0a64df7d297c</t>
  </si>
  <si>
    <t>https://www.flowcode.co.uk/wiki/index.php?title=Component:_ID_deade808_da0a_4530_8cf4_7c7894fdb6a3</t>
  </si>
  <si>
    <t>Console User Input</t>
  </si>
  <si>
    <t>3BF29E52-EBB4-4528-8D19-B2860C8AB80C</t>
  </si>
  <si>
    <t>ConsoleUserInput.fcpx</t>
  </si>
  <si>
    <t>Components\IO_Source\SCADA\ConsoleRead.fcfx</t>
  </si>
  <si>
    <t>https://www.flowcode.co.uk/wiki/index.php?title=Component:_ID_3bf29e52_ebb4_4528_8d19_b2860c8ab80c</t>
  </si>
  <si>
    <t>Page not yet created</t>
  </si>
  <si>
    <t>No component icon Example  Link Broken</t>
  </si>
  <si>
    <t>Broken 21/1/22</t>
  </si>
  <si>
    <t>Broken Icon links</t>
  </si>
  <si>
    <t>[[File:]] - Fixed</t>
  </si>
  <si>
    <t>Wrong Example - Industrial Tanks - Fixed</t>
  </si>
  <si>
    <t>[[File:]]  - Fixed</t>
  </si>
  <si>
    <t>Example links broken</t>
  </si>
  <si>
    <t>New style. Example links broken</t>
  </si>
  <si>
    <t>New Style. Broken icon link</t>
  </si>
  <si>
    <t>Was 'N' Fixed MW (Page was deleted) New style. LED Resistor calculation tool link broken</t>
  </si>
  <si>
    <t>[[File:]] - Fixed </t>
  </si>
  <si>
    <t>New type with broken file links</t>
  </si>
  <si>
    <t>New style. LED Resistor calculation tool link broken</t>
  </si>
  <si>
    <t>[[File:]] - Fixed</t>
  </si>
  <si>
    <t>Now new style. Multiple [[File:]] issues</t>
  </si>
  <si>
    <t>[[File:]]- Fixed</t>
  </si>
  <si>
    <t>Notes Column N.</t>
  </si>
  <si>
    <t>FREE</t>
  </si>
  <si>
    <t>Control</t>
  </si>
  <si>
    <t>Components\IO_Source\Control_ComponentSource.fcsx</t>
  </si>
  <si>
    <t>Components\IO_Source\EM_Functions.fcsx</t>
  </si>
  <si>
    <t>ERROR - Multiple Source Files</t>
  </si>
  <si>
    <t>Robot Arm v2</t>
  </si>
  <si>
    <t>Components\IO_Source\RA2_ComponentSource.fcsx</t>
  </si>
  <si>
    <t>usage</t>
  </si>
  <si>
    <t>LCD</t>
  </si>
  <si>
    <t>WLAN ESP32</t>
  </si>
  <si>
    <t>Combo</t>
  </si>
  <si>
    <t>WLAN</t>
  </si>
  <si>
    <t>dash_IO_flasher</t>
  </si>
  <si>
    <t>Barometer</t>
  </si>
  <si>
    <t>IO Expander</t>
  </si>
  <si>
    <t>UART SCADA</t>
  </si>
  <si>
    <t>RF 2.4GHz</t>
  </si>
  <si>
    <t xml:space="preserve">Humidity </t>
  </si>
  <si>
    <t>Load Cell</t>
  </si>
  <si>
    <t>Combo Board</t>
  </si>
  <si>
    <t>Thermocouple</t>
  </si>
  <si>
    <t>7Segment</t>
  </si>
  <si>
    <t>WIFI</t>
  </si>
  <si>
    <t>RC5 (EB060 Generic 36KHz)</t>
  </si>
  <si>
    <t>Webserver</t>
  </si>
  <si>
    <t>DAC Dual</t>
  </si>
  <si>
    <t>Formula AllCode</t>
  </si>
  <si>
    <t>Temp / Humidity</t>
  </si>
  <si>
    <t>ADC</t>
  </si>
  <si>
    <t>Keypad</t>
  </si>
  <si>
    <t>Potentiometer</t>
  </si>
  <si>
    <t>LoRa</t>
  </si>
  <si>
    <t>Hall Effect</t>
  </si>
  <si>
    <t>Bluetooth</t>
  </si>
  <si>
    <t>Console Debugger</t>
  </si>
  <si>
    <t>ImageSwitch</t>
  </si>
  <si>
    <t>Accel / Gyro 6-Axis</t>
  </si>
  <si>
    <t>Accel / Gyro / Mag 9-Axis</t>
  </si>
  <si>
    <t xml:space="preserve">LED </t>
  </si>
  <si>
    <t>Touch Pads</t>
  </si>
  <si>
    <t>Ultrasonic</t>
  </si>
  <si>
    <t>ElectricalMachine</t>
  </si>
  <si>
    <t>LED Matrix</t>
  </si>
  <si>
    <t>Maze Generator</t>
  </si>
  <si>
    <t>RobotArmV2</t>
  </si>
  <si>
    <t>GLCD Monochrome</t>
  </si>
  <si>
    <t>Digital Temperature</t>
  </si>
  <si>
    <t>Thermocouple TypeK</t>
  </si>
  <si>
    <t>PIR</t>
  </si>
  <si>
    <t>Colour Sensor</t>
  </si>
  <si>
    <t>PWM</t>
  </si>
  <si>
    <t>Accelerometer 3-Axis</t>
  </si>
  <si>
    <t>Ambient Light</t>
  </si>
  <si>
    <t>DAC</t>
  </si>
  <si>
    <t>Dual Potentiometer - Trimmer</t>
  </si>
  <si>
    <t>Gyroscope</t>
  </si>
  <si>
    <t>Infrared</t>
  </si>
  <si>
    <t>Daytona Racetrack</t>
  </si>
  <si>
    <t>Magnetometer 3-Axis</t>
  </si>
  <si>
    <t>Temperature</t>
  </si>
  <si>
    <t>Accel / Mag 6-Axis</t>
  </si>
  <si>
    <t>Servo Motor</t>
  </si>
  <si>
    <t>CAN</t>
  </si>
  <si>
    <t>HBRIDGE</t>
  </si>
  <si>
    <t xml:space="preserve"> A</t>
  </si>
  <si>
    <t>Link to a worksheet</t>
  </si>
  <si>
    <t>File Links not working</t>
  </si>
  <si>
    <t>Links to a trafic light Scenario</t>
  </si>
  <si>
    <t>Accelerometer</t>
  </si>
  <si>
    <t>Touch Slider</t>
  </si>
  <si>
    <t>Temperature Infrared</t>
  </si>
  <si>
    <t>Gyroscope 3-Axis</t>
  </si>
  <si>
    <t>MULTIUART</t>
  </si>
  <si>
    <t>PicoScope</t>
  </si>
  <si>
    <t>Magnetometer</t>
  </si>
  <si>
    <t>TTI TG5011 Signal Generator</t>
  </si>
  <si>
    <t>TTI Power Supply - PL155-P</t>
  </si>
  <si>
    <t>Components Usage</t>
  </si>
  <si>
    <t>Notes AC to AF</t>
  </si>
  <si>
    <t>Was N for 2nd run, added an example</t>
  </si>
  <si>
    <r>
      <t xml:space="preserve">Example Flowchart/Diagram Added 2nd run </t>
    </r>
    <r>
      <rPr>
        <b/>
        <sz val="11"/>
        <color rgb="FF00B0F0"/>
        <rFont val="Calibri"/>
        <family val="2"/>
        <scheme val="minor"/>
      </rPr>
      <t>Bl</t>
    </r>
    <r>
      <rPr>
        <b/>
        <sz val="11"/>
        <color theme="1"/>
        <rFont val="Calibri"/>
        <family val="2"/>
        <scheme val="minor"/>
      </rPr>
      <t xml:space="preserve">= not Applicable </t>
    </r>
  </si>
  <si>
    <t>Eample is missing, created another</t>
  </si>
  <si>
    <t xml:space="preserve">Missing, added example </t>
  </si>
  <si>
    <t>A bug in hardware mode preventsother I2c device from working</t>
  </si>
  <si>
    <t>Does not require a demo as basic</t>
  </si>
  <si>
    <t>2dGDI Components</t>
  </si>
  <si>
    <t>LED Mono Custom</t>
  </si>
  <si>
    <t>LED Mono User Images</t>
  </si>
  <si>
    <t>Completed</t>
  </si>
  <si>
    <t>Icon</t>
  </si>
  <si>
    <t>LED Mono</t>
  </si>
  <si>
    <t>Switch  Push Button</t>
  </si>
  <si>
    <t>Switch  Rotary 0 -1</t>
  </si>
  <si>
    <t>Switch  Rotary 0 -15</t>
  </si>
  <si>
    <t>Switch Slide</t>
  </si>
  <si>
    <t xml:space="preserve">Switch User Images </t>
  </si>
  <si>
    <t>FC10\Components\IO_Source\2dGDI\</t>
  </si>
  <si>
    <t>22ca7f47-0b00-453a-a5ae-75f999cdee2d</t>
  </si>
  <si>
    <t>Not tested with hardware</t>
  </si>
  <si>
    <t>94c78e1b-f580-4105-a223-7e40b75d134c</t>
  </si>
  <si>
    <t>b07ae733-c144-4558-979a-be737044519c</t>
  </si>
  <si>
    <t>fef1acfd-e19f-4af2-9593-ba341240ce4f</t>
  </si>
  <si>
    <t>Component in nonrelease</t>
  </si>
  <si>
    <t>Joystick2dgi.fcpx</t>
  </si>
  <si>
    <t>e2698f3e-1168-4f25-9c50-24a74ea7e34a</t>
  </si>
  <si>
    <t>Switch_Rotary_0_15_2gdi.fcpx</t>
  </si>
  <si>
    <t>FC10\Components\IO_Source\2dGDI\Switch Rotary 0 - 15 2dgi.fcfx</t>
  </si>
  <si>
    <t>Switch_Push_Button_2dgi.fcpx</t>
  </si>
  <si>
    <t>FC10\Components\IO_Source\2dGDI\Switch Push Button 2dgi.fcfx</t>
  </si>
  <si>
    <t>FC10\Components\IO_Source\2dGDI\Switch Rotary 0 - 1 2dgi.fcfx</t>
  </si>
  <si>
    <t>58b37280-d90e-4a23-941d-26f34ccff410</t>
  </si>
  <si>
    <t>Switch_Rotary_0_1_2dgi.fcpx</t>
  </si>
  <si>
    <t>LED_Mono_Custom 2dgi.fcpx</t>
  </si>
  <si>
    <t>ce086f9b-c365-4471-b6e4-1760a53a7bfb</t>
  </si>
  <si>
    <t>FC10\Components\IO_Source\2dGDI\LED Mono Custom 2dgi.fcfx</t>
  </si>
  <si>
    <t>71f200a6-153f-4984-8928-850523305e02</t>
  </si>
  <si>
    <t>FC10\Components\IO_Source\2dGDI\LED 7Seg Quad 2dgi.fcfx</t>
  </si>
  <si>
    <t>FC10\Components\IO_Source\2dGDI\LED 7Seg Single 2dgi.fcfx</t>
  </si>
  <si>
    <t>6a9e9265-e261-4604-8dc3-252ea3ccf02c</t>
  </si>
  <si>
    <t>LED_7Seg_Quad_2dgi.fcpx</t>
  </si>
  <si>
    <t>FC10\Components\IO_Source\2dGDI\Joystick 2dgi.fcfx</t>
  </si>
  <si>
    <t>switch_array_slide_2dgi.fcpx</t>
  </si>
  <si>
    <t>FC10\Components\IO_Source\2dGDI\Switch Array Slide 2dgi.fcfx</t>
  </si>
  <si>
    <t>975b2770-cfa8-4c76-b8ca-c008735e366d</t>
  </si>
  <si>
    <t>FC10\Components\IO_Source\2dGDI\LED Mono 2dgi.fcfx</t>
  </si>
  <si>
    <t>44f82374-a417-40d5-bd42-23a177a390d2</t>
  </si>
  <si>
    <t>LED_7Seg_2dgi.fcpx</t>
  </si>
  <si>
    <t>FC10\Components\IO_Source\2dGDI\Sparkfun Quiic Joystick 2dgi.fcfx</t>
  </si>
  <si>
    <t>Joystick_Quiic_2dgi.fcpx</t>
  </si>
  <si>
    <t>LED_Array_2dgi.fcpx</t>
  </si>
  <si>
    <t>FC10\Components\IO_Source\2dGDI\LED Array 2dgi.fcfx</t>
  </si>
  <si>
    <t>LED_Mono_2dgi.fcpx</t>
  </si>
  <si>
    <t>ae5688c5-6bfc-4e62-aaf4-e9a56fb068f9</t>
  </si>
  <si>
    <t>FC10\Components\IO_Source\2dGDI\LED Starburst Single 2dgi.fcfx</t>
  </si>
  <si>
    <t>LED_Starburst_Single_2dgI.fcpx</t>
  </si>
  <si>
    <t>e5dbdd14-0308-4a22-bacd-765215a4df45</t>
  </si>
  <si>
    <t>b562ceda-0ae0-4c50-bbcd-38a4b7e77829</t>
  </si>
  <si>
    <t>LED_Mono_User_Images_2dgi.fcpx</t>
  </si>
  <si>
    <t>FC10\Components\IO_Source\2dGDI\LED Mono User Images 2dgi.fcfx</t>
  </si>
  <si>
    <t>FC10\Components\IO_Source\2dGDI\Switch Slide 2dgi.fcfx</t>
  </si>
  <si>
    <t>Switch_Slide_2dgi.fcpx</t>
  </si>
  <si>
    <t>FC10\Components\IO_Source\2dGDI\Switch User Images 2dgi.fcfx</t>
  </si>
  <si>
    <t>d43ac17c-2ec0-4277-95f9-fbc339456fab</t>
  </si>
  <si>
    <t>Switch_User_Images_2dgi.fcpx</t>
  </si>
  <si>
    <t>cd8da0fe-80cf-4532-bb50-69f0d1730e70</t>
  </si>
  <si>
    <t>1df1ea9a-6983-4014-aba5-f5144ea4e053</t>
  </si>
  <si>
    <t>switch_array_push_2dgi.fcpx</t>
  </si>
  <si>
    <t>FC10\Components\IO_Source\2dGDI\Switch Array Push 2dgi.fcfx</t>
  </si>
  <si>
    <t>b80e57b1-8941-4831-878b-b27440b4f4d8</t>
  </si>
  <si>
    <t>FC10\Components\IO_Source\2dGDI\Keypad Base.fcfx</t>
  </si>
  <si>
    <t>Keypad (4 x 4)</t>
  </si>
  <si>
    <t>6c74b9ee-2907-4b1e-8a9b-80fc192b6027</t>
  </si>
  <si>
    <t>FC10\Components\IO_Source\2dGDI\Keypad 4x4.fcfx</t>
  </si>
  <si>
    <t>New GUI(Blue is OK as new GUID may not be required)</t>
  </si>
  <si>
    <t>FC10\Components\IO_Source\2dGDI\keypad_hex.fcfx</t>
  </si>
  <si>
    <t>287e2f0b-8869-4994-a958-c8f851091322</t>
  </si>
  <si>
    <t>Keypad (Hex)</t>
  </si>
  <si>
    <t>b07090da-50a4-41ed-97d8-99016c092a14</t>
  </si>
  <si>
    <t>FC10\Components\IO_Source\2dGDI\Keypad Numeric.fcfx</t>
  </si>
  <si>
    <t>1d24df27-423c-4d91-b2bb-e6ad3e121f14</t>
  </si>
  <si>
    <t>FC10\Components\IO_Source\2dGDI\Keypad Cursor.fcfx</t>
  </si>
  <si>
    <t>U</t>
  </si>
  <si>
    <t>FC10\Components\IO_Source\2dGDI\pwm_01.fcfx</t>
  </si>
  <si>
    <t>4384cba9-0bea-4359-8c5b-dcd046aa7778</t>
  </si>
  <si>
    <t>FC10\Components\IO_Source\2dGDI\glcd_base.fcfx</t>
  </si>
  <si>
    <t>FC10\Components\IO_Source\2dGDI\glcd_4D_Picaso1.fcfx</t>
  </si>
  <si>
    <t>44f742f7-3039-4edb-8e96-717377b85e69</t>
  </si>
  <si>
    <t>b710c9a3-b93a-407d-81b2-190b5f6afdf1</t>
  </si>
  <si>
    <t>FC10\Components\IO_Source\2dGDI\glcd_4D_Picaso2.fcfx</t>
  </si>
  <si>
    <t>07698cde-7f30-419b-825c-35450877ad26</t>
  </si>
  <si>
    <t>FC10\Components\IO_Source\2dGDI\glcd_4D_Goldelox.fcfx</t>
  </si>
  <si>
    <t>FC10\Components\IO_Source\2dGDI\glcd_EB043-00-1.fcfx</t>
  </si>
  <si>
    <t>FC10\Components\IO_Source\2dGDI\glcd_EB043-00-2.fcfx</t>
  </si>
  <si>
    <t>FC10\Components\IO_Source\2dGDI\glcd_EB057.fcfx</t>
  </si>
  <si>
    <t>FC10\Components\IO_Source\2dGDI\glcd_4D_EB075.fcfx</t>
  </si>
  <si>
    <t>FC10\Components\IO_Source\2dGDI\glcd_4D_EB076.fcfx</t>
  </si>
  <si>
    <t>FC10\Components\IO_Source\2dGDI\glcd_4D_EB076v2.fcfx</t>
  </si>
  <si>
    <t>Checked  Rev</t>
  </si>
  <si>
    <t>Component on new panel</t>
  </si>
  <si>
    <t>new 2d notes</t>
  </si>
  <si>
    <t>Y Reveresed - fixed.  Sim Working</t>
  </si>
  <si>
    <t>Display rotated so could cause issues</t>
  </si>
  <si>
    <t>Reversed y issue</t>
  </si>
  <si>
    <t>FC10\Components\IO_Source\2dGDI\LCD Base.fcfx</t>
  </si>
  <si>
    <t>FC10\Components\IO_Source\2dGDI\LCD EB005.fcfx</t>
  </si>
  <si>
    <t>FC10\Components\IO_Source\2dGDI\LCD Grove I2C.fcfx</t>
  </si>
  <si>
    <t>FC10\Components\IO_Source\2dGDI\LCD Grove Uart.fcfx</t>
  </si>
  <si>
    <t>FC10\Components\IO_Source\2dGDI\LCD I2C.fcfx</t>
  </si>
  <si>
    <t>FC10\Components\IO_Source\2dGDI\LCD ST7032i.fcfx</t>
  </si>
  <si>
    <t>FC10\Components\IO_Source\2dGDI\LCD_16X2.fcfx</t>
  </si>
  <si>
    <t>FC10\Components\IO_Source\2dGDI\lcd_Adafruit_OLED.fcfx</t>
  </si>
  <si>
    <t>FC10\Components\IO_Source\2dGDI\lcd_Adafruit_OLED2.fcfx</t>
  </si>
  <si>
    <t>FC10\Components\IO_Source\2dGDI\LCD_Driver_BL0169.fcfx</t>
  </si>
  <si>
    <t>FC10\Components\IO_Source\2dGDI\LCD_I2C_LCM1602.fcfx</t>
  </si>
  <si>
    <t>FC10\Components\IO_Source\2dGDI\LCD_SPI_MiniClick.fcfx</t>
  </si>
  <si>
    <t>31326041-9339-4CF4-B609-C14CC66318B4</t>
  </si>
  <si>
    <t>Issue  with display when scrolling</t>
  </si>
  <si>
    <t>Top  Row background looks a little odd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</si>
</sst>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0"/>
      <name val="Courier New"/>
      <family val="3"/>
    </font>
    <font>
      <u/>
      <sz val="11"/>
      <color theme="10"/>
      <name val="Calibri"/>
      <family val="2"/>
      <scheme val="minor"/>
    </font>
    <font>
      <b/>
      <sz val="11"/>
      <color rgb="FF00B0F0"/>
      <name val="Calibri"/>
      <family val="2"/>
      <scheme val="minor"/>
    </font>
    <font>
      <b/>
      <sz val="11"/>
      <color theme="8"/>
      <name val="Calibri"/>
      <family val="2"/>
      <scheme val="minor"/>
    </font>
    <font>
      <sz val="8"/>
      <name val="Calibri"/>
      <family val="2"/>
      <scheme val="minor"/>
    </font>
    <font>
      <sz val="11"/>
      <name val="Calibri"/>
      <family val="2"/>
      <scheme val="minor"/>
    </font>
    <font>
      <sz val="11"/>
      <color theme="1"/>
      <name val="Calibri"/>
      <family val="2"/>
    </font>
    <font>
      <sz val="10"/>
      <color rgb="FF222222"/>
      <name val="Arial"/>
      <family val="2"/>
    </font>
    <font>
      <b/>
      <sz val="1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auto="1"/>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51">
    <xf numFmtId="0" fontId="0" fillId="0" borderId="0" xfId="0"/>
    <xf numFmtId="0" fontId="0" fillId="0" borderId="10" xfId="0" applyBorder="1" applyAlignment="1">
      <alignment horizontal="center"/>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left" vertical="center" wrapText="1"/>
    </xf>
    <xf numFmtId="0" fontId="0" fillId="0" borderId="14" xfId="0" applyBorder="1" applyAlignment="1">
      <alignment horizontal="center"/>
    </xf>
    <xf numFmtId="0" fontId="0" fillId="0" borderId="10" xfId="0" applyBorder="1" applyAlignment="1">
      <alignment horizontal="left" wrapText="1"/>
    </xf>
    <xf numFmtId="0" fontId="0" fillId="34" borderId="10" xfId="0" applyFill="1" applyBorder="1" applyAlignment="1">
      <alignment horizontal="center"/>
    </xf>
    <xf numFmtId="0" fontId="0" fillId="0" borderId="17" xfId="0" applyBorder="1" applyAlignment="1">
      <alignment horizontal="center" vertical="center" wrapText="1"/>
    </xf>
    <xf numFmtId="0" fontId="0" fillId="0" borderId="0" xfId="0"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xf>
    <xf numFmtId="0" fontId="19" fillId="0" borderId="10" xfId="42" applyBorder="1" applyAlignment="1">
      <alignment vertical="center"/>
    </xf>
    <xf numFmtId="0" fontId="18" fillId="0" borderId="10" xfId="0" applyFont="1" applyBorder="1" applyAlignment="1">
      <alignment horizontal="center" vertical="center"/>
    </xf>
    <xf numFmtId="0" fontId="0" fillId="33" borderId="0" xfId="0" applyFill="1" applyAlignment="1">
      <alignment horizontal="center" vertical="center"/>
    </xf>
    <xf numFmtId="0" fontId="0" fillId="0" borderId="16" xfId="0" applyBorder="1" applyAlignment="1">
      <alignment horizontal="center" vertical="center"/>
    </xf>
    <xf numFmtId="0" fontId="0" fillId="0" borderId="0" xfId="0" applyAlignment="1">
      <alignment vertical="center"/>
    </xf>
    <xf numFmtId="0" fontId="0" fillId="36" borderId="10" xfId="0" applyFill="1" applyBorder="1" applyAlignment="1">
      <alignment horizontal="center" vertical="center"/>
    </xf>
    <xf numFmtId="0" fontId="18" fillId="36" borderId="10" xfId="0" applyFont="1" applyFill="1" applyBorder="1" applyAlignment="1">
      <alignment horizontal="center" vertical="center"/>
    </xf>
    <xf numFmtId="0" fontId="0" fillId="0" borderId="18" xfId="0" applyBorder="1" applyAlignment="1">
      <alignment horizontal="center" vertical="center"/>
    </xf>
    <xf numFmtId="0" fontId="0" fillId="33" borderId="18" xfId="0" applyFill="1" applyBorder="1" applyAlignment="1">
      <alignment horizontal="center" vertical="center"/>
    </xf>
    <xf numFmtId="0" fontId="23" fillId="0" borderId="10" xfId="0" applyFont="1" applyBorder="1" applyAlignment="1">
      <alignment horizontal="center" vertical="center" wrapText="1"/>
    </xf>
    <xf numFmtId="0" fontId="0" fillId="35" borderId="10" xfId="0" applyFill="1" applyBorder="1" applyAlignment="1">
      <alignment horizontal="center" vertical="center"/>
    </xf>
    <xf numFmtId="0" fontId="0" fillId="0" borderId="15" xfId="0" applyBorder="1" applyAlignment="1">
      <alignment horizontal="center" vertical="center"/>
    </xf>
    <xf numFmtId="0" fontId="24" fillId="0" borderId="0" xfId="0" applyFont="1" applyAlignment="1">
      <alignment horizontal="center" vertical="center" wrapText="1"/>
    </xf>
    <xf numFmtId="0" fontId="24" fillId="0" borderId="0" xfId="0" applyFont="1" applyAlignment="1">
      <alignment horizontal="center" wrapText="1"/>
    </xf>
    <xf numFmtId="0" fontId="24" fillId="0" borderId="0" xfId="0" applyFont="1"/>
    <xf numFmtId="0" fontId="24" fillId="0" borderId="0" xfId="0" applyFont="1" applyAlignment="1">
      <alignment horizontal="center"/>
    </xf>
    <xf numFmtId="0" fontId="24" fillId="0" borderId="0" xfId="0" applyFont="1" applyAlignment="1">
      <alignment horizontal="center" vertical="center"/>
    </xf>
    <xf numFmtId="0" fontId="24" fillId="0" borderId="0" xfId="0" quotePrefix="1" applyFont="1" applyAlignment="1">
      <alignment horizontal="center"/>
    </xf>
    <xf numFmtId="0" fontId="24" fillId="0" borderId="0" xfId="0" applyFont="1" applyAlignment="1">
      <alignment horizontal="left" vertical="center"/>
    </xf>
    <xf numFmtId="164" fontId="24" fillId="0" borderId="0" xfId="0" applyNumberFormat="1" applyFont="1" applyAlignment="1">
      <alignment horizontal="left" vertical="center"/>
    </xf>
    <xf numFmtId="0" fontId="0" fillId="0" borderId="0" xfId="0" applyAlignment="1">
      <alignment horizontal="left" vertical="center"/>
    </xf>
    <xf numFmtId="11" fontId="0" fillId="0" borderId="0" xfId="0" applyNumberFormat="1"/>
    <xf numFmtId="0" fontId="0" fillId="0" borderId="19" xfId="0" applyBorder="1" applyAlignment="1">
      <alignment horizontal="center" vertical="center"/>
    </xf>
    <xf numFmtId="0" fontId="0" fillId="0" borderId="10" xfId="0" applyBorder="1" applyAlignment="1">
      <alignment horizontal="left" vertical="center"/>
    </xf>
    <xf numFmtId="0" fontId="16" fillId="0" borderId="10" xfId="0" applyFont="1" applyBorder="1" applyAlignment="1">
      <alignment horizontal="center" vertical="center" wrapText="1"/>
    </xf>
    <xf numFmtId="11" fontId="0" fillId="0" borderId="10" xfId="0" applyNumberFormat="1" applyBorder="1" applyAlignment="1">
      <alignment horizontal="center" vertical="center"/>
    </xf>
    <xf numFmtId="0" fontId="0" fillId="0" borderId="17" xfId="0" applyBorder="1" applyAlignment="1">
      <alignment horizontal="center"/>
    </xf>
    <xf numFmtId="0" fontId="18" fillId="0" borderId="17" xfId="0" applyFont="1" applyBorder="1" applyAlignment="1">
      <alignment horizontal="center" vertical="center"/>
    </xf>
    <xf numFmtId="0" fontId="25" fillId="0" borderId="10" xfId="0" applyFont="1" applyBorder="1" applyAlignment="1">
      <alignment horizontal="center"/>
    </xf>
    <xf numFmtId="0" fontId="16" fillId="0" borderId="20" xfId="0" applyFont="1" applyBorder="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26" fillId="0" borderId="0" xfId="0" applyFont="1" applyAlignment="1">
      <alignment horizontal="center" vertical="center"/>
    </xf>
    <xf numFmtId="0" fontId="23" fillId="0" borderId="0" xfId="0"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6">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00B05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rgb="FFFFC000"/>
      </font>
      <fill>
        <patternFill>
          <bgColor rgb="FFFFC000"/>
        </patternFill>
      </fill>
      <border>
        <left style="thin">
          <color auto="1"/>
        </left>
        <right style="thin">
          <color auto="1"/>
        </right>
        <top style="thin">
          <color auto="1"/>
        </top>
        <bottom style="thin">
          <color auto="1"/>
        </bottom>
      </border>
    </dxf>
    <dxf>
      <font>
        <color rgb="FF00B050"/>
      </font>
      <fill>
        <patternFill>
          <bgColor rgb="FF00B050"/>
        </patternFill>
      </fill>
      <border>
        <left style="thin">
          <color auto="1"/>
        </left>
        <right style="thin">
          <color auto="1"/>
        </right>
        <top style="thin">
          <color auto="1"/>
        </top>
        <bottom style="thin">
          <color auto="1"/>
        </bottom>
      </border>
    </dxf>
    <dxf>
      <font>
        <color rgb="FFFF0000"/>
      </font>
      <fill>
        <patternFill>
          <bgColor rgb="FFFF0000"/>
        </patternFill>
      </fill>
    </dxf>
    <dxf>
      <font>
        <color rgb="FF00B0F0"/>
      </font>
      <fill>
        <patternFill>
          <bgColor rgb="FF00B0F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FFC00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theme="0"/>
      </font>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00B050"/>
        </patternFill>
      </fill>
    </dxf>
    <dxf>
      <fill>
        <patternFill>
          <bgColor rgb="FF00B0F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ill>
        <patternFill>
          <bgColor rgb="FFFFFF00"/>
        </patternFill>
      </fill>
      <border>
        <left style="thin">
          <color auto="1"/>
        </left>
        <right style="thin">
          <color auto="1"/>
        </right>
        <top style="thin">
          <color auto="1"/>
        </top>
        <bottom style="thin">
          <color auto="1"/>
        </bottom>
        <vertical/>
        <horizontal/>
      </border>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5"/>
        </patternFill>
      </fill>
      <border>
        <left style="thin">
          <color auto="1"/>
        </left>
        <right style="thin">
          <color auto="1"/>
        </right>
        <top style="thin">
          <color auto="1"/>
        </top>
        <bottom style="thin">
          <color auto="1"/>
        </bottom>
        <vertical/>
        <horizontal/>
      </border>
    </dxf>
    <dxf>
      <font>
        <color theme="0"/>
      </font>
    </dxf>
    <dxf>
      <font>
        <color theme="0"/>
      </font>
    </dxf>
    <dxf>
      <fill>
        <patternFill>
          <bgColor theme="5"/>
        </patternFill>
      </fill>
      <border>
        <left style="thin">
          <color auto="1"/>
        </left>
        <right style="thin">
          <color auto="1"/>
        </right>
        <top style="thin">
          <color auto="1"/>
        </top>
        <bottom style="thin">
          <color auto="1"/>
        </bottom>
        <vertical/>
        <horizontal/>
      </border>
    </dxf>
    <dxf>
      <fill>
        <patternFill>
          <bgColor rgb="FF00B0F0"/>
        </patternFill>
      </fill>
    </dxf>
    <dxf>
      <font>
        <color theme="0"/>
      </font>
    </dxf>
    <dxf>
      <font>
        <color theme="0"/>
      </font>
    </dxf>
    <dxf>
      <font>
        <color theme="0"/>
      </font>
      <border>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center" textRotation="0" wrapText="0" indent="0" justifyLastLine="0" shrinkToFit="0" readingOrder="0"/>
    </dxf>
    <dxf>
      <border outline="0">
        <bottom style="thin">
          <color theme="4" tint="0.39997558519241921"/>
        </bottom>
      </border>
    </dxf>
    <dxf>
      <fill>
        <patternFill patternType="solid">
          <fgColor theme="4" tint="0.79998168889431442"/>
          <bgColor theme="4" tint="0.7999816888943144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DCC504-7096-4E01-BCA2-A8A6BD058444}" name="Table1" displayName="Table1" ref="BI2:BI13" totalsRowShown="0" headerRowDxfId="195" dataDxfId="193" headerRowBorderDxfId="194" tableBorderDxfId="192" totalsRowBorderDxfId="191">
  <autoFilter ref="BI2:BI13" xr:uid="{13DCC504-7096-4E01-BCA2-A8A6BD058444}"/>
  <tableColumns count="1">
    <tableColumn id="1" xr3:uid="{49ED5222-4A33-4D10-8078-547974E5D0D5}" name="Column1" dataDxfId="19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I674"/>
  <sheetViews>
    <sheetView topLeftCell="G1" zoomScale="71" zoomScaleNormal="71" workbookViewId="0">
      <pane ySplit="1" topLeftCell="A345" activePane="bottomLeft" state="frozen"/>
      <selection activeCell="C1" sqref="C1"/>
      <selection pane="bottomLeft" activeCell="A445" sqref="A445"/>
    </sheetView>
  </sheetViews>
  <sheetFormatPr defaultColWidth="69.7109375" defaultRowHeight="15" x14ac:dyDescent="0.25"/>
  <cols>
    <col min="1" max="1" width="33" style="14" customWidth="1"/>
    <col min="2" max="2" width="50" style="14" customWidth="1"/>
    <col min="3" max="3" width="30.42578125" style="14" customWidth="1"/>
    <col min="4" max="4" width="64.5703125" style="14" customWidth="1"/>
    <col min="5" max="5" width="27.7109375" style="14" customWidth="1"/>
    <col min="6" max="6" width="25.5703125" style="14" customWidth="1"/>
    <col min="7" max="7" width="30.5703125" style="14" customWidth="1"/>
    <col min="8" max="8" width="37.28515625" style="14" customWidth="1"/>
    <col min="9" max="10" width="17.42578125" style="14" customWidth="1"/>
    <col min="11" max="11" width="31.28515625" style="14" customWidth="1"/>
    <col min="12" max="13" width="27.42578125" style="14" customWidth="1"/>
    <col min="14" max="14" width="44" style="21" customWidth="1"/>
    <col min="15" max="15" width="60.42578125" style="14" hidden="1" customWidth="1"/>
    <col min="16" max="16" width="97.42578125" style="14" hidden="1" customWidth="1"/>
    <col min="17" max="17" width="23.7109375" style="14" hidden="1" customWidth="1"/>
    <col min="18" max="18" width="53.7109375" style="14" hidden="1" customWidth="1"/>
    <col min="19" max="19" width="47.140625" style="14" hidden="1" customWidth="1"/>
    <col min="20" max="20" width="21.42578125" style="14" hidden="1" customWidth="1"/>
    <col min="21" max="21" width="21.7109375" style="14" hidden="1" customWidth="1"/>
    <col min="22" max="22" width="25.140625" style="14" hidden="1" customWidth="1"/>
    <col min="23" max="23" width="26" style="14" hidden="1" customWidth="1"/>
    <col min="24" max="24" width="37.85546875" style="14" hidden="1" customWidth="1"/>
    <col min="25" max="25" width="75" style="14" hidden="1" customWidth="1"/>
    <col min="26" max="26" width="84.85546875" style="14" hidden="1" customWidth="1"/>
    <col min="27" max="27" width="46.42578125" style="14" hidden="1" customWidth="1"/>
    <col min="28" max="28" width="139.85546875" style="5" hidden="1" customWidth="1"/>
    <col min="29" max="29" width="69" style="5" hidden="1" customWidth="1"/>
    <col min="30" max="30" width="53.140625" style="14" customWidth="1"/>
    <col min="31" max="31" width="40.28515625" style="14" bestFit="1" customWidth="1"/>
    <col min="32" max="32" width="21.42578125" style="14" bestFit="1" customWidth="1"/>
    <col min="33" max="33" width="28.7109375" style="14" customWidth="1"/>
    <col min="34" max="34" width="38.28515625" style="14" customWidth="1"/>
    <col min="35" max="35" width="23.42578125" style="14" bestFit="1" customWidth="1"/>
    <col min="36" max="36" width="56.140625" style="14" bestFit="1" customWidth="1"/>
    <col min="37" max="42" width="0" style="14" hidden="1" customWidth="1"/>
    <col min="43" max="43" width="12.7109375" style="14" hidden="1" customWidth="1"/>
    <col min="44" max="52" width="0" style="14" hidden="1" customWidth="1"/>
    <col min="53" max="60" width="69.7109375" style="14"/>
    <col min="61" max="61" width="18.42578125" style="14" bestFit="1" customWidth="1"/>
    <col min="62" max="16384" width="69.7109375" style="14"/>
  </cols>
  <sheetData>
    <row r="1" spans="1:61" ht="77.25" customHeight="1" x14ac:dyDescent="0.25">
      <c r="A1" s="2" t="str">
        <f>'Components Data Source'!A1</f>
        <v>Name</v>
      </c>
      <c r="B1" s="3" t="str">
        <f>'Components Data Source'!B1</f>
        <v xml:space="preserve"> GUID</v>
      </c>
      <c r="C1" s="3" t="str">
        <f>'Components Data Source'!C1</f>
        <v xml:space="preserve"> FCPX Name</v>
      </c>
      <c r="D1" s="3" t="str">
        <f>'Components Data Source'!D1</f>
        <v xml:space="preserve"> Source</v>
      </c>
      <c r="E1" s="3" t="s">
        <v>3719</v>
      </c>
      <c r="F1" s="14" t="s">
        <v>3654</v>
      </c>
      <c r="G1" s="14" t="s">
        <v>3655</v>
      </c>
      <c r="H1" s="14" t="s">
        <v>2600</v>
      </c>
      <c r="I1" s="3" t="str">
        <f>'Components Data Source'!I1</f>
        <v xml:space="preserve"> Peripherals</v>
      </c>
      <c r="J1" s="3" t="str">
        <f>'Components Data Source'!J1</f>
        <v xml:space="preserve"> Dynamic</v>
      </c>
      <c r="K1" s="3" t="str">
        <f>'Components Data Source'!K1</f>
        <v xml:space="preserve"> Embedded</v>
      </c>
      <c r="L1" s="3" t="str">
        <f>'Components Data Source'!L1</f>
        <v xml:space="preserve"> AppDeveloper</v>
      </c>
      <c r="M1" s="4" t="str">
        <f>"Converted to v10, W=WIP. (Yes = "&amp;COUNTIF(M2:M603, "Y")&amp;"/"&amp;(COUNTIF(M2:M603, "N")+COUNTIF(M2:M603, "W")+COUNTIF(M2:M603, "Y"))&amp;")"</f>
        <v>Converted to v10, W=WIP. (Yes = 0/602)</v>
      </c>
      <c r="N1" s="3" t="str">
        <f>'Components Data Source'!M1</f>
        <v xml:space="preserve"> URL</v>
      </c>
      <c r="O1" s="3" t="str">
        <f>"Wiki Link working Via Help, 3rd pass. Tot Checked ="&amp;(COUNTIF(O2:O603,"N")+COUNTIF(O2:O603,"Y")+COUNTIF(O2:O603,"I")+COUNTIF(O2:O603,"O"))&amp;", GN:OK="&amp;COUNTIF(O2:O603,"Y")&amp;", YL:Issue e.g [[File:]="&amp;COUNTIF(O2:O603,"I")&amp;", OR:org format="&amp;(COUNTIF(O2:O603,"O")&amp;", RD:Not Working="&amp;(COUNTIF(O2:O603,"N")))</f>
        <v>Wiki Link working Via Help, 3rd pass. Tot Checked =592, GN:OK=533, YL:Issue e.g [[File:]=29, OR:org format=28, RD:Not Working=2</v>
      </c>
      <c r="P1" s="3" t="s">
        <v>3565</v>
      </c>
      <c r="Q1" s="3" t="s">
        <v>2465</v>
      </c>
      <c r="R1" s="3" t="str">
        <f>"Conversion Required  (Cells entered  = "&amp;COUNTIF(R2:R603, "Y")+COUNTIF(R2:R603, "N")&amp;"/"&amp;COUNTIF(R2:R603, "Y")+COUNTIF(R2:R603, "N")+COUNTIF(R2:R603, "Q")+COUNTIF(R2:R603, "")&amp;")"</f>
        <v>Conversion Required  (Cells entered  = 589/600)</v>
      </c>
      <c r="S1" s="3" t="str">
        <f>"Converted or 2D only?   (Yes  = "&amp;COUNTIFS(S2:S613,"Y",R2:R613,"Y")&amp;"/"&amp;(COUNTIFS(R2:R613,"Y"))&amp;")"</f>
        <v>Converted or 2D only?   (Yes  = 263/265)</v>
      </c>
      <c r="T1" s="3" t="s">
        <v>1722</v>
      </c>
      <c r="U1" s="3" t="s">
        <v>1723</v>
      </c>
      <c r="V1" s="3" t="s">
        <v>1724</v>
      </c>
      <c r="W1" s="3" t="s">
        <v>1725</v>
      </c>
      <c r="X1" s="3" t="s">
        <v>1726</v>
      </c>
      <c r="Y1" s="3" t="str">
        <f>"Converted component  Loads and looks + functions correctly  (Yes  = "&amp;COUNTIF(Y2:Y603, "Y")&amp;"/"&amp;COUNTIF(Y2:Y603, "Y")+COUNTIF(Y2:Y603, "N")+COUNTIF(Y2:Y603, "A")&amp;")"</f>
        <v>Converted component  Loads and looks + functions correctly  (Yes  = 218/262)</v>
      </c>
      <c r="Z1" s="3" t="s">
        <v>2466</v>
      </c>
      <c r="AA1" s="3" t="s">
        <v>2495</v>
      </c>
      <c r="AB1" s="3" t="s">
        <v>1728</v>
      </c>
      <c r="AC1" s="3" t="s">
        <v>1729</v>
      </c>
      <c r="AD1" s="3" t="str">
        <f>"Wiki Link working Via Help. Bl = Not applic. (Not working  = "&amp;COUNTIF(AD2:AD603, "N")&amp;"/"&amp;(COUNTIF(AD2:AD603, "N")+COUNTIF(AD2:AD603, "Y"))&amp;")"</f>
        <v>Wiki Link working Via Help. Bl = Not applic. (Not working  = 46/593)</v>
      </c>
      <c r="AE1" s="3" t="s">
        <v>2503</v>
      </c>
      <c r="AF1" s="3" t="s">
        <v>2467</v>
      </c>
      <c r="AG1" s="3" t="s">
        <v>3646</v>
      </c>
      <c r="AH1" s="46" t="s">
        <v>3644</v>
      </c>
      <c r="AI1" s="46" t="s">
        <v>3643</v>
      </c>
      <c r="AJ1" s="4" t="str">
        <f>"Component tested (HW &amp; Sim if appl ) Or = awaiting to test (Tested = "&amp;COUNTIF(AJ2:AJ603, "Y")&amp;"/"&amp;(COUNTIF(AJ2:AJ603, "Y")+COUNTIF(AJ2:AJ603, "A"))&amp;")"</f>
        <v>Component tested (HW &amp; Sim if appl ) Or = awaiting to test (Tested = 13/541)</v>
      </c>
    </row>
    <row r="2" spans="1:61" hidden="1" x14ac:dyDescent="0.25">
      <c r="A2" s="16" t="str">
        <f>'Components Data Source'!A2</f>
        <v>DAC (AD5662)</v>
      </c>
      <c r="B2" s="8" t="str">
        <f>'Components Data Source'!B2</f>
        <v>3D87FFE9-97C1-4013-A2CD-82C24D0CCB48</v>
      </c>
      <c r="C2" s="41" t="str">
        <f>'Components Data Source'!C2</f>
        <v>ADC_AD5662.fcpx</v>
      </c>
      <c r="D2" s="8" t="str">
        <f>'Components Data Source'!D2</f>
        <v>Components\IO_Source\outputs\DAC_AD5662.fcfx</v>
      </c>
      <c r="E2" s="8" t="str">
        <f>'Components Data Source'!E2</f>
        <v>COMMSA</v>
      </c>
      <c r="F2" s="8" t="str">
        <f>'Components Data Source'!F2</f>
        <v>ANALOG OUTPUT</v>
      </c>
      <c r="G2" s="8">
        <f>'Components Data Source'!G2</f>
        <v>0</v>
      </c>
      <c r="H2" s="8">
        <f>'Components Data Source'!H2</f>
        <v>0</v>
      </c>
      <c r="I2" s="8" t="str">
        <f>'Components Data Source'!I2</f>
        <v xml:space="preserve">SPI </v>
      </c>
      <c r="J2" s="8">
        <f>'Components Data Source'!J2</f>
        <v>1</v>
      </c>
      <c r="K2" s="8">
        <f>'Components Data Source'!K2</f>
        <v>1</v>
      </c>
      <c r="L2" s="8">
        <f>'Components Data Source'!L2</f>
        <v>0</v>
      </c>
      <c r="M2" s="8" t="s">
        <v>1727</v>
      </c>
      <c r="N2" s="17" t="str">
        <f>HYPERLINK('Components Data Source'!M2)</f>
        <v>https://www.flowcode.co.uk/wiki/index.php?title=Component:_ID_3d87ffe9_97c1_4013_a2cd_82c24d0ccb48</v>
      </c>
      <c r="O2" s="8" t="s">
        <v>1721</v>
      </c>
      <c r="P2" s="8"/>
      <c r="Q2" s="8" t="str">
        <f t="shared" ref="Q2:Q13" si="0">IF(L2=1,IF(K2=1,"",1),"")</f>
        <v/>
      </c>
      <c r="R2" s="8" t="s">
        <v>1721</v>
      </c>
      <c r="S2" s="8" t="s">
        <v>1721</v>
      </c>
      <c r="T2" s="8" t="s">
        <v>1721</v>
      </c>
      <c r="U2" s="8" t="s">
        <v>1721</v>
      </c>
      <c r="V2" s="8" t="s">
        <v>1731</v>
      </c>
      <c r="W2" s="8" t="s">
        <v>1180</v>
      </c>
      <c r="X2" s="8" t="s">
        <v>1721</v>
      </c>
      <c r="Y2" s="8" t="s">
        <v>1721</v>
      </c>
      <c r="Z2" s="18">
        <f t="shared" ref="Z2:Z65" si="1">IF(AND(R2="Y",Y2="Y"),1,IF(R2="N",2,IF(R2="",4,IF(Y2="A",3,0))))</f>
        <v>1</v>
      </c>
      <c r="AA2" s="8"/>
      <c r="AB2" s="7"/>
      <c r="AC2" s="7"/>
      <c r="AD2" s="8" t="s">
        <v>1721</v>
      </c>
      <c r="AE2" s="8" t="s">
        <v>1721</v>
      </c>
      <c r="AF2" s="8" t="s">
        <v>1721</v>
      </c>
      <c r="AG2" s="8" t="s">
        <v>1721</v>
      </c>
      <c r="AH2" s="47"/>
      <c r="AI2" s="47">
        <f>VLOOKUP(B2,'Components Usage'!A$2:C$603,3,FALSE)</f>
        <v>0</v>
      </c>
      <c r="AJ2" s="28" t="s">
        <v>2401</v>
      </c>
      <c r="BI2" s="19" t="s">
        <v>2493</v>
      </c>
    </row>
    <row r="3" spans="1:61" hidden="1" x14ac:dyDescent="0.25">
      <c r="A3" s="16" t="str">
        <f>'Components Data Source'!A3</f>
        <v>ADC (AD7680)</v>
      </c>
      <c r="B3" s="8" t="str">
        <f>'Components Data Source'!B3</f>
        <v>937E425E-21C0-4B08-8D8F-0BF80A6391D2</v>
      </c>
      <c r="C3" s="41" t="str">
        <f>'Components Data Source'!C3</f>
        <v>ADC_AD7680.fcpx</v>
      </c>
      <c r="D3" s="8" t="str">
        <f>'Components Data Source'!D3</f>
        <v>Components\IO_Source\adc\ExternalADC_AD7680.fcfx</v>
      </c>
      <c r="E3" s="8" t="str">
        <f>'Components Data Source'!E3</f>
        <v>COMMSA</v>
      </c>
      <c r="F3" s="8" t="str">
        <f>'Components Data Source'!F3</f>
        <v>ANALOG INPUT</v>
      </c>
      <c r="G3" s="8">
        <f>'Components Data Source'!G3</f>
        <v>0</v>
      </c>
      <c r="H3" s="8">
        <f>'Components Data Source'!H3</f>
        <v>0</v>
      </c>
      <c r="I3" s="8" t="str">
        <f>'Components Data Source'!I3</f>
        <v xml:space="preserve">SPI </v>
      </c>
      <c r="J3" s="8">
        <f>'Components Data Source'!J3</f>
        <v>1</v>
      </c>
      <c r="K3" s="8">
        <f>'Components Data Source'!K3</f>
        <v>1</v>
      </c>
      <c r="L3" s="8">
        <f>'Components Data Source'!L3</f>
        <v>0</v>
      </c>
      <c r="M3" s="8" t="s">
        <v>1727</v>
      </c>
      <c r="N3" s="17" t="str">
        <f>HYPERLINK('Components Data Source'!M3)</f>
        <v>https://www.flowcode.co.uk/wiki/index.php?title=Component:_ID_937e425e_21c0_4b08_8d8f_0bf80a6391d2</v>
      </c>
      <c r="O3" s="8" t="s">
        <v>1721</v>
      </c>
      <c r="P3" s="8"/>
      <c r="Q3" s="8" t="str">
        <f t="shared" si="0"/>
        <v/>
      </c>
      <c r="R3" s="8" t="s">
        <v>1721</v>
      </c>
      <c r="S3" s="8" t="s">
        <v>1721</v>
      </c>
      <c r="T3" s="8" t="s">
        <v>1721</v>
      </c>
      <c r="U3" s="8" t="s">
        <v>1721</v>
      </c>
      <c r="V3" s="8" t="s">
        <v>1731</v>
      </c>
      <c r="W3" s="8" t="s">
        <v>1180</v>
      </c>
      <c r="X3" s="8" t="s">
        <v>1721</v>
      </c>
      <c r="Y3" s="8" t="s">
        <v>1721</v>
      </c>
      <c r="Z3" s="18">
        <f t="shared" si="1"/>
        <v>1</v>
      </c>
      <c r="AA3" s="8"/>
      <c r="AB3" s="7"/>
      <c r="AC3" s="7"/>
      <c r="AD3" s="8" t="s">
        <v>1721</v>
      </c>
      <c r="AE3" s="8" t="s">
        <v>1721</v>
      </c>
      <c r="AF3" s="8" t="s">
        <v>1721</v>
      </c>
      <c r="AG3" s="8" t="s">
        <v>1721</v>
      </c>
      <c r="AH3" s="47"/>
      <c r="AI3" s="47">
        <f>VLOOKUP(B3,'Components Usage'!A$2:C$603,3,FALSE)</f>
        <v>3</v>
      </c>
      <c r="AJ3" s="28" t="s">
        <v>2401</v>
      </c>
      <c r="AQ3" s="19" t="s">
        <v>1730</v>
      </c>
    </row>
    <row r="4" spans="1:61" hidden="1" x14ac:dyDescent="0.25">
      <c r="A4" s="16" t="str">
        <f>'Components Data Source'!A4</f>
        <v>DSP Audio Input (EB085)</v>
      </c>
      <c r="B4" s="8" t="str">
        <f>'Components Data Source'!B4</f>
        <v>87D8BAD5-6392-41FB-B370-D9B2C0F8F13F</v>
      </c>
      <c r="C4" s="41" t="str">
        <f>'Components Data Source'!C4</f>
        <v>ADC_EB085.fcpx</v>
      </c>
      <c r="D4" s="8" t="str">
        <f>'Components Data Source'!D4</f>
        <v>Components\IO_Source\adc\ExternalADC_AD7680_EB085.fcfx</v>
      </c>
      <c r="E4" s="8" t="str">
        <f>'Components Data Source'!E4</f>
        <v>COMMSA</v>
      </c>
      <c r="F4" s="8" t="str">
        <f>'Components Data Source'!F4</f>
        <v>E-BLOCKS 1</v>
      </c>
      <c r="G4" s="8">
        <f>'Components Data Source'!G4</f>
        <v>0</v>
      </c>
      <c r="H4" s="8">
        <f>'Components Data Source'!H4</f>
        <v>0</v>
      </c>
      <c r="I4" s="8" t="str">
        <f>'Components Data Source'!I4</f>
        <v xml:space="preserve">SPI </v>
      </c>
      <c r="J4" s="8">
        <f>'Components Data Source'!J4</f>
        <v>1</v>
      </c>
      <c r="K4" s="8">
        <f>'Components Data Source'!K4</f>
        <v>1</v>
      </c>
      <c r="L4" s="8">
        <f>'Components Data Source'!L4</f>
        <v>0</v>
      </c>
      <c r="M4" s="8" t="s">
        <v>1727</v>
      </c>
      <c r="N4" s="17" t="str">
        <f>HYPERLINK('Components Data Source'!M4)</f>
        <v>https://www.flowcode.co.uk/wiki/index.php?title=Component:_ID_87d8bad5_6392_41fb_b370_d9b2c0f8f13f</v>
      </c>
      <c r="O4" s="8" t="s">
        <v>2589</v>
      </c>
      <c r="P4" s="8"/>
      <c r="Q4" s="8" t="str">
        <f t="shared" si="0"/>
        <v/>
      </c>
      <c r="R4" s="8" t="s">
        <v>1721</v>
      </c>
      <c r="S4" s="8" t="s">
        <v>1721</v>
      </c>
      <c r="T4" s="8" t="s">
        <v>1721</v>
      </c>
      <c r="U4" s="8" t="s">
        <v>1721</v>
      </c>
      <c r="V4" s="8" t="s">
        <v>1731</v>
      </c>
      <c r="W4" s="8" t="s">
        <v>1180</v>
      </c>
      <c r="X4" s="8" t="s">
        <v>1721</v>
      </c>
      <c r="Y4" s="8" t="s">
        <v>1721</v>
      </c>
      <c r="Z4" s="18">
        <f t="shared" si="1"/>
        <v>1</v>
      </c>
      <c r="AA4" s="8"/>
      <c r="AB4" s="7" t="s">
        <v>2468</v>
      </c>
      <c r="AC4" s="7"/>
      <c r="AD4" s="8" t="s">
        <v>1721</v>
      </c>
      <c r="AE4" s="8" t="s">
        <v>1727</v>
      </c>
      <c r="AF4" s="8" t="s">
        <v>1727</v>
      </c>
      <c r="AG4" s="8" t="s">
        <v>1727</v>
      </c>
      <c r="AH4" s="47"/>
      <c r="AI4" s="47">
        <f>VLOOKUP(B4,'Components Usage'!A$2:C$603,3,FALSE)</f>
        <v>13</v>
      </c>
      <c r="AJ4" s="28" t="s">
        <v>2401</v>
      </c>
      <c r="AQ4" s="14" t="s">
        <v>1731</v>
      </c>
      <c r="BI4" s="19"/>
    </row>
    <row r="5" spans="1:61" x14ac:dyDescent="0.25">
      <c r="A5" s="16" t="str">
        <f>'Components Data Source'!A5</f>
        <v>ADC (MCP356X)</v>
      </c>
      <c r="B5" s="8" t="str">
        <f>'Components Data Source'!B5</f>
        <v>235FD689-BFD1-4C4A-A918-6C3C36E9A49F</v>
      </c>
      <c r="C5" s="41" t="str">
        <f>'Components Data Source'!C5</f>
        <v>ADC_MCP356X.fcpx</v>
      </c>
      <c r="D5" s="8" t="str">
        <f>'Components Data Source'!D5</f>
        <v>Components\IO_Source\adc\ExternalADC_MCP356X.fcfx</v>
      </c>
      <c r="E5" s="8" t="str">
        <f>'Components Data Source'!E5</f>
        <v>FREE</v>
      </c>
      <c r="F5" s="8" t="str">
        <f>'Components Data Source'!F5</f>
        <v>ANALOG INPUT</v>
      </c>
      <c r="G5" s="8">
        <f>'Components Data Source'!G5</f>
        <v>0</v>
      </c>
      <c r="H5" s="8">
        <f>'Components Data Source'!H5</f>
        <v>0</v>
      </c>
      <c r="I5" s="8" t="str">
        <f>'Components Data Source'!I5</f>
        <v xml:space="preserve">SPI </v>
      </c>
      <c r="J5" s="8">
        <f>'Components Data Source'!J5</f>
        <v>1</v>
      </c>
      <c r="K5" s="8">
        <f>'Components Data Source'!K5</f>
        <v>1</v>
      </c>
      <c r="L5" s="8">
        <f>'Components Data Source'!L5</f>
        <v>0</v>
      </c>
      <c r="M5" s="8" t="s">
        <v>1727</v>
      </c>
      <c r="N5" s="17" t="str">
        <f>HYPERLINK('Components Data Source'!M5)</f>
        <v>https://www.flowcode.co.uk/wiki/index.php?title=Component:_ID_235fd689_bfd1_4c4a_a918_6c3c36e9a49f</v>
      </c>
      <c r="O5" s="8" t="s">
        <v>1721</v>
      </c>
      <c r="P5" s="8"/>
      <c r="Q5" s="8" t="str">
        <f t="shared" si="0"/>
        <v/>
      </c>
      <c r="R5" s="8" t="s">
        <v>1721</v>
      </c>
      <c r="S5" s="8" t="s">
        <v>1721</v>
      </c>
      <c r="T5" s="8" t="s">
        <v>1721</v>
      </c>
      <c r="U5" s="8"/>
      <c r="V5" s="8" t="s">
        <v>1731</v>
      </c>
      <c r="W5" s="8" t="s">
        <v>1180</v>
      </c>
      <c r="X5" s="8" t="s">
        <v>1721</v>
      </c>
      <c r="Y5" s="8" t="s">
        <v>1721</v>
      </c>
      <c r="Z5" s="18">
        <f t="shared" si="1"/>
        <v>1</v>
      </c>
      <c r="AA5" s="8"/>
      <c r="AB5" s="7"/>
      <c r="AC5" s="7"/>
      <c r="AD5" s="8" t="s">
        <v>1721</v>
      </c>
      <c r="AE5" s="8"/>
      <c r="AF5" s="8" t="s">
        <v>1727</v>
      </c>
      <c r="AG5" s="8" t="s">
        <v>1727</v>
      </c>
      <c r="AH5" s="47"/>
      <c r="AI5" s="47">
        <f>VLOOKUP(B5,'Components Usage'!A$2:C$603,3,FALSE)</f>
        <v>0</v>
      </c>
      <c r="AJ5" s="28"/>
      <c r="AQ5" s="19" t="s">
        <v>1732</v>
      </c>
    </row>
    <row r="6" spans="1:61" hidden="1" x14ac:dyDescent="0.25">
      <c r="A6" s="16" t="str">
        <f>'Components Data Source'!A6</f>
        <v>Infrared Array AMG88xx</v>
      </c>
      <c r="B6" s="8" t="str">
        <f>'Components Data Source'!B6</f>
        <v>E1D52EFB-00D4-4E19-BA4C-29B292535EA1</v>
      </c>
      <c r="C6" s="41" t="str">
        <f>'Components Data Source'!C6</f>
        <v>AMG88xx.fcpx</v>
      </c>
      <c r="D6" s="8" t="str">
        <f>'Components Data Source'!D6</f>
        <v>Components\IO_Source\Sensors\AMG88.fcfx</v>
      </c>
      <c r="E6" s="8" t="str">
        <f>'Components Data Source'!E6</f>
        <v>SENSORS</v>
      </c>
      <c r="F6" s="8" t="str">
        <f>'Components Data Source'!F6</f>
        <v>LIGHT</v>
      </c>
      <c r="G6" s="8">
        <f>'Components Data Source'!G6</f>
        <v>0</v>
      </c>
      <c r="H6" s="8">
        <f>'Components Data Source'!H6</f>
        <v>0</v>
      </c>
      <c r="I6" s="8" t="str">
        <f>'Components Data Source'!I6</f>
        <v xml:space="preserve">I2C </v>
      </c>
      <c r="J6" s="8">
        <f>'Components Data Source'!J6</f>
        <v>1</v>
      </c>
      <c r="K6" s="8">
        <f>'Components Data Source'!K6</f>
        <v>1</v>
      </c>
      <c r="L6" s="8">
        <f>'Components Data Source'!L6</f>
        <v>1</v>
      </c>
      <c r="M6" s="8" t="s">
        <v>1727</v>
      </c>
      <c r="N6" s="17" t="str">
        <f>HYPERLINK('Components Data Source'!M6)</f>
        <v>https://www.flowcode.co.uk/wiki/index.php?title=Component:_ID_e1d52efb_00d4_4e19_ba4c_29b292535ea1</v>
      </c>
      <c r="O6" s="8" t="s">
        <v>1721</v>
      </c>
      <c r="P6" s="8"/>
      <c r="Q6" s="8" t="str">
        <f t="shared" si="0"/>
        <v/>
      </c>
      <c r="R6" s="8" t="s">
        <v>1721</v>
      </c>
      <c r="S6" s="8" t="s">
        <v>1721</v>
      </c>
      <c r="T6" s="8" t="s">
        <v>1727</v>
      </c>
      <c r="U6" s="8" t="s">
        <v>1727</v>
      </c>
      <c r="V6" s="8" t="s">
        <v>1731</v>
      </c>
      <c r="W6" s="8" t="s">
        <v>1731</v>
      </c>
      <c r="X6" s="8" t="s">
        <v>1721</v>
      </c>
      <c r="Y6" s="8" t="s">
        <v>1721</v>
      </c>
      <c r="Z6" s="18">
        <f t="shared" si="1"/>
        <v>1</v>
      </c>
      <c r="AA6" s="8"/>
      <c r="AB6" s="7"/>
      <c r="AC6" s="7"/>
      <c r="AD6" s="8" t="s">
        <v>1721</v>
      </c>
      <c r="AE6" s="8" t="s">
        <v>1727</v>
      </c>
      <c r="AF6" s="8" t="s">
        <v>1727</v>
      </c>
      <c r="AG6" s="8" t="s">
        <v>1727</v>
      </c>
      <c r="AH6" s="47"/>
      <c r="AI6" s="47">
        <f>VLOOKUP(B6,'Components Usage'!A$2:C$603,3,FALSE)</f>
        <v>3</v>
      </c>
      <c r="AJ6" s="28" t="s">
        <v>2401</v>
      </c>
      <c r="AQ6" s="14" t="s">
        <v>1009</v>
      </c>
      <c r="BI6" s="19"/>
    </row>
    <row r="7" spans="1:61" ht="30" hidden="1" x14ac:dyDescent="0.25">
      <c r="A7" s="16" t="str">
        <f>'Components Data Source'!A7</f>
        <v>Accelerometer(EB068)</v>
      </c>
      <c r="B7" s="8" t="str">
        <f>'Components Data Source'!B7</f>
        <v>B81925B1-7504-4D77-AC90-3A4FA700FCC4</v>
      </c>
      <c r="C7" s="41" t="str">
        <f>'Components Data Source'!C7</f>
        <v>Accelerometer_EB068.fcpx</v>
      </c>
      <c r="D7" s="8" t="str">
        <f>'Components Data Source'!D7</f>
        <v>Components\IO_Source\Sensors\Accelerometer_EB068.fcfx</v>
      </c>
      <c r="E7" s="8" t="str">
        <f>'Components Data Source'!E7</f>
        <v>SENSORS</v>
      </c>
      <c r="F7" s="8" t="str">
        <f>'Components Data Source'!F7</f>
        <v>E-BLOCKS 1</v>
      </c>
      <c r="G7" s="8">
        <f>'Components Data Source'!G7</f>
        <v>0</v>
      </c>
      <c r="H7" s="8">
        <f>'Components Data Source'!H7</f>
        <v>0</v>
      </c>
      <c r="I7" s="8" t="str">
        <f>'Components Data Source'!I7</f>
        <v xml:space="preserve">SPI I2C </v>
      </c>
      <c r="J7" s="8">
        <f>'Components Data Source'!J7</f>
        <v>1</v>
      </c>
      <c r="K7" s="8">
        <f>'Components Data Source'!K7</f>
        <v>1</v>
      </c>
      <c r="L7" s="8">
        <f>'Components Data Source'!L7</f>
        <v>0</v>
      </c>
      <c r="M7" s="8" t="s">
        <v>1727</v>
      </c>
      <c r="N7" s="17" t="str">
        <f>HYPERLINK('Components Data Source'!M7)</f>
        <v>https://www.flowcode.co.uk/wiki/index.php?title=Component:_ID_b81925b1_7504_4d77_ac90_3a4fa700fcc4</v>
      </c>
      <c r="O7" s="8" t="s">
        <v>2589</v>
      </c>
      <c r="P7" s="8"/>
      <c r="Q7" s="8" t="str">
        <f t="shared" si="0"/>
        <v/>
      </c>
      <c r="R7" s="8" t="s">
        <v>1721</v>
      </c>
      <c r="S7" s="8" t="s">
        <v>1721</v>
      </c>
      <c r="T7" s="8" t="s">
        <v>1721</v>
      </c>
      <c r="U7" s="8" t="s">
        <v>1721</v>
      </c>
      <c r="V7" s="8" t="s">
        <v>1731</v>
      </c>
      <c r="W7" s="8" t="s">
        <v>1175</v>
      </c>
      <c r="X7" s="8" t="s">
        <v>1721</v>
      </c>
      <c r="Y7" s="8" t="s">
        <v>2401</v>
      </c>
      <c r="Z7" s="18">
        <f t="shared" si="1"/>
        <v>3</v>
      </c>
      <c r="AA7" s="8"/>
      <c r="AB7" s="7" t="s">
        <v>2469</v>
      </c>
      <c r="AC7" s="7"/>
      <c r="AD7" s="8" t="s">
        <v>1721</v>
      </c>
      <c r="AE7" s="8" t="s">
        <v>1727</v>
      </c>
      <c r="AF7" s="8" t="s">
        <v>1727</v>
      </c>
      <c r="AG7" s="8" t="s">
        <v>1727</v>
      </c>
      <c r="AH7" s="47"/>
      <c r="AI7" s="47">
        <f>VLOOKUP(B7,'Components Usage'!A$2:C$603,3,FALSE)</f>
        <v>0</v>
      </c>
      <c r="AJ7" s="28" t="s">
        <v>2401</v>
      </c>
      <c r="AQ7" s="19" t="s">
        <v>1261</v>
      </c>
    </row>
    <row r="8" spans="1:61" ht="30" hidden="1" x14ac:dyDescent="0.25">
      <c r="A8" s="16" t="str">
        <f>'Components Data Source'!A8</f>
        <v>Accelerometer 3-Axis(LIS3LV02DQ)</v>
      </c>
      <c r="B8" s="8" t="str">
        <f>'Components Data Source'!B8</f>
        <v>72F0A8C3-2B8F-4723-B22A-4A81873E5151</v>
      </c>
      <c r="C8" s="41" t="str">
        <f>'Components Data Source'!C8</f>
        <v>Accelerometer_LIS3LV02DQ.fcpx</v>
      </c>
      <c r="D8" s="8" t="str">
        <f>'Components Data Source'!D8</f>
        <v>Components\IO_Source\Sensors\Accelerometer_LIS3LV0DQ.fcfx</v>
      </c>
      <c r="E8" s="8" t="str">
        <f>'Components Data Source'!E8</f>
        <v>SENSORS</v>
      </c>
      <c r="F8" s="8" t="str">
        <f>'Components Data Source'!F8</f>
        <v>MOVEMENT &amp;AMP; ORIENTATION</v>
      </c>
      <c r="G8" s="8">
        <f>'Components Data Source'!G8</f>
        <v>0</v>
      </c>
      <c r="H8" s="8">
        <f>'Components Data Source'!H8</f>
        <v>0</v>
      </c>
      <c r="I8" s="8" t="str">
        <f>'Components Data Source'!I8</f>
        <v xml:space="preserve">SPI I2C </v>
      </c>
      <c r="J8" s="8">
        <f>'Components Data Source'!J8</f>
        <v>1</v>
      </c>
      <c r="K8" s="8">
        <f>'Components Data Source'!K8</f>
        <v>1</v>
      </c>
      <c r="L8" s="8">
        <f>'Components Data Source'!L8</f>
        <v>1</v>
      </c>
      <c r="M8" s="8" t="s">
        <v>1727</v>
      </c>
      <c r="N8" s="17" t="str">
        <f>HYPERLINK('Components Data Source'!M8)</f>
        <v>https://www.flowcode.co.uk/wiki/index.php?title=Component:_ID_72f0a8c3_2b8f_4723_b22a_4a81873e5151</v>
      </c>
      <c r="O8" s="8" t="s">
        <v>1721</v>
      </c>
      <c r="P8" s="8" t="s">
        <v>2774</v>
      </c>
      <c r="Q8" s="8" t="str">
        <f t="shared" si="0"/>
        <v/>
      </c>
      <c r="R8" s="8" t="s">
        <v>1721</v>
      </c>
      <c r="S8" s="8" t="s">
        <v>1721</v>
      </c>
      <c r="T8" s="8" t="s">
        <v>1721</v>
      </c>
      <c r="U8" s="8" t="s">
        <v>1721</v>
      </c>
      <c r="V8" s="8" t="s">
        <v>1731</v>
      </c>
      <c r="W8" s="8" t="s">
        <v>1175</v>
      </c>
      <c r="X8" s="8" t="s">
        <v>1721</v>
      </c>
      <c r="Y8" s="8" t="s">
        <v>1721</v>
      </c>
      <c r="Z8" s="18">
        <f t="shared" si="1"/>
        <v>1</v>
      </c>
      <c r="AA8" s="8" t="s">
        <v>1727</v>
      </c>
      <c r="AB8" s="7" t="s">
        <v>2418</v>
      </c>
      <c r="AC8" s="7" t="s">
        <v>2419</v>
      </c>
      <c r="AD8" s="8" t="s">
        <v>1721</v>
      </c>
      <c r="AE8" s="8" t="s">
        <v>1727</v>
      </c>
      <c r="AF8" s="8" t="s">
        <v>1727</v>
      </c>
      <c r="AG8" s="8" t="s">
        <v>1727</v>
      </c>
      <c r="AH8" s="47"/>
      <c r="AI8" s="47">
        <f>VLOOKUP(B8,'Components Usage'!A$2:C$603,3,FALSE)</f>
        <v>0</v>
      </c>
      <c r="AJ8" s="28" t="s">
        <v>2401</v>
      </c>
      <c r="AQ8" s="14" t="s">
        <v>1733</v>
      </c>
      <c r="BI8" s="19"/>
    </row>
    <row r="9" spans="1:61" ht="30" hidden="1" x14ac:dyDescent="0.25">
      <c r="A9" s="16" t="str">
        <f>'Components Data Source'!A9</f>
        <v>Accelerometer 3-Axis(MMA8452Q)</v>
      </c>
      <c r="B9" s="8" t="str">
        <f>'Components Data Source'!B9</f>
        <v>2C716005-E9B5-46E3-86F9-30E5268341A9</v>
      </c>
      <c r="C9" s="41" t="str">
        <f>'Components Data Source'!C9</f>
        <v>Accelerometer_MMA8452Q.fcpx</v>
      </c>
      <c r="D9" s="8" t="str">
        <f>'Components Data Source'!D9</f>
        <v>Components\IO_Source\Sensors\Accelerometer_MMA8452Q.fcfx</v>
      </c>
      <c r="E9" s="8" t="str">
        <f>'Components Data Source'!E9</f>
        <v>SENSORS</v>
      </c>
      <c r="F9" s="8" t="str">
        <f>'Components Data Source'!F9</f>
        <v>MOVEMENT &amp;AMP; ORIENTATION</v>
      </c>
      <c r="G9" s="8">
        <f>'Components Data Source'!G9</f>
        <v>0</v>
      </c>
      <c r="H9" s="8">
        <f>'Components Data Source'!H9</f>
        <v>0</v>
      </c>
      <c r="I9" s="8" t="str">
        <f>'Components Data Source'!I9</f>
        <v xml:space="preserve">SPI I2C </v>
      </c>
      <c r="J9" s="8">
        <f>'Components Data Source'!J9</f>
        <v>1</v>
      </c>
      <c r="K9" s="8">
        <f>'Components Data Source'!K9</f>
        <v>1</v>
      </c>
      <c r="L9" s="8">
        <f>'Components Data Source'!L9</f>
        <v>1</v>
      </c>
      <c r="M9" s="8" t="s">
        <v>1727</v>
      </c>
      <c r="N9" s="17" t="str">
        <f>HYPERLINK('Components Data Source'!M9)</f>
        <v>https://www.flowcode.co.uk/wiki/index.php?title=Component:_ID_2c716005_e9b5_46e3_86f9_30e5268341a9</v>
      </c>
      <c r="O9" s="8" t="s">
        <v>1721</v>
      </c>
      <c r="P9" s="8" t="s">
        <v>2774</v>
      </c>
      <c r="Q9" s="8" t="str">
        <f t="shared" si="0"/>
        <v/>
      </c>
      <c r="R9" s="8" t="s">
        <v>1721</v>
      </c>
      <c r="S9" s="8" t="s">
        <v>1721</v>
      </c>
      <c r="T9" s="8" t="s">
        <v>1721</v>
      </c>
      <c r="U9" s="8" t="s">
        <v>1721</v>
      </c>
      <c r="V9" s="8" t="s">
        <v>1731</v>
      </c>
      <c r="W9" s="8" t="s">
        <v>1175</v>
      </c>
      <c r="X9" s="8" t="s">
        <v>1721</v>
      </c>
      <c r="Y9" s="8" t="s">
        <v>2401</v>
      </c>
      <c r="Z9" s="18">
        <f t="shared" si="1"/>
        <v>3</v>
      </c>
      <c r="AA9" s="8"/>
      <c r="AB9" s="7" t="s">
        <v>2420</v>
      </c>
      <c r="AC9" s="7"/>
      <c r="AD9" s="8" t="s">
        <v>1727</v>
      </c>
      <c r="AE9" s="8"/>
      <c r="AF9" s="8" t="s">
        <v>1727</v>
      </c>
      <c r="AG9" s="8" t="s">
        <v>1727</v>
      </c>
      <c r="AH9" s="47"/>
      <c r="AI9" s="47">
        <f>VLOOKUP(B9,'Components Usage'!A$2:C$603,3,FALSE)</f>
        <v>1</v>
      </c>
      <c r="AJ9" s="28"/>
      <c r="AQ9" s="19" t="s">
        <v>1175</v>
      </c>
    </row>
    <row r="10" spans="1:61" hidden="1" x14ac:dyDescent="0.25">
      <c r="A10" s="16" t="str">
        <f>'Components Data Source'!A10</f>
        <v>Ambient Light(BH1750FVI)</v>
      </c>
      <c r="B10" s="8" t="str">
        <f>'Components Data Source'!B10</f>
        <v>E08872A7-6962-4B61-BCCA-71389F8ED8D7</v>
      </c>
      <c r="C10" s="41" t="str">
        <f>'Components Data Source'!C10</f>
        <v>AmbientLight.fcpx</v>
      </c>
      <c r="D10" s="8" t="str">
        <f>'Components Data Source'!D10</f>
        <v>Components\IO_Source\Sensors\AmbientLight_BH1750FVI.fcfx</v>
      </c>
      <c r="E10" s="8" t="str">
        <f>'Components Data Source'!E10</f>
        <v>SENSORS</v>
      </c>
      <c r="F10" s="8" t="str">
        <f>'Components Data Source'!F10</f>
        <v>LIGHT</v>
      </c>
      <c r="G10" s="8">
        <f>'Components Data Source'!G10</f>
        <v>0</v>
      </c>
      <c r="H10" s="8">
        <f>'Components Data Source'!H10</f>
        <v>0</v>
      </c>
      <c r="I10" s="8" t="str">
        <f>'Components Data Source'!I10</f>
        <v xml:space="preserve">I2C </v>
      </c>
      <c r="J10" s="8">
        <f>'Components Data Source'!J10</f>
        <v>1</v>
      </c>
      <c r="K10" s="8">
        <f>'Components Data Source'!K10</f>
        <v>1</v>
      </c>
      <c r="L10" s="8">
        <f>'Components Data Source'!L10</f>
        <v>0</v>
      </c>
      <c r="M10" s="8" t="s">
        <v>1727</v>
      </c>
      <c r="N10" s="17" t="str">
        <f>HYPERLINK('Components Data Source'!M10)</f>
        <v>https://www.flowcode.co.uk/wiki/index.php?title=Component:_ID_e08872a7_6962_4b61_bcca_71389f8ed8d7</v>
      </c>
      <c r="O10" s="8" t="s">
        <v>1721</v>
      </c>
      <c r="P10" s="8"/>
      <c r="Q10" s="8" t="str">
        <f t="shared" si="0"/>
        <v/>
      </c>
      <c r="R10" s="8" t="s">
        <v>1721</v>
      </c>
      <c r="S10" s="8" t="s">
        <v>1721</v>
      </c>
      <c r="T10" s="8" t="s">
        <v>1721</v>
      </c>
      <c r="U10" s="8" t="s">
        <v>1721</v>
      </c>
      <c r="V10" s="8" t="s">
        <v>1731</v>
      </c>
      <c r="W10" s="8" t="s">
        <v>1175</v>
      </c>
      <c r="X10" s="8" t="s">
        <v>1721</v>
      </c>
      <c r="Y10" s="8" t="s">
        <v>1721</v>
      </c>
      <c r="Z10" s="18">
        <f t="shared" si="1"/>
        <v>1</v>
      </c>
      <c r="AA10" s="8"/>
      <c r="AB10" s="7" t="s">
        <v>2470</v>
      </c>
      <c r="AC10" s="7"/>
      <c r="AD10" s="8" t="s">
        <v>1727</v>
      </c>
      <c r="AE10" s="8"/>
      <c r="AF10" s="8" t="s">
        <v>1727</v>
      </c>
      <c r="AG10" s="8" t="s">
        <v>1727</v>
      </c>
      <c r="AH10" s="47"/>
      <c r="AI10" s="47">
        <f>VLOOKUP(B10,'Components Usage'!A$2:C$603,3,FALSE)</f>
        <v>1</v>
      </c>
      <c r="AJ10" s="28"/>
      <c r="AQ10" s="14" t="s">
        <v>1180</v>
      </c>
      <c r="BI10" s="19"/>
    </row>
    <row r="11" spans="1:61" x14ac:dyDescent="0.25">
      <c r="A11" s="16" t="str">
        <f>'Components Data Source'!A11</f>
        <v>Area Chart</v>
      </c>
      <c r="B11" s="8" t="str">
        <f>'Components Data Source'!B11</f>
        <v>A907D905-5879-48F3-9ADD-369A2F4E164F</v>
      </c>
      <c r="C11" s="41" t="str">
        <f>'Components Data Source'!C11</f>
        <v>AreaChart.fcpx</v>
      </c>
      <c r="D11" s="8" t="str">
        <f>'Components Data Source'!D11</f>
        <v>Components\IO_Source\2dGDI\ChartArea.fcfx</v>
      </c>
      <c r="E11" s="8" t="str">
        <f>'Components Data Source'!E11</f>
        <v>FREE</v>
      </c>
      <c r="F11" s="8" t="str">
        <f>'Components Data Source'!F11</f>
        <v>CHARTS</v>
      </c>
      <c r="G11" s="8" t="str">
        <f>'Components Data Source'!G11</f>
        <v xml:space="preserve">CHARTS </v>
      </c>
      <c r="H11" s="8">
        <f>'Components Data Source'!H11</f>
        <v>0</v>
      </c>
      <c r="I11" s="8">
        <f>'Components Data Source'!I11</f>
        <v>0</v>
      </c>
      <c r="J11" s="8">
        <f>'Components Data Source'!J11</f>
        <v>1</v>
      </c>
      <c r="K11" s="8">
        <f>'Components Data Source'!K11</f>
        <v>1</v>
      </c>
      <c r="L11" s="8">
        <f>'Components Data Source'!L11</f>
        <v>1</v>
      </c>
      <c r="M11" s="8" t="s">
        <v>1727</v>
      </c>
      <c r="N11" s="17" t="str">
        <f>HYPERLINK('Components Data Source'!M11)</f>
        <v>https://www.flowcode.co.uk/wiki/index.php?title=Component:_ID_a907d905_5879_48f3_9add_369a2f4e164f</v>
      </c>
      <c r="O11" s="8" t="s">
        <v>1721</v>
      </c>
      <c r="P11" s="8"/>
      <c r="Q11" s="8" t="str">
        <f t="shared" si="0"/>
        <v/>
      </c>
      <c r="R11" s="8" t="s">
        <v>1727</v>
      </c>
      <c r="S11" s="8"/>
      <c r="T11" s="8"/>
      <c r="U11" s="8"/>
      <c r="V11" s="8" t="s">
        <v>1730</v>
      </c>
      <c r="W11" s="8" t="s">
        <v>1730</v>
      </c>
      <c r="X11" s="8"/>
      <c r="Y11" s="8"/>
      <c r="Z11" s="18">
        <f t="shared" si="1"/>
        <v>2</v>
      </c>
      <c r="AA11" s="8"/>
      <c r="AB11" s="7"/>
      <c r="AC11" s="7"/>
      <c r="AD11" s="8" t="s">
        <v>1727</v>
      </c>
      <c r="AE11" s="8"/>
      <c r="AF11" s="8" t="s">
        <v>1727</v>
      </c>
      <c r="AG11" s="8" t="s">
        <v>1727</v>
      </c>
      <c r="AH11" s="47"/>
      <c r="AI11" s="47">
        <f>VLOOKUP(B11,'Components Usage'!A$2:C$603,3,FALSE)</f>
        <v>0</v>
      </c>
      <c r="AJ11" s="28"/>
      <c r="AQ11" s="19" t="s">
        <v>1183</v>
      </c>
    </row>
    <row r="12" spans="1:61" hidden="1" x14ac:dyDescent="0.25">
      <c r="A12" s="16" t="str">
        <f>'Components Data Source'!A12</f>
        <v>Auto Version Identifier</v>
      </c>
      <c r="B12" s="8" t="str">
        <f>'Components Data Source'!B12</f>
        <v>1911D96C-78DD-414A-B23C-6691FB19F63F</v>
      </c>
      <c r="C12" s="41" t="str">
        <f>'Components Data Source'!C12</f>
        <v>AutoVersionID.fcpx</v>
      </c>
      <c r="D12" s="8" t="str">
        <f>'Components Data Source'!D12</f>
        <v>Components\IO_Source\AutoVersionID.fcfx</v>
      </c>
      <c r="E12" s="8" t="str">
        <f>'Components Data Source'!E12</f>
        <v>STORAGE</v>
      </c>
      <c r="F12" s="8" t="str">
        <f>'Components Data Source'!F12</f>
        <v>STORAGE</v>
      </c>
      <c r="G12" s="8">
        <f>'Components Data Source'!G12</f>
        <v>0</v>
      </c>
      <c r="H12" s="8">
        <f>'Components Data Source'!H12</f>
        <v>0</v>
      </c>
      <c r="I12" s="8">
        <f>'Components Data Source'!I12</f>
        <v>0</v>
      </c>
      <c r="J12" s="8">
        <f>'Components Data Source'!J12</f>
        <v>1</v>
      </c>
      <c r="K12" s="8">
        <f>'Components Data Source'!K12</f>
        <v>1</v>
      </c>
      <c r="L12" s="8">
        <f>'Components Data Source'!L12</f>
        <v>1</v>
      </c>
      <c r="M12" s="8" t="s">
        <v>1727</v>
      </c>
      <c r="N12" s="17" t="str">
        <f>HYPERLINK('Components Data Source'!M12)</f>
        <v>https://www.flowcode.co.uk/wiki/index.php?title=Component:_ID_1911d96c_78dd_414a_b23c_6691fb19f63f</v>
      </c>
      <c r="O12" s="8" t="s">
        <v>1721</v>
      </c>
      <c r="P12" s="8"/>
      <c r="Q12" s="8" t="str">
        <f t="shared" si="0"/>
        <v/>
      </c>
      <c r="R12" s="8" t="s">
        <v>1727</v>
      </c>
      <c r="S12" s="8"/>
      <c r="T12" s="8"/>
      <c r="U12" s="8"/>
      <c r="V12" s="8" t="s">
        <v>1730</v>
      </c>
      <c r="W12" s="8" t="s">
        <v>1730</v>
      </c>
      <c r="X12" s="8"/>
      <c r="Y12" s="8"/>
      <c r="Z12" s="18">
        <f t="shared" si="1"/>
        <v>2</v>
      </c>
      <c r="AA12" s="8"/>
      <c r="AB12" s="7"/>
      <c r="AC12" s="7"/>
      <c r="AD12" s="8" t="s">
        <v>1721</v>
      </c>
      <c r="AE12" s="8" t="s">
        <v>1721</v>
      </c>
      <c r="AF12" s="8" t="s">
        <v>2401</v>
      </c>
      <c r="AG12" s="8" t="s">
        <v>1721</v>
      </c>
      <c r="AH12" s="47"/>
      <c r="AI12" s="47">
        <f>VLOOKUP(B12,'Components Usage'!A$2:C$603,3,FALSE)</f>
        <v>36</v>
      </c>
      <c r="AJ12" s="28" t="s">
        <v>1721</v>
      </c>
      <c r="AQ12" s="14" t="s">
        <v>1734</v>
      </c>
    </row>
    <row r="13" spans="1:61" hidden="1" x14ac:dyDescent="0.25">
      <c r="A13" s="16" t="str">
        <f>'Components Data Source'!A13</f>
        <v>BBC News</v>
      </c>
      <c r="B13" s="8" t="str">
        <f>'Components Data Source'!B13</f>
        <v>72CD9559-26F7-4FFD-984C-CF3A82A6DB16</v>
      </c>
      <c r="C13" s="41" t="str">
        <f>'Components Data Source'!C13</f>
        <v>BBCNews.fcpx</v>
      </c>
      <c r="D13" s="8" t="str">
        <f>'Components Data Source'!D13</f>
        <v>Components\IO_Source\IoT\BBCNews.fcfx</v>
      </c>
      <c r="E13" s="8" t="str">
        <f>'Components Data Source'!E13</f>
        <v>COMMSC</v>
      </c>
      <c r="F13" s="8" t="str">
        <f>'Components Data Source'!F13</f>
        <v>COMMS: IOT/CLOUD</v>
      </c>
      <c r="G13" s="8">
        <f>'Components Data Source'!G13</f>
        <v>0</v>
      </c>
      <c r="H13" s="8">
        <f>'Components Data Source'!H13</f>
        <v>0</v>
      </c>
      <c r="I13" s="8">
        <f>'Components Data Source'!I13</f>
        <v>0</v>
      </c>
      <c r="J13" s="8">
        <f>'Components Data Source'!J13</f>
        <v>1</v>
      </c>
      <c r="K13" s="8">
        <f>'Components Data Source'!K13</f>
        <v>1</v>
      </c>
      <c r="L13" s="8">
        <f>'Components Data Source'!L13</f>
        <v>1</v>
      </c>
      <c r="M13" s="8" t="s">
        <v>1727</v>
      </c>
      <c r="N13" s="17" t="str">
        <f>HYPERLINK('Components Data Source'!M13)</f>
        <v>https://www.flowcode.co.uk/wiki/index.php?title=Component:_ID_72cd9559_26f7_4ffd_984c_cf3a82a6db16</v>
      </c>
      <c r="O13" s="8" t="s">
        <v>1721</v>
      </c>
      <c r="P13" s="8"/>
      <c r="Q13" s="8" t="str">
        <f t="shared" si="0"/>
        <v/>
      </c>
      <c r="R13" s="8" t="s">
        <v>1721</v>
      </c>
      <c r="S13" s="8" t="s">
        <v>1721</v>
      </c>
      <c r="T13" s="8" t="s">
        <v>1727</v>
      </c>
      <c r="U13" s="8" t="s">
        <v>1721</v>
      </c>
      <c r="V13" s="8" t="s">
        <v>1731</v>
      </c>
      <c r="W13" s="8" t="s">
        <v>1732</v>
      </c>
      <c r="X13" s="8" t="s">
        <v>1721</v>
      </c>
      <c r="Y13" s="8" t="s">
        <v>1721</v>
      </c>
      <c r="Z13" s="18">
        <f t="shared" si="1"/>
        <v>1</v>
      </c>
      <c r="AA13" s="8"/>
      <c r="AB13" s="7" t="s">
        <v>2425</v>
      </c>
      <c r="AC13" s="7"/>
      <c r="AD13" s="8" t="s">
        <v>1721</v>
      </c>
      <c r="AE13" s="8" t="s">
        <v>1727</v>
      </c>
      <c r="AF13" s="8" t="s">
        <v>2401</v>
      </c>
      <c r="AG13" s="8" t="s">
        <v>1727</v>
      </c>
      <c r="AH13" s="47"/>
      <c r="AI13" s="47">
        <f>VLOOKUP(B13,'Components Usage'!A$2:C$603,3,FALSE)</f>
        <v>1</v>
      </c>
      <c r="AJ13" s="28" t="s">
        <v>2401</v>
      </c>
      <c r="AQ13" s="24" t="s">
        <v>2491</v>
      </c>
    </row>
    <row r="14" spans="1:61" hidden="1" x14ac:dyDescent="0.25">
      <c r="A14" s="16" t="str">
        <f>'Components Data Source'!A14</f>
        <v>BBC Weather Observation</v>
      </c>
      <c r="B14" s="8" t="str">
        <f>'Components Data Source'!B14</f>
        <v>BF90426C-1763-4A7A-BE5C-B3E442E3F6D8</v>
      </c>
      <c r="C14" s="41" t="str">
        <f>'Components Data Source'!C14</f>
        <v>BBCWeather.fcpx</v>
      </c>
      <c r="D14" s="8" t="str">
        <f>'Components Data Source'!D14</f>
        <v>Components\IO_Source\IoT\BBCWeatherObservation.fcfx</v>
      </c>
      <c r="E14" s="8" t="str">
        <f>'Components Data Source'!E14</f>
        <v>COMMSC</v>
      </c>
      <c r="F14" s="8" t="str">
        <f>'Components Data Source'!F14</f>
        <v>COMMS: IOT/CLOUD</v>
      </c>
      <c r="G14" s="8">
        <f>'Components Data Source'!G14</f>
        <v>0</v>
      </c>
      <c r="H14" s="8">
        <f>'Components Data Source'!H14</f>
        <v>0</v>
      </c>
      <c r="I14" s="8">
        <f>'Components Data Source'!I14</f>
        <v>0</v>
      </c>
      <c r="J14" s="8">
        <f>'Components Data Source'!J14</f>
        <v>1</v>
      </c>
      <c r="K14" s="8">
        <f>'Components Data Source'!K14</f>
        <v>1</v>
      </c>
      <c r="L14" s="8">
        <f>'Components Data Source'!L14</f>
        <v>1</v>
      </c>
      <c r="M14" s="8" t="s">
        <v>1727</v>
      </c>
      <c r="N14" s="17" t="str">
        <f>HYPERLINK('Components Data Source'!M14)</f>
        <v>https://www.flowcode.co.uk/wiki/index.php?title=Component:_ID_bf90426c_1763_4a7a_be5c_b3e442e3f6d8</v>
      </c>
      <c r="O14" s="8" t="s">
        <v>1721</v>
      </c>
      <c r="P14" s="8"/>
      <c r="Q14" s="8"/>
      <c r="R14" s="1" t="s">
        <v>1721</v>
      </c>
      <c r="S14" s="1" t="s">
        <v>1721</v>
      </c>
      <c r="T14" s="1" t="s">
        <v>1727</v>
      </c>
      <c r="U14" s="1" t="s">
        <v>1721</v>
      </c>
      <c r="V14" s="1" t="s">
        <v>1731</v>
      </c>
      <c r="W14" s="1" t="s">
        <v>1732</v>
      </c>
      <c r="X14" s="1" t="s">
        <v>1727</v>
      </c>
      <c r="Y14" s="8" t="s">
        <v>1721</v>
      </c>
      <c r="Z14" s="18">
        <f t="shared" si="1"/>
        <v>1</v>
      </c>
      <c r="AA14" s="8"/>
      <c r="AB14" s="7"/>
      <c r="AC14" s="7"/>
      <c r="AD14" s="8" t="s">
        <v>1721</v>
      </c>
      <c r="AE14" s="8" t="s">
        <v>1721</v>
      </c>
      <c r="AF14" s="8" t="s">
        <v>2401</v>
      </c>
      <c r="AG14" s="8" t="s">
        <v>1721</v>
      </c>
      <c r="AH14" s="47"/>
      <c r="AI14" s="47">
        <f>VLOOKUP(B14,'Components Usage'!A$2:C$603,3,FALSE)</f>
        <v>1</v>
      </c>
      <c r="AJ14" s="28" t="s">
        <v>2401</v>
      </c>
      <c r="AQ14" s="25" t="s">
        <v>2492</v>
      </c>
    </row>
    <row r="15" spans="1:61" hidden="1" x14ac:dyDescent="0.25">
      <c r="A15" s="16" t="str">
        <f>'Components Data Source'!A15</f>
        <v>BBC Weather Forecast</v>
      </c>
      <c r="B15" s="8" t="str">
        <f>'Components Data Source'!B15</f>
        <v>DF96FFA1-4D36-453A-8877-758F68A2676C</v>
      </c>
      <c r="C15" s="41" t="str">
        <f>'Components Data Source'!C15</f>
        <v>BBCWeatherForecast.fcpx</v>
      </c>
      <c r="D15" s="8" t="str">
        <f>'Components Data Source'!D15</f>
        <v>Components\IO_Source\IoT\BBCWeatherForecast.fcfx</v>
      </c>
      <c r="E15" s="8" t="str">
        <f>'Components Data Source'!E15</f>
        <v>COMMSC</v>
      </c>
      <c r="F15" s="8" t="str">
        <f>'Components Data Source'!F15</f>
        <v>COMMS: IOT/CLOUD</v>
      </c>
      <c r="G15" s="8">
        <f>'Components Data Source'!G15</f>
        <v>0</v>
      </c>
      <c r="H15" s="8">
        <f>'Components Data Source'!H15</f>
        <v>0</v>
      </c>
      <c r="I15" s="8">
        <f>'Components Data Source'!I15</f>
        <v>0</v>
      </c>
      <c r="J15" s="8">
        <f>'Components Data Source'!J15</f>
        <v>1</v>
      </c>
      <c r="K15" s="8">
        <f>'Components Data Source'!K15</f>
        <v>1</v>
      </c>
      <c r="L15" s="8">
        <f>'Components Data Source'!L15</f>
        <v>1</v>
      </c>
      <c r="M15" s="8" t="s">
        <v>1727</v>
      </c>
      <c r="N15" s="17" t="str">
        <f>HYPERLINK('Components Data Source'!M15)</f>
        <v>https://www.flowcode.co.uk/wiki/index.php?title=Component:_ID_df96ffa1_4d36_453a_8877_758f68a2676c</v>
      </c>
      <c r="O15" s="8" t="s">
        <v>1721</v>
      </c>
      <c r="P15" s="8"/>
      <c r="Q15" s="8" t="str">
        <f t="shared" ref="Q15:Q78" si="2">IF(L15=1,IF(K15=1,"",1),"")</f>
        <v/>
      </c>
      <c r="R15" s="8" t="s">
        <v>1721</v>
      </c>
      <c r="S15" s="8" t="s">
        <v>1721</v>
      </c>
      <c r="T15" s="8" t="s">
        <v>1727</v>
      </c>
      <c r="U15" s="8" t="s">
        <v>1721</v>
      </c>
      <c r="V15" s="8" t="s">
        <v>1731</v>
      </c>
      <c r="W15" s="8" t="s">
        <v>1732</v>
      </c>
      <c r="X15" s="8" t="s">
        <v>1721</v>
      </c>
      <c r="Y15" s="8" t="s">
        <v>1721</v>
      </c>
      <c r="Z15" s="18">
        <f t="shared" si="1"/>
        <v>1</v>
      </c>
      <c r="AA15" s="8"/>
      <c r="AB15" s="7" t="s">
        <v>2426</v>
      </c>
      <c r="AC15" s="7"/>
      <c r="AD15" s="8" t="s">
        <v>1721</v>
      </c>
      <c r="AE15" s="8" t="s">
        <v>1721</v>
      </c>
      <c r="AF15" s="8" t="s">
        <v>2401</v>
      </c>
      <c r="AG15" s="8" t="s">
        <v>1721</v>
      </c>
      <c r="AH15" s="47"/>
      <c r="AI15" s="47">
        <f>VLOOKUP(B15,'Components Usage'!A$2:C$603,3,FALSE)</f>
        <v>9</v>
      </c>
      <c r="AJ15" s="28" t="s">
        <v>2401</v>
      </c>
    </row>
    <row r="16" spans="1:61" x14ac:dyDescent="0.25">
      <c r="A16" s="16" t="str">
        <f>'Components Data Source'!A16</f>
        <v>Bar Chart</v>
      </c>
      <c r="B16" s="8" t="str">
        <f>'Components Data Source'!B16</f>
        <v>60B296CD-5B02-4C9C-9239-CCA36238F480</v>
      </c>
      <c r="C16" s="41" t="str">
        <f>'Components Data Source'!C16</f>
        <v>BarChart.fcpx</v>
      </c>
      <c r="D16" s="8" t="str">
        <f>'Components Data Source'!D16</f>
        <v>Components\IO_Source\2dGDI\ChartBar.fcfx</v>
      </c>
      <c r="E16" s="8" t="str">
        <f>'Components Data Source'!E16</f>
        <v>FREE</v>
      </c>
      <c r="F16" s="8" t="str">
        <f>'Components Data Source'!F16</f>
        <v>CHARTS</v>
      </c>
      <c r="G16" s="8" t="str">
        <f>'Components Data Source'!G16</f>
        <v xml:space="preserve">CHARTS </v>
      </c>
      <c r="H16" s="8">
        <f>'Components Data Source'!H16</f>
        <v>0</v>
      </c>
      <c r="I16" s="8">
        <f>'Components Data Source'!I16</f>
        <v>0</v>
      </c>
      <c r="J16" s="8">
        <f>'Components Data Source'!J16</f>
        <v>1</v>
      </c>
      <c r="K16" s="8">
        <f>'Components Data Source'!K16</f>
        <v>1</v>
      </c>
      <c r="L16" s="8">
        <f>'Components Data Source'!L16</f>
        <v>1</v>
      </c>
      <c r="M16" s="8" t="s">
        <v>1727</v>
      </c>
      <c r="N16" s="17" t="str">
        <f>HYPERLINK('Components Data Source'!M16)</f>
        <v>https://www.flowcode.co.uk/wiki/index.php?title=Component:_ID_60b296cd_5b02_4c9c_9239_cca36238f480</v>
      </c>
      <c r="O16" s="8" t="s">
        <v>1721</v>
      </c>
      <c r="P16" s="8"/>
      <c r="Q16" s="8" t="str">
        <f t="shared" si="2"/>
        <v/>
      </c>
      <c r="R16" s="8" t="s">
        <v>1727</v>
      </c>
      <c r="S16" s="8"/>
      <c r="T16" s="8"/>
      <c r="U16" s="8"/>
      <c r="V16" s="8" t="s">
        <v>1730</v>
      </c>
      <c r="W16" s="8" t="s">
        <v>1730</v>
      </c>
      <c r="X16" s="8"/>
      <c r="Y16" s="8"/>
      <c r="Z16" s="18">
        <f t="shared" si="1"/>
        <v>2</v>
      </c>
      <c r="AA16" s="8"/>
      <c r="AB16" s="7"/>
      <c r="AC16" s="7"/>
      <c r="AD16" s="8" t="s">
        <v>1727</v>
      </c>
      <c r="AE16" s="8"/>
      <c r="AF16" s="8" t="s">
        <v>2401</v>
      </c>
      <c r="AG16" s="8" t="s">
        <v>1727</v>
      </c>
      <c r="AH16" s="47"/>
      <c r="AI16" s="47">
        <f>VLOOKUP(B16,'Components Usage'!A$2:C$603,3,FALSE)</f>
        <v>1</v>
      </c>
      <c r="AJ16" s="28"/>
    </row>
    <row r="17" spans="1:36" hidden="1" x14ac:dyDescent="0.25">
      <c r="A17" s="16" t="str">
        <f>'Components Data Source'!A17</f>
        <v>Barometer (DPS310)</v>
      </c>
      <c r="B17" s="8" t="str">
        <f>'Components Data Source'!B17</f>
        <v>CA60C1D2-FB77-4E3E-9D01-C4496D35DB1E</v>
      </c>
      <c r="C17" s="41" t="str">
        <f>'Components Data Source'!C17</f>
        <v>Barometer_DPS310.fcpx</v>
      </c>
      <c r="D17" s="8" t="str">
        <f>'Components Data Source'!D17</f>
        <v>Components\IO_Source\Sensors\Pressure_Sensor_DPS310.fcfx</v>
      </c>
      <c r="E17" s="8" t="str">
        <f>'Components Data Source'!E17</f>
        <v>SENSORS</v>
      </c>
      <c r="F17" s="8" t="str">
        <f>'Components Data Source'!F17</f>
        <v>ENVIRONMENTAL</v>
      </c>
      <c r="G17" s="8">
        <f>'Components Data Source'!G17</f>
        <v>0</v>
      </c>
      <c r="H17" s="8">
        <f>'Components Data Source'!H17</f>
        <v>0</v>
      </c>
      <c r="I17" s="8" t="str">
        <f>'Components Data Source'!I17</f>
        <v xml:space="preserve">I2C </v>
      </c>
      <c r="J17" s="8">
        <f>'Components Data Source'!J17</f>
        <v>1</v>
      </c>
      <c r="K17" s="8">
        <f>'Components Data Source'!K17</f>
        <v>1</v>
      </c>
      <c r="L17" s="8">
        <f>'Components Data Source'!L17</f>
        <v>1</v>
      </c>
      <c r="M17" s="8" t="s">
        <v>1727</v>
      </c>
      <c r="N17" s="17" t="str">
        <f>HYPERLINK('Components Data Source'!M17)</f>
        <v>https://www.flowcode.co.uk/wiki/index.php?title=Component:_ID_ca60c1d2_fb77_4e3e_9d01_c4496d35db1e</v>
      </c>
      <c r="O17" s="8" t="s">
        <v>1721</v>
      </c>
      <c r="P17" s="8"/>
      <c r="Q17" s="8" t="str">
        <f t="shared" si="2"/>
        <v/>
      </c>
      <c r="R17" s="8" t="s">
        <v>1721</v>
      </c>
      <c r="S17" s="8" t="s">
        <v>1721</v>
      </c>
      <c r="T17" s="8"/>
      <c r="U17" s="8"/>
      <c r="V17" s="8" t="s">
        <v>1730</v>
      </c>
      <c r="W17" s="8" t="s">
        <v>1730</v>
      </c>
      <c r="X17" s="8"/>
      <c r="Y17" s="8" t="s">
        <v>1721</v>
      </c>
      <c r="Z17" s="18">
        <f t="shared" si="1"/>
        <v>1</v>
      </c>
      <c r="AA17" s="8"/>
      <c r="AB17" s="7"/>
      <c r="AC17" s="7"/>
      <c r="AD17" s="8" t="s">
        <v>1721</v>
      </c>
      <c r="AE17" s="8" t="s">
        <v>1727</v>
      </c>
      <c r="AF17" s="8" t="s">
        <v>1727</v>
      </c>
      <c r="AG17" s="8" t="s">
        <v>1727</v>
      </c>
      <c r="AH17" s="47"/>
      <c r="AI17" s="47">
        <f>VLOOKUP(B17,'Components Usage'!A$2:C$603,3,FALSE)</f>
        <v>0</v>
      </c>
      <c r="AJ17" s="28" t="s">
        <v>2401</v>
      </c>
    </row>
    <row r="18" spans="1:36" x14ac:dyDescent="0.25">
      <c r="A18" s="16" t="str">
        <f>'Components Data Source'!A18</f>
        <v>Base2dChart</v>
      </c>
      <c r="B18" s="8" t="str">
        <f>'Components Data Source'!B18</f>
        <v>1286CA5C-6453-4A92-9CCE-C6BA47457A69</v>
      </c>
      <c r="C18" s="41" t="str">
        <f>'Components Data Source'!C18</f>
        <v>Base2dChart.fcpx</v>
      </c>
      <c r="D18" s="8" t="str">
        <f>'Components Data Source'!D18</f>
        <v>Components\IO_Source\2dGDI\Base2dChart.fcfx</v>
      </c>
      <c r="E18" s="8" t="str">
        <f>'Components Data Source'!E18</f>
        <v>FREE</v>
      </c>
      <c r="F18" s="8" t="str">
        <f>'Components Data Source'!F18</f>
        <v>DEVELOPMENT</v>
      </c>
      <c r="G18" s="8">
        <f>'Components Data Source'!G18</f>
        <v>0</v>
      </c>
      <c r="H18" s="8">
        <f>'Components Data Source'!H18</f>
        <v>0</v>
      </c>
      <c r="I18" s="8">
        <f>'Components Data Source'!I18</f>
        <v>0</v>
      </c>
      <c r="J18" s="8">
        <f>'Components Data Source'!J18</f>
        <v>1</v>
      </c>
      <c r="K18" s="8">
        <f>'Components Data Source'!K18</f>
        <v>1</v>
      </c>
      <c r="L18" s="8">
        <f>'Components Data Source'!L18</f>
        <v>1</v>
      </c>
      <c r="M18" s="8" t="s">
        <v>1727</v>
      </c>
      <c r="N18" s="17" t="str">
        <f>HYPERLINK('Components Data Source'!M18)</f>
        <v>https://www.flowcode.co.uk/wiki/index.php?title=Component:_ID_1286ca5c_6453_4a92_9cce_c6ba47457a69</v>
      </c>
      <c r="O18" s="8" t="s">
        <v>2401</v>
      </c>
      <c r="P18" s="8"/>
      <c r="Q18" s="8" t="str">
        <f t="shared" si="2"/>
        <v/>
      </c>
      <c r="R18" s="8" t="s">
        <v>1727</v>
      </c>
      <c r="S18" s="8"/>
      <c r="T18" s="8"/>
      <c r="U18" s="8"/>
      <c r="V18" s="8" t="s">
        <v>1730</v>
      </c>
      <c r="W18" s="8" t="s">
        <v>1730</v>
      </c>
      <c r="X18" s="8"/>
      <c r="Y18" s="8"/>
      <c r="Z18" s="18">
        <f t="shared" si="1"/>
        <v>2</v>
      </c>
      <c r="AA18" s="8"/>
      <c r="AB18" s="7"/>
      <c r="AC18" s="7"/>
      <c r="AD18" s="8" t="s">
        <v>2401</v>
      </c>
      <c r="AE18" s="8"/>
      <c r="AF18" s="8" t="s">
        <v>1727</v>
      </c>
      <c r="AG18" s="8" t="s">
        <v>1727</v>
      </c>
      <c r="AH18" s="47"/>
      <c r="AI18" s="47">
        <f>VLOOKUP(B18,'Components Usage'!A$2:C$603,3,FALSE)</f>
        <v>1</v>
      </c>
      <c r="AJ18" s="28"/>
    </row>
    <row r="19" spans="1:36" x14ac:dyDescent="0.25">
      <c r="A19" s="16" t="str">
        <f>'Components Data Source'!A19</f>
        <v>Base2dGauge</v>
      </c>
      <c r="B19" s="8" t="str">
        <f>'Components Data Source'!B19</f>
        <v>B9285F96-06E8-4CDD-B0E2-A413F5150F1A</v>
      </c>
      <c r="C19" s="41" t="str">
        <f>'Components Data Source'!C19</f>
        <v>Base2dGauge.fcpx</v>
      </c>
      <c r="D19" s="8" t="str">
        <f>'Components Data Source'!D19</f>
        <v>Components\IO_Source\2dGDI\Base2dGauge.fcfx</v>
      </c>
      <c r="E19" s="8" t="str">
        <f>'Components Data Source'!E19</f>
        <v>FREE</v>
      </c>
      <c r="F19" s="8" t="str">
        <f>'Components Data Source'!F19</f>
        <v>DEVELOPMENT</v>
      </c>
      <c r="G19" s="8">
        <f>'Components Data Source'!G19</f>
        <v>0</v>
      </c>
      <c r="H19" s="8">
        <f>'Components Data Source'!H19</f>
        <v>0</v>
      </c>
      <c r="I19" s="8">
        <f>'Components Data Source'!I19</f>
        <v>0</v>
      </c>
      <c r="J19" s="8">
        <f>'Components Data Source'!J19</f>
        <v>1</v>
      </c>
      <c r="K19" s="8">
        <f>'Components Data Source'!K19</f>
        <v>1</v>
      </c>
      <c r="L19" s="8">
        <f>'Components Data Source'!L19</f>
        <v>1</v>
      </c>
      <c r="M19" s="8" t="s">
        <v>1727</v>
      </c>
      <c r="N19" s="17" t="str">
        <f>HYPERLINK('Components Data Source'!M19)</f>
        <v>https://www.flowcode.co.uk/wiki/index.php?title=Component:_ID_b9285f96_06e8_4cdd_b0e2_a413f5150f1a</v>
      </c>
      <c r="O19" s="8" t="s">
        <v>2401</v>
      </c>
      <c r="P19" s="8"/>
      <c r="Q19" s="8" t="str">
        <f t="shared" si="2"/>
        <v/>
      </c>
      <c r="R19" s="8" t="s">
        <v>1727</v>
      </c>
      <c r="S19" s="8"/>
      <c r="T19" s="8"/>
      <c r="U19" s="8"/>
      <c r="V19" s="8" t="s">
        <v>1730</v>
      </c>
      <c r="W19" s="8" t="s">
        <v>1730</v>
      </c>
      <c r="X19" s="8"/>
      <c r="Y19" s="8"/>
      <c r="Z19" s="18">
        <f t="shared" si="1"/>
        <v>2</v>
      </c>
      <c r="AA19" s="8"/>
      <c r="AB19" s="7"/>
      <c r="AC19" s="7"/>
      <c r="AD19" s="8" t="s">
        <v>2401</v>
      </c>
      <c r="AE19" s="8"/>
      <c r="AF19" s="8" t="s">
        <v>2401</v>
      </c>
      <c r="AG19" s="8" t="s">
        <v>1727</v>
      </c>
      <c r="AH19" s="47"/>
      <c r="AI19" s="47">
        <f>VLOOKUP(B19,'Components Usage'!A$2:C$603,3,FALSE)</f>
        <v>2</v>
      </c>
      <c r="AJ19" s="28"/>
    </row>
    <row r="20" spans="1:36" x14ac:dyDescent="0.25">
      <c r="A20" s="16" t="str">
        <f>'Components Data Source'!A20</f>
        <v>Base2dObject</v>
      </c>
      <c r="B20" s="8" t="str">
        <f>'Components Data Source'!B20</f>
        <v>E11146D4-2D40-4BE6-95CC-FBBDF8338C25</v>
      </c>
      <c r="C20" s="41" t="str">
        <f>'Components Data Source'!C20</f>
        <v>Base2dObject.fcpx</v>
      </c>
      <c r="D20" s="8" t="str">
        <f>'Components Data Source'!D20</f>
        <v>Components\IO_Source\2dGDI\Base2dObject.fcfx</v>
      </c>
      <c r="E20" s="8" t="str">
        <f>'Components Data Source'!E20</f>
        <v>FREE</v>
      </c>
      <c r="F20" s="8" t="str">
        <f>'Components Data Source'!F20</f>
        <v>DEVELOPMENT</v>
      </c>
      <c r="G20" s="8">
        <f>'Components Data Source'!G20</f>
        <v>0</v>
      </c>
      <c r="H20" s="8">
        <f>'Components Data Source'!H20</f>
        <v>0</v>
      </c>
      <c r="I20" s="8">
        <f>'Components Data Source'!I20</f>
        <v>0</v>
      </c>
      <c r="J20" s="8">
        <f>'Components Data Source'!J20</f>
        <v>1</v>
      </c>
      <c r="K20" s="8">
        <f>'Components Data Source'!K20</f>
        <v>1</v>
      </c>
      <c r="L20" s="8">
        <f>'Components Data Source'!L20</f>
        <v>1</v>
      </c>
      <c r="M20" s="8" t="s">
        <v>1727</v>
      </c>
      <c r="N20" s="17" t="str">
        <f>HYPERLINK('Components Data Source'!M20)</f>
        <v>https://www.flowcode.co.uk/wiki/index.php?title=Component:_ID_e11146d4_2d40_4be6_95cc_fbbdf8338c25</v>
      </c>
      <c r="O20" s="8" t="s">
        <v>2401</v>
      </c>
      <c r="P20" s="8"/>
      <c r="Q20" s="8" t="str">
        <f t="shared" si="2"/>
        <v/>
      </c>
      <c r="R20" s="8" t="s">
        <v>1727</v>
      </c>
      <c r="S20" s="8"/>
      <c r="T20" s="8"/>
      <c r="U20" s="8"/>
      <c r="V20" s="8" t="s">
        <v>1730</v>
      </c>
      <c r="W20" s="8" t="s">
        <v>1730</v>
      </c>
      <c r="X20" s="8"/>
      <c r="Y20" s="8"/>
      <c r="Z20" s="18">
        <f t="shared" si="1"/>
        <v>2</v>
      </c>
      <c r="AA20" s="8"/>
      <c r="AB20" s="7"/>
      <c r="AC20" s="7"/>
      <c r="AD20" s="8" t="s">
        <v>2401</v>
      </c>
      <c r="AE20" s="8"/>
      <c r="AF20" s="8" t="s">
        <v>2401</v>
      </c>
      <c r="AG20" s="8" t="s">
        <v>2401</v>
      </c>
      <c r="AH20" s="47"/>
      <c r="AI20" s="47">
        <f>VLOOKUP(B20,'Components Usage'!A$2:C$603,3,FALSE)</f>
        <v>3</v>
      </c>
      <c r="AJ20" s="28"/>
    </row>
    <row r="21" spans="1:36" x14ac:dyDescent="0.25">
      <c r="A21" s="16" t="str">
        <f>'Components Data Source'!A21</f>
        <v>Base2dStatic</v>
      </c>
      <c r="B21" s="8" t="str">
        <f>'Components Data Source'!B21</f>
        <v>6E425786-81B6-4F40-AC24-6C674BFFE958</v>
      </c>
      <c r="C21" s="41" t="str">
        <f>'Components Data Source'!C21</f>
        <v>Base2dStatic.fcpx</v>
      </c>
      <c r="D21" s="8" t="str">
        <f>'Components Data Source'!D21</f>
        <v>Components\IO_Source\2dGDI\Base2dStatic.fcfx</v>
      </c>
      <c r="E21" s="8" t="str">
        <f>'Components Data Source'!E21</f>
        <v>FREE</v>
      </c>
      <c r="F21" s="8" t="str">
        <f>'Components Data Source'!F21</f>
        <v>DEVELOPMENT</v>
      </c>
      <c r="G21" s="8">
        <f>'Components Data Source'!G21</f>
        <v>0</v>
      </c>
      <c r="H21" s="8">
        <f>'Components Data Source'!H21</f>
        <v>0</v>
      </c>
      <c r="I21" s="8">
        <f>'Components Data Source'!I21</f>
        <v>0</v>
      </c>
      <c r="J21" s="8">
        <f>'Components Data Source'!J21</f>
        <v>1</v>
      </c>
      <c r="K21" s="8">
        <f>'Components Data Source'!K21</f>
        <v>1</v>
      </c>
      <c r="L21" s="8">
        <f>'Components Data Source'!L21</f>
        <v>1</v>
      </c>
      <c r="M21" s="8" t="s">
        <v>1727</v>
      </c>
      <c r="N21" s="17" t="str">
        <f>HYPERLINK('Components Data Source'!M21)</f>
        <v>https://www.flowcode.co.uk/wiki/index.php?title=Component:_ID_6e425786_81b6_4f40_ac24_6c674bffe958</v>
      </c>
      <c r="O21" s="8" t="s">
        <v>2401</v>
      </c>
      <c r="P21" s="8"/>
      <c r="Q21" s="8" t="str">
        <f t="shared" si="2"/>
        <v/>
      </c>
      <c r="R21" s="8" t="s">
        <v>1727</v>
      </c>
      <c r="S21" s="8"/>
      <c r="T21" s="8"/>
      <c r="U21" s="8"/>
      <c r="V21" s="8" t="s">
        <v>1730</v>
      </c>
      <c r="W21" s="8" t="s">
        <v>1730</v>
      </c>
      <c r="X21" s="8"/>
      <c r="Y21" s="8"/>
      <c r="Z21" s="18">
        <f t="shared" si="1"/>
        <v>2</v>
      </c>
      <c r="AA21" s="8"/>
      <c r="AB21" s="7"/>
      <c r="AC21" s="7"/>
      <c r="AD21" s="8" t="s">
        <v>2401</v>
      </c>
      <c r="AE21" s="8"/>
      <c r="AF21" s="8" t="s">
        <v>2401</v>
      </c>
      <c r="AG21" s="8" t="s">
        <v>2401</v>
      </c>
      <c r="AH21" s="47"/>
      <c r="AI21" s="47">
        <f>VLOOKUP(B21,'Components Usage'!A$2:C$603,3,FALSE)</f>
        <v>3</v>
      </c>
      <c r="AJ21" s="28"/>
    </row>
    <row r="22" spans="1:36" hidden="1" x14ac:dyDescent="0.25">
      <c r="A22" s="16" t="str">
        <f>'Components Data Source'!A22</f>
        <v>Base 64</v>
      </c>
      <c r="B22" s="8" t="str">
        <f>'Components Data Source'!B22</f>
        <v>A78483E1-B293-47E7-984C-55984FC93571</v>
      </c>
      <c r="C22" s="41" t="str">
        <f>'Components Data Source'!C22</f>
        <v>Base64.fcpx</v>
      </c>
      <c r="D22" s="8" t="str">
        <f>'Components Data Source'!D22</f>
        <v>Components\IO_Source\Storage\Base64.fcfx</v>
      </c>
      <c r="E22" s="8" t="str">
        <f>'Components Data Source'!E22</f>
        <v>COMMSC</v>
      </c>
      <c r="F22" s="8" t="str">
        <f>'Components Data Source'!F22</f>
        <v>STORAGE</v>
      </c>
      <c r="G22" s="8" t="str">
        <f>'Components Data Source'!G22</f>
        <v xml:space="preserve">STORAGE </v>
      </c>
      <c r="H22" s="8">
        <f>'Components Data Source'!H22</f>
        <v>0</v>
      </c>
      <c r="I22" s="8">
        <f>'Components Data Source'!I22</f>
        <v>0</v>
      </c>
      <c r="J22" s="8">
        <f>'Components Data Source'!J22</f>
        <v>1</v>
      </c>
      <c r="K22" s="8">
        <f>'Components Data Source'!K22</f>
        <v>1</v>
      </c>
      <c r="L22" s="8">
        <f>'Components Data Source'!L22</f>
        <v>1</v>
      </c>
      <c r="M22" s="8" t="s">
        <v>1727</v>
      </c>
      <c r="N22" s="17" t="str">
        <f>HYPERLINK('Components Data Source'!M22)</f>
        <v>https://www.flowcode.co.uk/wiki/index.php?title=Component:_ID_a78483e1_b293_47e7_984c_55984fc93571</v>
      </c>
      <c r="O22" s="8" t="s">
        <v>1721</v>
      </c>
      <c r="P22" s="8"/>
      <c r="Q22" s="8" t="str">
        <f t="shared" si="2"/>
        <v/>
      </c>
      <c r="R22" s="1" t="s">
        <v>1721</v>
      </c>
      <c r="S22" s="1" t="s">
        <v>1721</v>
      </c>
      <c r="T22" s="1" t="s">
        <v>1727</v>
      </c>
      <c r="U22" s="1" t="s">
        <v>1721</v>
      </c>
      <c r="V22" s="1" t="s">
        <v>1731</v>
      </c>
      <c r="W22" s="1" t="s">
        <v>1732</v>
      </c>
      <c r="X22" s="1" t="s">
        <v>1721</v>
      </c>
      <c r="Y22" s="8" t="s">
        <v>1721</v>
      </c>
      <c r="Z22" s="18">
        <f t="shared" si="1"/>
        <v>1</v>
      </c>
      <c r="AA22" s="8"/>
      <c r="AB22" s="7"/>
      <c r="AC22" s="7"/>
      <c r="AD22" s="8" t="s">
        <v>1721</v>
      </c>
      <c r="AE22" s="8" t="s">
        <v>1721</v>
      </c>
      <c r="AF22" s="8" t="s">
        <v>2401</v>
      </c>
      <c r="AG22" s="8" t="s">
        <v>1721</v>
      </c>
      <c r="AH22" s="47"/>
      <c r="AI22" s="47">
        <f>VLOOKUP(B22,'Components Usage'!A$2:C$603,3,FALSE)</f>
        <v>2</v>
      </c>
      <c r="AJ22" s="28" t="s">
        <v>2401</v>
      </c>
    </row>
    <row r="23" spans="1:36" x14ac:dyDescent="0.25">
      <c r="A23" s="16" t="str">
        <f>'Components Data Source'!A23</f>
        <v>GLCD Base</v>
      </c>
      <c r="B23" s="8" t="str">
        <f>'Components Data Source'!B23</f>
        <v>4384CBA9-0BEA-4359-8C5B-DCD046AA7778</v>
      </c>
      <c r="C23" s="41" t="str">
        <f>'Components Data Source'!C23</f>
        <v>Base_GLCD.fcpx</v>
      </c>
      <c r="D23" s="8" t="str">
        <f>'Components Data Source'!D23</f>
        <v>Components\IO_Source\displays\glcd_base.fcfx</v>
      </c>
      <c r="E23" s="8" t="str">
        <f>'Components Data Source'!E23</f>
        <v>FREE</v>
      </c>
      <c r="F23" s="8" t="str">
        <f>'Components Data Source'!F23</f>
        <v>GRAPHICAL</v>
      </c>
      <c r="G23" s="8">
        <f>'Components Data Source'!G23</f>
        <v>0</v>
      </c>
      <c r="H23" s="8">
        <f>'Components Data Source'!H23</f>
        <v>0</v>
      </c>
      <c r="I23" s="8">
        <f>'Components Data Source'!I23</f>
        <v>0</v>
      </c>
      <c r="J23" s="8">
        <f>'Components Data Source'!J23</f>
        <v>1</v>
      </c>
      <c r="K23" s="8">
        <f>'Components Data Source'!K23</f>
        <v>1</v>
      </c>
      <c r="L23" s="8">
        <f>'Components Data Source'!L23</f>
        <v>1</v>
      </c>
      <c r="M23" s="8" t="s">
        <v>1727</v>
      </c>
      <c r="N23" s="17" t="str">
        <f>HYPERLINK('Components Data Source'!M23)</f>
        <v>https://www.flowcode.co.uk/wiki/index.php?title=Component:_ID_4384cba9_0bea_4359_8c5b_dcd046aa7778</v>
      </c>
      <c r="O23" s="8" t="s">
        <v>2401</v>
      </c>
      <c r="P23" s="8"/>
      <c r="Q23" s="8" t="str">
        <f t="shared" si="2"/>
        <v/>
      </c>
      <c r="R23" s="8" t="s">
        <v>1727</v>
      </c>
      <c r="S23" s="8"/>
      <c r="T23" s="8"/>
      <c r="U23" s="8"/>
      <c r="V23" s="8" t="s">
        <v>1730</v>
      </c>
      <c r="W23" s="8" t="s">
        <v>1730</v>
      </c>
      <c r="X23" s="8"/>
      <c r="Y23" s="8"/>
      <c r="Z23" s="18">
        <f t="shared" si="1"/>
        <v>2</v>
      </c>
      <c r="AA23" s="8"/>
      <c r="AB23" s="7"/>
      <c r="AC23" s="7"/>
      <c r="AD23" s="8" t="s">
        <v>2401</v>
      </c>
      <c r="AE23" s="8"/>
      <c r="AF23" s="8" t="s">
        <v>3630</v>
      </c>
      <c r="AG23" s="8" t="s">
        <v>1721</v>
      </c>
      <c r="AH23" s="47"/>
      <c r="AI23" s="47">
        <f>VLOOKUP(B23,'Components Usage'!A$2:C$603,3,FALSE)</f>
        <v>10</v>
      </c>
      <c r="AJ23" s="28"/>
    </row>
    <row r="24" spans="1:36" x14ac:dyDescent="0.25">
      <c r="A24" s="16" t="str">
        <f>'Components Data Source'!A24</f>
        <v>Basic IO Shield PCB</v>
      </c>
      <c r="B24" s="8" t="str">
        <f>'Components Data Source'!B24</f>
        <v>0CC9193A-1F8B-4D22-85D0-952B37C40B25</v>
      </c>
      <c r="C24" s="41" t="str">
        <f>'Components Data Source'!C24</f>
        <v>BasicIOShieldPCB.fcpx</v>
      </c>
      <c r="D24" s="8" t="str">
        <f>'Components Data Source'!D24</f>
        <v>Components\IO_Source\PCBs\BasicIOShieldPCBCompSource.fcfx</v>
      </c>
      <c r="E24" s="8" t="str">
        <f>'Components Data Source'!E24</f>
        <v>FREE</v>
      </c>
      <c r="F24" s="8" t="str">
        <f>'Components Data Source'!F24</f>
        <v>MISC</v>
      </c>
      <c r="G24" s="8">
        <f>'Components Data Source'!G24</f>
        <v>0</v>
      </c>
      <c r="H24" s="8">
        <f>'Components Data Source'!H24</f>
        <v>0</v>
      </c>
      <c r="I24" s="8">
        <f>'Components Data Source'!I24</f>
        <v>0</v>
      </c>
      <c r="J24" s="8">
        <f>'Components Data Source'!J24</f>
        <v>0</v>
      </c>
      <c r="K24" s="8">
        <f>'Components Data Source'!K24</f>
        <v>0</v>
      </c>
      <c r="L24" s="8">
        <f>'Components Data Source'!L24</f>
        <v>0</v>
      </c>
      <c r="M24" s="8" t="s">
        <v>1727</v>
      </c>
      <c r="N24" s="17" t="str">
        <f>HYPERLINK('Components Data Source'!M24)</f>
        <v>https://www.flowcode.co.uk/wiki/index.php?title=Component:_ID_0cc9193a_1f8b_4d22_85d0_952b37c40b25</v>
      </c>
      <c r="O24" s="8" t="s">
        <v>2401</v>
      </c>
      <c r="P24" s="8"/>
      <c r="Q24" s="8" t="str">
        <f t="shared" si="2"/>
        <v/>
      </c>
      <c r="R24" s="8" t="s">
        <v>1727</v>
      </c>
      <c r="S24" s="8"/>
      <c r="T24" s="8"/>
      <c r="U24" s="8"/>
      <c r="V24" s="8" t="s">
        <v>1730</v>
      </c>
      <c r="W24" s="8" t="s">
        <v>1730</v>
      </c>
      <c r="X24" s="8"/>
      <c r="Y24" s="8"/>
      <c r="Z24" s="18">
        <f t="shared" si="1"/>
        <v>2</v>
      </c>
      <c r="AA24" s="8"/>
      <c r="AB24" s="7"/>
      <c r="AC24" s="7"/>
      <c r="AD24" s="8" t="s">
        <v>2401</v>
      </c>
      <c r="AE24" s="8"/>
      <c r="AF24" s="8"/>
      <c r="AG24" s="8"/>
      <c r="AH24" s="47"/>
      <c r="AI24" s="47">
        <f>VLOOKUP(B24,'Components Usage'!A$2:C$603,3,FALSE)</f>
        <v>0</v>
      </c>
      <c r="AJ24" s="28"/>
    </row>
    <row r="25" spans="1:36" x14ac:dyDescent="0.25">
      <c r="A25" s="16" t="str">
        <f>'Components Data Source'!A25</f>
        <v>Bevel</v>
      </c>
      <c r="B25" s="8" t="str">
        <f>'Components Data Source'!B25</f>
        <v>B71C1512-A4C6-4887-A443-1ECF08D14D64</v>
      </c>
      <c r="C25" s="41" t="str">
        <f>'Components Data Source'!C25</f>
        <v>Bevel2d.fcpx</v>
      </c>
      <c r="D25" s="8" t="str">
        <f>'Components Data Source'!D25</f>
        <v>Components\IO_Source\2dGDI\bevel2d.fcfx</v>
      </c>
      <c r="E25" s="8" t="str">
        <f>'Components Data Source'!E25</f>
        <v>FREE</v>
      </c>
      <c r="F25" s="8" t="str">
        <f>'Components Data Source'!F25</f>
        <v>2D SHAPES</v>
      </c>
      <c r="G25" s="8">
        <f>'Components Data Source'!G25</f>
        <v>0</v>
      </c>
      <c r="H25" s="8">
        <f>'Components Data Source'!H25</f>
        <v>0</v>
      </c>
      <c r="I25" s="8">
        <f>'Components Data Source'!I25</f>
        <v>0</v>
      </c>
      <c r="J25" s="8">
        <f>'Components Data Source'!J25</f>
        <v>1</v>
      </c>
      <c r="K25" s="8">
        <f>'Components Data Source'!K25</f>
        <v>1</v>
      </c>
      <c r="L25" s="8">
        <f>'Components Data Source'!L25</f>
        <v>1</v>
      </c>
      <c r="M25" s="8" t="s">
        <v>1727</v>
      </c>
      <c r="N25" s="17" t="str">
        <f>HYPERLINK('Components Data Source'!M25)</f>
        <v>https://www.flowcode.co.uk/wiki/index.php?title=Component:_ID_b71c1512_a4c6_4887_a443_1ecf08d14d64</v>
      </c>
      <c r="O25" s="8" t="s">
        <v>2401</v>
      </c>
      <c r="P25" s="8"/>
      <c r="Q25" s="8" t="str">
        <f t="shared" si="2"/>
        <v/>
      </c>
      <c r="R25" s="8" t="s">
        <v>1727</v>
      </c>
      <c r="S25" s="8"/>
      <c r="T25" s="8"/>
      <c r="U25" s="8"/>
      <c r="V25" s="8" t="s">
        <v>1730</v>
      </c>
      <c r="W25" s="8" t="s">
        <v>1730</v>
      </c>
      <c r="X25" s="8"/>
      <c r="Y25" s="8"/>
      <c r="Z25" s="18">
        <f t="shared" si="1"/>
        <v>2</v>
      </c>
      <c r="AA25" s="8"/>
      <c r="AB25" s="7"/>
      <c r="AC25" s="7"/>
      <c r="AD25" s="8" t="s">
        <v>2401</v>
      </c>
      <c r="AE25" s="8"/>
      <c r="AF25" s="8" t="s">
        <v>2401</v>
      </c>
      <c r="AG25" s="8" t="s">
        <v>2401</v>
      </c>
      <c r="AH25" s="47"/>
      <c r="AI25" s="47">
        <f>VLOOKUP(B25,'Components Usage'!A$2:C$603,3,FALSE)</f>
        <v>0</v>
      </c>
      <c r="AJ25" s="28"/>
    </row>
    <row r="26" spans="1:36" hidden="1" x14ac:dyDescent="0.25">
      <c r="A26" s="16" t="str">
        <f>'Components Data Source'!A26</f>
        <v>GLCD Bitmap Drawer ROM</v>
      </c>
      <c r="B26" s="8" t="str">
        <f>'Components Data Source'!B26</f>
        <v>52DD90BD-FEC9-4EE5-934C-E4B2297168A5</v>
      </c>
      <c r="C26" s="41" t="str">
        <f>'Components Data Source'!C26</f>
        <v>BitmapDrawer.fcpx</v>
      </c>
      <c r="D26" s="8" t="str">
        <f>'Components Data Source'!D26</f>
        <v>Components\IO_Source\displays\GLCD_Draw_Bitmap.fcfx</v>
      </c>
      <c r="E26" s="8" t="str">
        <f>'Components Data Source'!E26</f>
        <v>DISPLAYS</v>
      </c>
      <c r="F26" s="8" t="str">
        <f>'Components Data Source'!F26</f>
        <v>GRAPHICAL LIBRARY</v>
      </c>
      <c r="G26" s="8">
        <f>'Components Data Source'!G26</f>
        <v>0</v>
      </c>
      <c r="H26" s="8">
        <f>'Components Data Source'!H26</f>
        <v>0</v>
      </c>
      <c r="I26" s="8">
        <f>'Components Data Source'!I26</f>
        <v>0</v>
      </c>
      <c r="J26" s="8">
        <f>'Components Data Source'!J26</f>
        <v>1</v>
      </c>
      <c r="K26" s="8">
        <f>'Components Data Source'!K26</f>
        <v>1</v>
      </c>
      <c r="L26" s="8">
        <f>'Components Data Source'!L26</f>
        <v>0</v>
      </c>
      <c r="M26" s="8" t="s">
        <v>1727</v>
      </c>
      <c r="N26" s="17" t="str">
        <f>HYPERLINK('Components Data Source'!M26)</f>
        <v>https://www.flowcode.co.uk/wiki/index.php?title=Component:_ID_52dd90bd_fec9_4ee5_934c_e4b2297168a5</v>
      </c>
      <c r="O26" s="8" t="s">
        <v>1721</v>
      </c>
      <c r="P26" s="8"/>
      <c r="Q26" s="8" t="str">
        <f t="shared" si="2"/>
        <v/>
      </c>
      <c r="R26" s="8" t="s">
        <v>1721</v>
      </c>
      <c r="S26" s="8" t="s">
        <v>1721</v>
      </c>
      <c r="T26" s="8" t="s">
        <v>1727</v>
      </c>
      <c r="U26" s="8" t="s">
        <v>1721</v>
      </c>
      <c r="V26" s="8" t="s">
        <v>1731</v>
      </c>
      <c r="W26" s="8" t="s">
        <v>1261</v>
      </c>
      <c r="X26" s="8" t="s">
        <v>1721</v>
      </c>
      <c r="Y26" s="8" t="s">
        <v>1721</v>
      </c>
      <c r="Z26" s="18">
        <f t="shared" si="1"/>
        <v>1</v>
      </c>
      <c r="AA26" s="8"/>
      <c r="AB26" s="7"/>
      <c r="AC26" s="7"/>
      <c r="AD26" s="8" t="s">
        <v>1721</v>
      </c>
      <c r="AE26" s="8" t="s">
        <v>1721</v>
      </c>
      <c r="AF26" s="8" t="s">
        <v>2401</v>
      </c>
      <c r="AG26" s="8" t="s">
        <v>1721</v>
      </c>
      <c r="AH26" s="47"/>
      <c r="AI26" s="47">
        <f>VLOOKUP(B26,'Components Usage'!A$2:C$603,3,FALSE)</f>
        <v>24</v>
      </c>
      <c r="AJ26" s="28" t="s">
        <v>2401</v>
      </c>
    </row>
    <row r="27" spans="1:36" hidden="1" x14ac:dyDescent="0.25">
      <c r="A27" s="16" t="str">
        <f>'Components Data Source'!A27</f>
        <v>GLCD Bitmap Drawer FAT</v>
      </c>
      <c r="B27" s="8" t="str">
        <f>'Components Data Source'!B27</f>
        <v>B02B7C75-53CB-4BE4-871F-61BE633D898C</v>
      </c>
      <c r="C27" s="41" t="str">
        <f>'Components Data Source'!C27</f>
        <v>BitmapDrawerFAT.fcpx</v>
      </c>
      <c r="D27" s="8" t="str">
        <f>'Components Data Source'!D27</f>
        <v>Components\IO_Source\displays\GLCD_Draw_Bitmap_FAT.fcfx</v>
      </c>
      <c r="E27" s="8" t="str">
        <f>'Components Data Source'!E27</f>
        <v>STORAGE</v>
      </c>
      <c r="F27" s="8" t="str">
        <f>'Components Data Source'!F27</f>
        <v>GRAPHICAL LIBRARY</v>
      </c>
      <c r="G27" s="8">
        <f>'Components Data Source'!G27</f>
        <v>0</v>
      </c>
      <c r="H27" s="8">
        <f>'Components Data Source'!H27</f>
        <v>0</v>
      </c>
      <c r="I27" s="8">
        <f>'Components Data Source'!I27</f>
        <v>0</v>
      </c>
      <c r="J27" s="8">
        <f>'Components Data Source'!J27</f>
        <v>1</v>
      </c>
      <c r="K27" s="8">
        <f>'Components Data Source'!K27</f>
        <v>1</v>
      </c>
      <c r="L27" s="8">
        <f>'Components Data Source'!L27</f>
        <v>0</v>
      </c>
      <c r="M27" s="8" t="s">
        <v>1727</v>
      </c>
      <c r="N27" s="17" t="str">
        <f>HYPERLINK('Components Data Source'!M27)</f>
        <v>https://www.flowcode.co.uk/wiki/index.php?title=Component:_ID_b02b7c75_53cb_4be4_871f_61be633d898c</v>
      </c>
      <c r="O27" s="8" t="s">
        <v>1721</v>
      </c>
      <c r="P27" s="8"/>
      <c r="Q27" s="8" t="str">
        <f t="shared" si="2"/>
        <v/>
      </c>
      <c r="R27" s="8" t="s">
        <v>1721</v>
      </c>
      <c r="S27" s="8" t="s">
        <v>1721</v>
      </c>
      <c r="T27" s="8" t="s">
        <v>1727</v>
      </c>
      <c r="U27" s="8" t="s">
        <v>1721</v>
      </c>
      <c r="V27" s="8" t="s">
        <v>1731</v>
      </c>
      <c r="W27" s="8" t="s">
        <v>1733</v>
      </c>
      <c r="X27" s="8" t="s">
        <v>1721</v>
      </c>
      <c r="Y27" s="8" t="s">
        <v>1721</v>
      </c>
      <c r="Z27" s="18">
        <f t="shared" si="1"/>
        <v>1</v>
      </c>
      <c r="AA27" s="8"/>
      <c r="AB27" s="7"/>
      <c r="AC27" s="7"/>
      <c r="AD27" s="8" t="s">
        <v>1721</v>
      </c>
      <c r="AE27" s="8" t="s">
        <v>1721</v>
      </c>
      <c r="AF27" s="8" t="s">
        <v>2401</v>
      </c>
      <c r="AG27" s="8" t="s">
        <v>1721</v>
      </c>
      <c r="AH27" s="47"/>
      <c r="AI27" s="47">
        <f>VLOOKUP(B27,'Components Usage'!A$2:C$603,3,FALSE)</f>
        <v>8</v>
      </c>
      <c r="AJ27" s="28" t="s">
        <v>2401</v>
      </c>
    </row>
    <row r="28" spans="1:36" hidden="1" x14ac:dyDescent="0.25">
      <c r="A28" s="16" t="str">
        <f>'Components Data Source'!A28</f>
        <v>Bluetooth v2 (EB024 Generic AT)</v>
      </c>
      <c r="B28" s="8" t="str">
        <f>'Components Data Source'!B28</f>
        <v>76B3EB5C-2D23-4C8D-BDE8-505032BC886A</v>
      </c>
      <c r="C28" s="41" t="str">
        <f>'Components Data Source'!C28</f>
        <v>Bluetooth2.fcpx</v>
      </c>
      <c r="D28" s="8" t="str">
        <f>'Components Data Source'!D28</f>
        <v>Components\IO_Source\Bluetooth_V2.fcfx</v>
      </c>
      <c r="E28" s="8" t="str">
        <f>'Components Data Source'!E28</f>
        <v>COMMSB</v>
      </c>
      <c r="F28" s="8" t="str">
        <f>'Components Data Source'!F28</f>
        <v>WIRELESS</v>
      </c>
      <c r="G28" s="8">
        <f>'Components Data Source'!G28</f>
        <v>0</v>
      </c>
      <c r="H28" s="8">
        <f>'Components Data Source'!H28</f>
        <v>0</v>
      </c>
      <c r="I28" s="8" t="str">
        <f>'Components Data Source'!I28</f>
        <v xml:space="preserve">UART </v>
      </c>
      <c r="J28" s="8">
        <f>'Components Data Source'!J28</f>
        <v>1</v>
      </c>
      <c r="K28" s="8">
        <f>'Components Data Source'!K28</f>
        <v>1</v>
      </c>
      <c r="L28" s="8">
        <f>'Components Data Source'!L28</f>
        <v>0</v>
      </c>
      <c r="M28" s="8" t="s">
        <v>1727</v>
      </c>
      <c r="N28" s="17" t="str">
        <f>HYPERLINK('Components Data Source'!M28)</f>
        <v>https://www.flowcode.co.uk/wiki/index.php?title=Component:_ID_76b3eb5c_2d23_4c8d_bde8_505032bc886a</v>
      </c>
      <c r="O28" s="8" t="s">
        <v>1721</v>
      </c>
      <c r="P28" s="8"/>
      <c r="Q28" s="8" t="str">
        <f t="shared" si="2"/>
        <v/>
      </c>
      <c r="R28" s="1" t="s">
        <v>1721</v>
      </c>
      <c r="S28" s="1" t="s">
        <v>1721</v>
      </c>
      <c r="T28" s="1" t="s">
        <v>1721</v>
      </c>
      <c r="U28" s="1" t="s">
        <v>1721</v>
      </c>
      <c r="V28" s="1" t="s">
        <v>1731</v>
      </c>
      <c r="W28" s="1" t="s">
        <v>1183</v>
      </c>
      <c r="X28" s="1" t="s">
        <v>1721</v>
      </c>
      <c r="Y28" s="8" t="s">
        <v>1721</v>
      </c>
      <c r="Z28" s="18">
        <f t="shared" si="1"/>
        <v>1</v>
      </c>
      <c r="AA28" s="8"/>
      <c r="AB28" s="6" t="s">
        <v>2427</v>
      </c>
      <c r="AC28" s="7"/>
      <c r="AD28" s="8" t="s">
        <v>1721</v>
      </c>
      <c r="AE28" s="8" t="s">
        <v>1721</v>
      </c>
      <c r="AF28" s="8" t="s">
        <v>2401</v>
      </c>
      <c r="AG28" s="8" t="s">
        <v>1721</v>
      </c>
      <c r="AH28" s="47"/>
      <c r="AI28" s="47">
        <f>VLOOKUP(B28,'Components Usage'!A$2:C$603,3,FALSE)</f>
        <v>0</v>
      </c>
      <c r="AJ28" s="28" t="s">
        <v>2401</v>
      </c>
    </row>
    <row r="29" spans="1:36" hidden="1" x14ac:dyDescent="0.25">
      <c r="A29" s="16" t="str">
        <f>'Components Data Source'!A29</f>
        <v>Bluetooth(BL0170)</v>
      </c>
      <c r="B29" s="8" t="str">
        <f>'Components Data Source'!B29</f>
        <v>5F9D5A58-6C01-4588-AFA0-DF4C01CE161A</v>
      </c>
      <c r="C29" s="41" t="str">
        <f>'Components Data Source'!C29</f>
        <v>BluetoothBL0170.fcpx</v>
      </c>
      <c r="D29" s="8" t="str">
        <f>'Components Data Source'!D29</f>
        <v>Components\IO_Source\EB2\EBlocks2_Bluetooth_RN4677_BL0170.fcfx</v>
      </c>
      <c r="E29" s="8" t="str">
        <f>'Components Data Source'!E29</f>
        <v>COMMSB</v>
      </c>
      <c r="F29" s="8" t="str">
        <f>'Components Data Source'!F29</f>
        <v>E-BLOCKS 2</v>
      </c>
      <c r="G29" s="8">
        <f>'Components Data Source'!G29</f>
        <v>0</v>
      </c>
      <c r="H29" s="8">
        <f>'Components Data Source'!H29</f>
        <v>0</v>
      </c>
      <c r="I29" s="8" t="str">
        <f>'Components Data Source'!I29</f>
        <v xml:space="preserve">UART </v>
      </c>
      <c r="J29" s="8">
        <f>'Components Data Source'!J29</f>
        <v>1</v>
      </c>
      <c r="K29" s="8">
        <f>'Components Data Source'!K29</f>
        <v>1</v>
      </c>
      <c r="L29" s="8">
        <f>'Components Data Source'!L29</f>
        <v>0</v>
      </c>
      <c r="M29" s="8" t="s">
        <v>1727</v>
      </c>
      <c r="N29" s="17" t="str">
        <f>HYPERLINK('Components Data Source'!M29)</f>
        <v>https://www.flowcode.co.uk/wiki/index.php?title=Component:_ID_5f9d5a58_6c01_4588_afa0_df4c01ce161a</v>
      </c>
      <c r="O29" s="8" t="s">
        <v>2589</v>
      </c>
      <c r="P29" s="8"/>
      <c r="Q29" s="8" t="str">
        <f t="shared" si="2"/>
        <v/>
      </c>
      <c r="R29" s="8" t="s">
        <v>1721</v>
      </c>
      <c r="S29" s="8" t="s">
        <v>1721</v>
      </c>
      <c r="T29" s="8" t="s">
        <v>1721</v>
      </c>
      <c r="U29" s="8" t="s">
        <v>1721</v>
      </c>
      <c r="V29" s="8" t="s">
        <v>1731</v>
      </c>
      <c r="W29" s="8" t="s">
        <v>1183</v>
      </c>
      <c r="X29" s="8" t="s">
        <v>1721</v>
      </c>
      <c r="Y29" s="8" t="s">
        <v>1721</v>
      </c>
      <c r="Z29" s="18">
        <f t="shared" si="1"/>
        <v>1</v>
      </c>
      <c r="AA29" s="8"/>
      <c r="AB29" s="7"/>
      <c r="AC29" s="7"/>
      <c r="AD29" s="8" t="s">
        <v>1721</v>
      </c>
      <c r="AE29" s="8" t="s">
        <v>1727</v>
      </c>
      <c r="AF29" s="8" t="s">
        <v>2401</v>
      </c>
      <c r="AG29" s="8" t="s">
        <v>1727</v>
      </c>
      <c r="AH29" s="47"/>
      <c r="AI29" s="47">
        <f>VLOOKUP(B29,'Components Usage'!A$2:C$603,3,FALSE)</f>
        <v>2</v>
      </c>
      <c r="AJ29" s="28" t="s">
        <v>2401</v>
      </c>
    </row>
    <row r="30" spans="1:36" hidden="1" x14ac:dyDescent="0.25">
      <c r="A30" s="16" t="str">
        <f>'Components Data Source'!A30</f>
        <v>Bluetooth(RN4677)</v>
      </c>
      <c r="B30" s="8" t="str">
        <f>'Components Data Source'!B30</f>
        <v>0C7DF3FC-A46F-4712-8CD3-77079978F4FC</v>
      </c>
      <c r="C30" s="41" t="str">
        <f>'Components Data Source'!C30</f>
        <v>BluetoothRN4677.fcpx</v>
      </c>
      <c r="D30" s="8" t="str">
        <f>'Components Data Source'!D30</f>
        <v>Components\IO_Source\Bluetooth_RN4677.fcfx</v>
      </c>
      <c r="E30" s="8" t="str">
        <f>'Components Data Source'!E30</f>
        <v>COMMSB</v>
      </c>
      <c r="F30" s="8" t="str">
        <f>'Components Data Source'!F30</f>
        <v>WIRELESS</v>
      </c>
      <c r="G30" s="8">
        <f>'Components Data Source'!G30</f>
        <v>0</v>
      </c>
      <c r="H30" s="8">
        <f>'Components Data Source'!H30</f>
        <v>0</v>
      </c>
      <c r="I30" s="8" t="str">
        <f>'Components Data Source'!I30</f>
        <v xml:space="preserve">UART </v>
      </c>
      <c r="J30" s="8">
        <f>'Components Data Source'!J30</f>
        <v>1</v>
      </c>
      <c r="K30" s="8">
        <f>'Components Data Source'!K30</f>
        <v>1</v>
      </c>
      <c r="L30" s="8">
        <f>'Components Data Source'!L30</f>
        <v>0</v>
      </c>
      <c r="M30" s="8" t="s">
        <v>1727</v>
      </c>
      <c r="N30" s="17" t="str">
        <f>HYPERLINK('Components Data Source'!M30)</f>
        <v>https://www.flowcode.co.uk/wiki/index.php?title=Component:_ID_0c7df3fc_a46f_4712_8cd3_77079978f4fc</v>
      </c>
      <c r="O30" s="8" t="s">
        <v>1721</v>
      </c>
      <c r="P30" s="8"/>
      <c r="Q30" s="8" t="str">
        <f t="shared" si="2"/>
        <v/>
      </c>
      <c r="R30" s="8" t="s">
        <v>1721</v>
      </c>
      <c r="S30" s="8" t="s">
        <v>1721</v>
      </c>
      <c r="T30" s="8" t="s">
        <v>1721</v>
      </c>
      <c r="U30" s="8" t="s">
        <v>1721</v>
      </c>
      <c r="V30" s="8" t="s">
        <v>1731</v>
      </c>
      <c r="W30" s="8" t="s">
        <v>1183</v>
      </c>
      <c r="X30" s="8" t="s">
        <v>1721</v>
      </c>
      <c r="Y30" s="8" t="s">
        <v>1721</v>
      </c>
      <c r="Z30" s="18">
        <f t="shared" si="1"/>
        <v>1</v>
      </c>
      <c r="AA30" s="8"/>
      <c r="AB30" s="7"/>
      <c r="AC30" s="7"/>
      <c r="AD30" s="8" t="s">
        <v>1721</v>
      </c>
      <c r="AE30" s="8" t="s">
        <v>1727</v>
      </c>
      <c r="AF30" s="8" t="s">
        <v>2401</v>
      </c>
      <c r="AG30" s="8" t="s">
        <v>1727</v>
      </c>
      <c r="AH30" s="47"/>
      <c r="AI30" s="47">
        <f>VLOOKUP(B30,'Components Usage'!A$2:C$603,3,FALSE)</f>
        <v>4</v>
      </c>
      <c r="AJ30" s="28" t="s">
        <v>2401</v>
      </c>
    </row>
    <row r="31" spans="1:36" hidden="1" x14ac:dyDescent="0.25">
      <c r="A31" s="16" t="str">
        <f>'Components Data Source'!A31</f>
        <v>Bluetooth (HC05 / HC06)</v>
      </c>
      <c r="B31" s="8" t="str">
        <f>'Components Data Source'!B31</f>
        <v>A8DBE015-0985-4581-ABD5-1CC44F576FAB</v>
      </c>
      <c r="C31" s="41" t="str">
        <f>'Components Data Source'!C31</f>
        <v>Bluetooth_HC05.fcpx</v>
      </c>
      <c r="D31" s="8" t="str">
        <f>'Components Data Source'!D31</f>
        <v>Components\IO_Source\BTHC05.fcfx</v>
      </c>
      <c r="E31" s="8" t="str">
        <f>'Components Data Source'!E31</f>
        <v>COMMSB</v>
      </c>
      <c r="F31" s="8" t="str">
        <f>'Components Data Source'!F31</f>
        <v>WIRELESS</v>
      </c>
      <c r="G31" s="8">
        <f>'Components Data Source'!G31</f>
        <v>0</v>
      </c>
      <c r="H31" s="8">
        <f>'Components Data Source'!H31</f>
        <v>0</v>
      </c>
      <c r="I31" s="8" t="str">
        <f>'Components Data Source'!I31</f>
        <v xml:space="preserve">UART </v>
      </c>
      <c r="J31" s="8">
        <f>'Components Data Source'!J31</f>
        <v>1</v>
      </c>
      <c r="K31" s="8">
        <f>'Components Data Source'!K31</f>
        <v>1</v>
      </c>
      <c r="L31" s="8">
        <f>'Components Data Source'!L31</f>
        <v>0</v>
      </c>
      <c r="M31" s="8" t="s">
        <v>1727</v>
      </c>
      <c r="N31" s="17" t="str">
        <f>HYPERLINK('Components Data Source'!M31)</f>
        <v>https://www.flowcode.co.uk/wiki/index.php?title=Component:_ID_a8dbe015_0985_4581_abd5_1cc44f576fab</v>
      </c>
      <c r="O31" s="8" t="s">
        <v>1721</v>
      </c>
      <c r="P31" s="8" t="s">
        <v>1733</v>
      </c>
      <c r="Q31" s="8" t="str">
        <f t="shared" si="2"/>
        <v/>
      </c>
      <c r="R31" s="1" t="s">
        <v>1721</v>
      </c>
      <c r="S31" s="1" t="s">
        <v>1721</v>
      </c>
      <c r="T31" s="1" t="s">
        <v>1721</v>
      </c>
      <c r="U31" s="1"/>
      <c r="V31" s="1" t="s">
        <v>1731</v>
      </c>
      <c r="W31" s="1" t="s">
        <v>1183</v>
      </c>
      <c r="X31" s="1" t="s">
        <v>1721</v>
      </c>
      <c r="Y31" s="8" t="s">
        <v>1721</v>
      </c>
      <c r="Z31" s="18">
        <f t="shared" si="1"/>
        <v>1</v>
      </c>
      <c r="AA31" s="8"/>
      <c r="AB31" s="6" t="s">
        <v>2427</v>
      </c>
      <c r="AC31" s="7"/>
      <c r="AD31" s="8" t="s">
        <v>1721</v>
      </c>
      <c r="AE31" s="8" t="s">
        <v>1721</v>
      </c>
      <c r="AF31" s="8" t="s">
        <v>1727</v>
      </c>
      <c r="AG31" s="8" t="s">
        <v>1721</v>
      </c>
      <c r="AH31" s="47"/>
      <c r="AI31" s="47">
        <f>VLOOKUP(B31,'Components Usage'!A$2:C$603,3,FALSE)</f>
        <v>10</v>
      </c>
      <c r="AJ31" s="28" t="s">
        <v>2401</v>
      </c>
    </row>
    <row r="32" spans="1:36" x14ac:dyDescent="0.25">
      <c r="A32" s="16" t="str">
        <f>'Components Data Source'!A32</f>
        <v>Bluetooth (ESP32 SPP)</v>
      </c>
      <c r="B32" s="8" t="str">
        <f>'Components Data Source'!B32</f>
        <v>8BE2CE64-4860-468A-AA8A-EAC443274DA3</v>
      </c>
      <c r="C32" s="41" t="str">
        <f>'Components Data Source'!C32</f>
        <v>Bluetooth_SPP_ESP32.fcpx</v>
      </c>
      <c r="D32" s="8" t="str">
        <f>'Components Data Source'!D32</f>
        <v>Components\IO_Source\Bluetooth_ESP32_SPP.fcfx</v>
      </c>
      <c r="E32" s="8" t="str">
        <f>'Components Data Source'!E32</f>
        <v>FREE</v>
      </c>
      <c r="F32" s="8" t="str">
        <f>'Components Data Source'!F32</f>
        <v>WIRELESS</v>
      </c>
      <c r="G32" s="8">
        <f>'Components Data Source'!G32</f>
        <v>0</v>
      </c>
      <c r="H32" s="8">
        <f>'Components Data Source'!H32</f>
        <v>0</v>
      </c>
      <c r="I32" s="8">
        <f>'Components Data Source'!I32</f>
        <v>0</v>
      </c>
      <c r="J32" s="8">
        <f>'Components Data Source'!J32</f>
        <v>1</v>
      </c>
      <c r="K32" s="8">
        <f>'Components Data Source'!K32</f>
        <v>1</v>
      </c>
      <c r="L32" s="8">
        <f>'Components Data Source'!L32</f>
        <v>0</v>
      </c>
      <c r="M32" s="8" t="s">
        <v>1727</v>
      </c>
      <c r="N32" s="17" t="str">
        <f>HYPERLINK('Components Data Source'!M32)</f>
        <v>https://www.flowcode.co.uk/wiki/index.php?title=Component:_ID_8be2ce64_4860_468a_aa8a_eac443274da3</v>
      </c>
      <c r="O32" s="8" t="s">
        <v>1721</v>
      </c>
      <c r="P32" s="8"/>
      <c r="Q32" s="8" t="str">
        <f t="shared" si="2"/>
        <v/>
      </c>
      <c r="R32" s="8" t="s">
        <v>1721</v>
      </c>
      <c r="S32" s="8" t="s">
        <v>1721</v>
      </c>
      <c r="T32" s="8" t="s">
        <v>1721</v>
      </c>
      <c r="U32" s="8" t="s">
        <v>1721</v>
      </c>
      <c r="V32" s="8" t="s">
        <v>1731</v>
      </c>
      <c r="W32" s="8" t="s">
        <v>1731</v>
      </c>
      <c r="X32" s="8" t="s">
        <v>1721</v>
      </c>
      <c r="Y32" s="8" t="s">
        <v>2474</v>
      </c>
      <c r="Z32" s="18">
        <f t="shared" si="1"/>
        <v>0</v>
      </c>
      <c r="AA32" s="8" t="s">
        <v>1721</v>
      </c>
      <c r="AB32" s="7" t="s">
        <v>2569</v>
      </c>
      <c r="AC32" s="7"/>
      <c r="AD32" s="8" t="s">
        <v>1721</v>
      </c>
      <c r="AE32" s="8" t="s">
        <v>1727</v>
      </c>
      <c r="AF32" s="8" t="s">
        <v>2401</v>
      </c>
      <c r="AG32" s="8" t="s">
        <v>1721</v>
      </c>
      <c r="AH32" s="47"/>
      <c r="AI32" s="47">
        <f>VLOOKUP(B32,'Components Usage'!A$2:C$603,3,FALSE)</f>
        <v>27</v>
      </c>
      <c r="AJ32" s="28" t="s">
        <v>2401</v>
      </c>
    </row>
    <row r="33" spans="1:36" hidden="1" x14ac:dyDescent="0.25">
      <c r="A33" s="16" t="str">
        <f>'Components Data Source'!A33</f>
        <v>Brushless Motor (Standard)</v>
      </c>
      <c r="B33" s="8" t="str">
        <f>'Components Data Source'!B33</f>
        <v>DC99E179-216F-4618-AEE7-3F5F87541A9D</v>
      </c>
      <c r="C33" s="41" t="str">
        <f>'Components Data Source'!C33</f>
        <v>BrushlessMotor.fcpx</v>
      </c>
      <c r="D33" s="8" t="str">
        <f>'Components Data Source'!D33</f>
        <v>Components\IO_Source\mechatronics\BrushlessMotor.fcfx</v>
      </c>
      <c r="E33" s="8" t="str">
        <f>'Components Data Source'!E33</f>
        <v>MECHATRONICS</v>
      </c>
      <c r="F33" s="8">
        <f>'Components Data Source'!F33</f>
        <v>0</v>
      </c>
      <c r="G33" s="8">
        <f>'Components Data Source'!G33</f>
        <v>0</v>
      </c>
      <c r="H33" s="8">
        <f>'Components Data Source'!H33</f>
        <v>0</v>
      </c>
      <c r="I33" s="8">
        <f>'Components Data Source'!I33</f>
        <v>0</v>
      </c>
      <c r="J33" s="8">
        <f>'Components Data Source'!J33</f>
        <v>1</v>
      </c>
      <c r="K33" s="8">
        <f>'Components Data Source'!K33</f>
        <v>1</v>
      </c>
      <c r="L33" s="8">
        <f>'Components Data Source'!L33</f>
        <v>0</v>
      </c>
      <c r="M33" s="8" t="s">
        <v>1727</v>
      </c>
      <c r="N33" s="17" t="str">
        <f>HYPERLINK('Components Data Source'!M33)</f>
        <v>https://www.flowcode.co.uk/wiki/index.php?title=Component:_ID_dc99e179_216f_4618_aee7_3f5f87541a9d</v>
      </c>
      <c r="O33" s="8" t="s">
        <v>1721</v>
      </c>
      <c r="P33" s="8" t="s">
        <v>2591</v>
      </c>
      <c r="Q33" s="8" t="str">
        <f t="shared" si="2"/>
        <v/>
      </c>
      <c r="R33" s="8" t="s">
        <v>1727</v>
      </c>
      <c r="S33" s="8"/>
      <c r="T33" s="8"/>
      <c r="U33" s="8"/>
      <c r="V33" s="8" t="s">
        <v>1730</v>
      </c>
      <c r="W33" s="8" t="s">
        <v>1730</v>
      </c>
      <c r="X33" s="8"/>
      <c r="Y33" s="8"/>
      <c r="Z33" s="18">
        <f t="shared" si="1"/>
        <v>2</v>
      </c>
      <c r="AA33" s="8"/>
      <c r="AB33" s="7"/>
      <c r="AC33" s="7"/>
      <c r="AD33" s="8" t="s">
        <v>1727</v>
      </c>
      <c r="AE33" s="8"/>
      <c r="AF33" s="8" t="s">
        <v>1727</v>
      </c>
      <c r="AG33" s="8" t="s">
        <v>1727</v>
      </c>
      <c r="AH33" s="47"/>
      <c r="AI33" s="47">
        <f>VLOOKUP(B33,'Components Usage'!A$2:C$603,3,FALSE)</f>
        <v>3</v>
      </c>
      <c r="AJ33" s="28"/>
    </row>
    <row r="34" spans="1:36" x14ac:dyDescent="0.25">
      <c r="A34" s="16" t="str">
        <f>'Components Data Source'!A34</f>
        <v>Bubble Chart</v>
      </c>
      <c r="B34" s="8" t="str">
        <f>'Components Data Source'!B34</f>
        <v>5D52E8A2-F248-4318-A0AC-E7B9503237CF</v>
      </c>
      <c r="C34" s="41" t="str">
        <f>'Components Data Source'!C34</f>
        <v>BubbleChart.fcpx</v>
      </c>
      <c r="D34" s="8" t="str">
        <f>'Components Data Source'!D34</f>
        <v>Components\IO_Source\2dGDI\ChartBubble.fcfx</v>
      </c>
      <c r="E34" s="8" t="str">
        <f>'Components Data Source'!E34</f>
        <v>FREE</v>
      </c>
      <c r="F34" s="8" t="str">
        <f>'Components Data Source'!F34</f>
        <v>CHARTS</v>
      </c>
      <c r="G34" s="8" t="str">
        <f>'Components Data Source'!G34</f>
        <v xml:space="preserve">CHARTS </v>
      </c>
      <c r="H34" s="8">
        <f>'Components Data Source'!H34</f>
        <v>0</v>
      </c>
      <c r="I34" s="8">
        <f>'Components Data Source'!I34</f>
        <v>0</v>
      </c>
      <c r="J34" s="8">
        <f>'Components Data Source'!J34</f>
        <v>1</v>
      </c>
      <c r="K34" s="8">
        <f>'Components Data Source'!K34</f>
        <v>1</v>
      </c>
      <c r="L34" s="8">
        <f>'Components Data Source'!L34</f>
        <v>1</v>
      </c>
      <c r="M34" s="8" t="s">
        <v>1727</v>
      </c>
      <c r="N34" s="17" t="str">
        <f>HYPERLINK('Components Data Source'!M34)</f>
        <v>https://www.flowcode.co.uk/wiki/index.php?title=Component:_ID_5d52e8a2_f248_4318_a0ac_e7b9503237cf</v>
      </c>
      <c r="O34" s="8" t="s">
        <v>1721</v>
      </c>
      <c r="P34" s="8"/>
      <c r="Q34" s="8" t="str">
        <f t="shared" si="2"/>
        <v/>
      </c>
      <c r="R34" s="8" t="s">
        <v>1727</v>
      </c>
      <c r="S34" s="8"/>
      <c r="T34" s="8"/>
      <c r="U34" s="8"/>
      <c r="V34" s="8" t="s">
        <v>1730</v>
      </c>
      <c r="W34" s="8" t="s">
        <v>1730</v>
      </c>
      <c r="X34" s="8"/>
      <c r="Y34" s="8"/>
      <c r="Z34" s="18">
        <f t="shared" si="1"/>
        <v>2</v>
      </c>
      <c r="AA34" s="8"/>
      <c r="AB34" s="7"/>
      <c r="AC34" s="7"/>
      <c r="AD34" s="8" t="s">
        <v>1727</v>
      </c>
      <c r="AE34" s="8"/>
      <c r="AF34" s="8" t="s">
        <v>1727</v>
      </c>
      <c r="AG34" s="8" t="s">
        <v>1727</v>
      </c>
      <c r="AH34" s="47"/>
      <c r="AI34" s="47">
        <f>VLOOKUP(B34,'Components Usage'!A$2:C$603,3,FALSE)</f>
        <v>0</v>
      </c>
      <c r="AJ34" s="28"/>
    </row>
    <row r="35" spans="1:36" hidden="1" x14ac:dyDescent="0.25">
      <c r="A35" s="16" t="str">
        <f>'Components Data Source'!A35</f>
        <v>Buzzer</v>
      </c>
      <c r="B35" s="8" t="str">
        <f>'Components Data Source'!B35</f>
        <v>04BBD3B8-EE11-40EB-91E8-1BBBD6F65B8C</v>
      </c>
      <c r="C35" s="41" t="str">
        <f>'Components Data Source'!C35</f>
        <v>Buzzer.fcpx</v>
      </c>
      <c r="D35" s="8" t="str">
        <f>'Components Data Source'!D35</f>
        <v>Components\IO_Source\outputs\Buzzer.fcfx</v>
      </c>
      <c r="E35" s="8" t="str">
        <f>'Components Data Source'!E35</f>
        <v>BASICIO</v>
      </c>
      <c r="F35" s="8" t="str">
        <f>'Components Data Source'!F35</f>
        <v>AUDIO OUTPUT</v>
      </c>
      <c r="G35" s="8">
        <f>'Components Data Source'!G35</f>
        <v>0</v>
      </c>
      <c r="H35" s="8">
        <f>'Components Data Source'!H35</f>
        <v>0</v>
      </c>
      <c r="I35" s="8">
        <f>'Components Data Source'!I35</f>
        <v>0</v>
      </c>
      <c r="J35" s="8">
        <f>'Components Data Source'!J35</f>
        <v>1</v>
      </c>
      <c r="K35" s="8">
        <f>'Components Data Source'!K35</f>
        <v>1</v>
      </c>
      <c r="L35" s="8">
        <f>'Components Data Source'!L35</f>
        <v>0</v>
      </c>
      <c r="M35" s="8" t="s">
        <v>1727</v>
      </c>
      <c r="N35" s="17" t="str">
        <f>HYPERLINK('Components Data Source'!M35)</f>
        <v>https://www.flowcode.co.uk/wiki/index.php?title=Component:_ID_04bbd3b8_ee11_40eb_91e8_1bbbd6f65b8c</v>
      </c>
      <c r="O35" s="8" t="s">
        <v>1721</v>
      </c>
      <c r="P35" s="8"/>
      <c r="Q35" s="8" t="str">
        <f t="shared" si="2"/>
        <v/>
      </c>
      <c r="R35" s="8" t="s">
        <v>1721</v>
      </c>
      <c r="S35" s="8" t="s">
        <v>1721</v>
      </c>
      <c r="T35" s="8" t="s">
        <v>1727</v>
      </c>
      <c r="U35" s="8" t="s">
        <v>1727</v>
      </c>
      <c r="V35" s="8" t="s">
        <v>1731</v>
      </c>
      <c r="W35" s="8" t="s">
        <v>1731</v>
      </c>
      <c r="X35" s="8" t="s">
        <v>1721</v>
      </c>
      <c r="Y35" s="8" t="s">
        <v>1721</v>
      </c>
      <c r="Z35" s="18">
        <f t="shared" si="1"/>
        <v>1</v>
      </c>
      <c r="AA35" s="8"/>
      <c r="AB35" s="7"/>
      <c r="AC35" s="7"/>
      <c r="AD35" s="8" t="s">
        <v>1721</v>
      </c>
      <c r="AE35" s="8" t="s">
        <v>1727</v>
      </c>
      <c r="AF35" s="8" t="s">
        <v>1721</v>
      </c>
      <c r="AG35" s="8" t="s">
        <v>1721</v>
      </c>
      <c r="AH35" s="47"/>
      <c r="AI35" s="47">
        <f>VLOOKUP(B35,'Components Usage'!A$2:C$603,3,FALSE)</f>
        <v>79</v>
      </c>
      <c r="AJ35" s="28" t="s">
        <v>1721</v>
      </c>
    </row>
    <row r="36" spans="1:36" hidden="1" x14ac:dyDescent="0.25">
      <c r="A36" s="16" t="str">
        <f>'Components Data Source'!A36</f>
        <v>CAN (Internal MCP2515)</v>
      </c>
      <c r="B36" s="8" t="str">
        <f>'Components Data Source'!B36</f>
        <v>DA332928-6342-4C2C-AFC7-EAF33917D33E</v>
      </c>
      <c r="C36" s="41" t="str">
        <f>'Components Data Source'!C36</f>
        <v>CAN.fcpx</v>
      </c>
      <c r="D36" s="8" t="str">
        <f>'Components Data Source'!D36</f>
        <v>Components\IO_Source\CAN.fcfx</v>
      </c>
      <c r="E36" s="8" t="str">
        <f>'Components Data Source'!E36</f>
        <v>COMMSA</v>
      </c>
      <c r="F36" s="8" t="str">
        <f>'Components Data Source'!F36</f>
        <v>COMMS: INTERFACE</v>
      </c>
      <c r="G36" s="8" t="str">
        <f>'Components Data Source'!G36</f>
        <v xml:space="preserve">COMMS: INTERFACE </v>
      </c>
      <c r="H36" s="8">
        <f>'Components Data Source'!H36</f>
        <v>0</v>
      </c>
      <c r="I36" s="8" t="str">
        <f>'Components Data Source'!I36</f>
        <v xml:space="preserve">CAN SPI </v>
      </c>
      <c r="J36" s="8">
        <f>'Components Data Source'!J36</f>
        <v>1</v>
      </c>
      <c r="K36" s="8">
        <f>'Components Data Source'!K36</f>
        <v>1</v>
      </c>
      <c r="L36" s="8">
        <f>'Components Data Source'!L36</f>
        <v>1</v>
      </c>
      <c r="M36" s="8" t="s">
        <v>1727</v>
      </c>
      <c r="N36" s="17" t="str">
        <f>HYPERLINK('Components Data Source'!M36)</f>
        <v>https://www.flowcode.co.uk/wiki/index.php?title=Component:_ID_da332928_6342_4c2c_afc7_eaf33917d33e</v>
      </c>
      <c r="O36" s="8" t="s">
        <v>1721</v>
      </c>
      <c r="P36" s="8"/>
      <c r="Q36" s="8" t="str">
        <f t="shared" si="2"/>
        <v/>
      </c>
      <c r="R36" s="1" t="s">
        <v>1721</v>
      </c>
      <c r="S36" s="1" t="s">
        <v>1721</v>
      </c>
      <c r="T36" s="1" t="s">
        <v>1721</v>
      </c>
      <c r="U36" s="1" t="s">
        <v>1721</v>
      </c>
      <c r="V36" s="1" t="s">
        <v>1731</v>
      </c>
      <c r="W36" s="1" t="s">
        <v>1180</v>
      </c>
      <c r="X36" s="1" t="s">
        <v>1721</v>
      </c>
      <c r="Y36" s="8" t="s">
        <v>1721</v>
      </c>
      <c r="Z36" s="18">
        <f t="shared" si="1"/>
        <v>1</v>
      </c>
      <c r="AA36" s="8"/>
      <c r="AB36" s="7"/>
      <c r="AC36" s="7"/>
      <c r="AD36" s="8" t="s">
        <v>1721</v>
      </c>
      <c r="AE36" s="8" t="s">
        <v>1721</v>
      </c>
      <c r="AF36" s="8" t="s">
        <v>1721</v>
      </c>
      <c r="AG36" s="8" t="s">
        <v>1721</v>
      </c>
      <c r="AH36" s="47"/>
      <c r="AI36" s="47">
        <f>VLOOKUP(B36,'Components Usage'!A$2:C$603,3,FALSE)</f>
        <v>67</v>
      </c>
      <c r="AJ36" s="28" t="s">
        <v>2401</v>
      </c>
    </row>
    <row r="37" spans="1:36" hidden="1" x14ac:dyDescent="0.25">
      <c r="A37" s="16" t="str">
        <f>'Components Data Source'!A37</f>
        <v>CNC Machine</v>
      </c>
      <c r="B37" s="8" t="str">
        <f>'Components Data Source'!B37</f>
        <v>93252F96-A8E5-4D65-8C40-11614BB15B52</v>
      </c>
      <c r="C37" s="41" t="str">
        <f>'Components Data Source'!C37</f>
        <v>CNCMachine.fcpx</v>
      </c>
      <c r="D37" s="8" t="str">
        <f>'Components Data Source'!D37</f>
        <v>Components\IO_Source\mechatronics\Electro Mechanical\CNC Source Files\CNCComponent_v002.fcfx</v>
      </c>
      <c r="E37" s="8" t="str">
        <f>'Components Data Source'!E37</f>
        <v>MODELS</v>
      </c>
      <c r="F37" s="8" t="str">
        <f>'Components Data Source'!F37</f>
        <v>SCENARIOS</v>
      </c>
      <c r="G37" s="8">
        <f>'Components Data Source'!G37</f>
        <v>0</v>
      </c>
      <c r="H37" s="8">
        <f>'Components Data Source'!H37</f>
        <v>0</v>
      </c>
      <c r="I37" s="8">
        <f>'Components Data Source'!I37</f>
        <v>0</v>
      </c>
      <c r="J37" s="8">
        <f>'Components Data Source'!J37</f>
        <v>1</v>
      </c>
      <c r="K37" s="8">
        <f>'Components Data Source'!K37</f>
        <v>0</v>
      </c>
      <c r="L37" s="8">
        <f>'Components Data Source'!L37</f>
        <v>0</v>
      </c>
      <c r="M37" s="8" t="s">
        <v>1727</v>
      </c>
      <c r="N37" s="17" t="str">
        <f>HYPERLINK('Components Data Source'!M37)</f>
        <v>https://www.flowcode.co.uk/wiki/index.php?title=Component:_ID_93252f96_a8e5_4d65_8c40_11614bb15b52</v>
      </c>
      <c r="O37" s="8" t="s">
        <v>1721</v>
      </c>
      <c r="P37" s="8"/>
      <c r="Q37" s="8" t="str">
        <f t="shared" si="2"/>
        <v/>
      </c>
      <c r="R37" s="8" t="s">
        <v>1727</v>
      </c>
      <c r="S37" s="8"/>
      <c r="T37" s="8"/>
      <c r="U37" s="8"/>
      <c r="V37" s="8" t="s">
        <v>1730</v>
      </c>
      <c r="W37" s="8" t="s">
        <v>1730</v>
      </c>
      <c r="X37" s="8"/>
      <c r="Y37" s="8"/>
      <c r="Z37" s="18">
        <f t="shared" si="1"/>
        <v>2</v>
      </c>
      <c r="AA37" s="8"/>
      <c r="AB37" s="7"/>
      <c r="AC37" s="7"/>
      <c r="AD37" s="8" t="s">
        <v>1721</v>
      </c>
      <c r="AE37" s="27" t="s">
        <v>1721</v>
      </c>
      <c r="AF37" s="8" t="s">
        <v>2401</v>
      </c>
      <c r="AG37" s="8" t="s">
        <v>3631</v>
      </c>
      <c r="AH37" s="47"/>
      <c r="AI37" s="47">
        <f>VLOOKUP(B37,'Components Usage'!A$2:C$603,3,FALSE)</f>
        <v>3</v>
      </c>
      <c r="AJ37" s="28" t="s">
        <v>2401</v>
      </c>
    </row>
    <row r="38" spans="1:36" x14ac:dyDescent="0.25">
      <c r="A38" s="16" t="str">
        <f>'Components Data Source'!A38</f>
        <v>COM Port</v>
      </c>
      <c r="B38" s="8" t="str">
        <f>'Components Data Source'!B38</f>
        <v>CBB3C28E-2D73-4442-AC52-23A3B45D9870</v>
      </c>
      <c r="C38" s="41" t="str">
        <f>'Components Data Source'!C38</f>
        <v>COMPort.fcpx</v>
      </c>
      <c r="D38" s="8" t="str">
        <f>'Components Data Source'!D38</f>
        <v>Components\IO_Source\Serial_DLL.fcfx</v>
      </c>
      <c r="E38" s="8" t="str">
        <f>'Components Data Source'!E38</f>
        <v>FREE</v>
      </c>
      <c r="F38" s="8" t="str">
        <f>'Components Data Source'!F38</f>
        <v>RUNTIME TOOLS</v>
      </c>
      <c r="G38" s="8" t="str">
        <f>'Components Data Source'!G38</f>
        <v xml:space="preserve">COMMS: INTERFACE </v>
      </c>
      <c r="H38" s="8">
        <f>'Components Data Source'!H38</f>
        <v>0</v>
      </c>
      <c r="I38" s="8">
        <f>'Components Data Source'!I38</f>
        <v>0</v>
      </c>
      <c r="J38" s="8">
        <f>'Components Data Source'!J38</f>
        <v>1</v>
      </c>
      <c r="K38" s="8">
        <f>'Components Data Source'!K38</f>
        <v>1</v>
      </c>
      <c r="L38" s="8">
        <f>'Components Data Source'!L38</f>
        <v>1</v>
      </c>
      <c r="M38" s="8" t="s">
        <v>1727</v>
      </c>
      <c r="N38" s="17" t="str">
        <f>HYPERLINK('Components Data Source'!M38)</f>
        <v>https://www.flowcode.co.uk/wiki/index.php?title=Component:_ID_cbb3c28e_2d73_4442_ac52_23a3b45d9870</v>
      </c>
      <c r="O38" s="8" t="s">
        <v>1721</v>
      </c>
      <c r="P38" s="8"/>
      <c r="Q38" s="8" t="str">
        <f t="shared" si="2"/>
        <v/>
      </c>
      <c r="R38" s="1" t="s">
        <v>1721</v>
      </c>
      <c r="S38" s="1" t="s">
        <v>1721</v>
      </c>
      <c r="T38" s="1" t="s">
        <v>1721</v>
      </c>
      <c r="U38" s="1" t="s">
        <v>1721</v>
      </c>
      <c r="V38" s="1" t="s">
        <v>1731</v>
      </c>
      <c r="W38" s="1" t="s">
        <v>1731</v>
      </c>
      <c r="X38" s="1" t="s">
        <v>1721</v>
      </c>
      <c r="Y38" s="8" t="s">
        <v>1721</v>
      </c>
      <c r="Z38" s="18">
        <f t="shared" si="1"/>
        <v>1</v>
      </c>
      <c r="AA38" s="8"/>
      <c r="AB38" s="7"/>
      <c r="AC38" s="7"/>
      <c r="AD38" s="8" t="s">
        <v>1721</v>
      </c>
      <c r="AE38" s="8" t="s">
        <v>1721</v>
      </c>
      <c r="AF38" s="8" t="s">
        <v>2401</v>
      </c>
      <c r="AG38" s="8" t="s">
        <v>1721</v>
      </c>
      <c r="AH38" s="47"/>
      <c r="AI38" s="47">
        <f>VLOOKUP(B38,'Components Usage'!A$2:C$603,3,FALSE)</f>
        <v>39</v>
      </c>
      <c r="AJ38" s="28" t="s">
        <v>1721</v>
      </c>
    </row>
    <row r="39" spans="1:36" x14ac:dyDescent="0.25">
      <c r="A39" s="16" t="str">
        <f>'Components Data Source'!A39</f>
        <v>CSV Read/Write</v>
      </c>
      <c r="B39" s="8" t="str">
        <f>'Components Data Source'!B39</f>
        <v>7D0C33A1-0AAA-4250-84BB-F96FC113ABAC</v>
      </c>
      <c r="C39" s="41" t="str">
        <f>'Components Data Source'!C39</f>
        <v>CSV_Writer.fcpx</v>
      </c>
      <c r="D39" s="8" t="str">
        <f>'Components Data Source'!D39</f>
        <v>Components\IO_Source\SCADA\CSV_Writer.fcfx</v>
      </c>
      <c r="E39" s="8" t="str">
        <f>'Components Data Source'!E39</f>
        <v>FREE</v>
      </c>
      <c r="F39" s="8" t="str">
        <f>'Components Data Source'!F39</f>
        <v>RUNTIME TOOLS</v>
      </c>
      <c r="G39" s="8" t="str">
        <f>'Components Data Source'!G39</f>
        <v xml:space="preserve">STORAGE </v>
      </c>
      <c r="H39" s="8">
        <f>'Components Data Source'!H39</f>
        <v>0</v>
      </c>
      <c r="I39" s="8">
        <f>'Components Data Source'!I39</f>
        <v>0</v>
      </c>
      <c r="J39" s="8">
        <f>'Components Data Source'!J39</f>
        <v>1</v>
      </c>
      <c r="K39" s="8">
        <f>'Components Data Source'!K39</f>
        <v>1</v>
      </c>
      <c r="L39" s="8">
        <f>'Components Data Source'!L39</f>
        <v>1</v>
      </c>
      <c r="M39" s="8" t="s">
        <v>1727</v>
      </c>
      <c r="N39" s="17" t="str">
        <f>HYPERLINK('Components Data Source'!M39)</f>
        <v>https://www.flowcode.co.uk/wiki/index.php?title=Component:_ID_7d0c33a1_0aaa_4250_84bb_f96fc113abac</v>
      </c>
      <c r="O39" s="8" t="s">
        <v>1721</v>
      </c>
      <c r="P39" s="8"/>
      <c r="Q39" s="8" t="str">
        <f t="shared" si="2"/>
        <v/>
      </c>
      <c r="R39" s="8" t="s">
        <v>1721</v>
      </c>
      <c r="S39" s="8" t="s">
        <v>1721</v>
      </c>
      <c r="T39" s="8" t="s">
        <v>1727</v>
      </c>
      <c r="U39" s="8" t="s">
        <v>1721</v>
      </c>
      <c r="V39" s="8" t="s">
        <v>1731</v>
      </c>
      <c r="W39" s="8" t="s">
        <v>1731</v>
      </c>
      <c r="X39" s="8" t="s">
        <v>1721</v>
      </c>
      <c r="Y39" s="8" t="s">
        <v>1721</v>
      </c>
      <c r="Z39" s="18">
        <f t="shared" si="1"/>
        <v>1</v>
      </c>
      <c r="AA39" s="8"/>
      <c r="AB39" s="7"/>
      <c r="AC39" s="7"/>
      <c r="AD39" s="8" t="s">
        <v>1721</v>
      </c>
      <c r="AE39" s="8" t="s">
        <v>1721</v>
      </c>
      <c r="AF39" s="8" t="s">
        <v>2401</v>
      </c>
      <c r="AG39" s="8" t="s">
        <v>1721</v>
      </c>
      <c r="AH39" s="47"/>
      <c r="AI39" s="47">
        <f>VLOOKUP(B39,'Components Usage'!A$2:C$603,3,FALSE)</f>
        <v>15</v>
      </c>
      <c r="AJ39" s="28" t="s">
        <v>2401</v>
      </c>
    </row>
    <row r="40" spans="1:36" hidden="1" x14ac:dyDescent="0.25">
      <c r="A40" s="16" t="str">
        <f>'Components Data Source'!A40</f>
        <v>Car Seat</v>
      </c>
      <c r="B40" s="8" t="str">
        <f>'Components Data Source'!B40</f>
        <v>FDE30DE0-35ED-40CA-937A-88DA6409C1D2</v>
      </c>
      <c r="C40" s="41" t="str">
        <f>'Components Data Source'!C40</f>
        <v>CarSeat.fcpx</v>
      </c>
      <c r="D40" s="8" t="str">
        <f>'Components Data Source'!D40</f>
        <v>Components\IO_Source\mechatronics\Electro Mechanical\Car Seat Source Files\CarSeatSource_v004.fcfx</v>
      </c>
      <c r="E40" s="8" t="str">
        <f>'Components Data Source'!E40</f>
        <v>MODELS</v>
      </c>
      <c r="F40" s="8" t="str">
        <f>'Components Data Source'!F40</f>
        <v>SCENARIOS</v>
      </c>
      <c r="G40" s="8">
        <f>'Components Data Source'!G40</f>
        <v>0</v>
      </c>
      <c r="H40" s="8">
        <f>'Components Data Source'!H40</f>
        <v>0</v>
      </c>
      <c r="I40" s="8">
        <f>'Components Data Source'!I40</f>
        <v>0</v>
      </c>
      <c r="J40" s="8">
        <f>'Components Data Source'!J40</f>
        <v>1</v>
      </c>
      <c r="K40" s="8">
        <f>'Components Data Source'!K40</f>
        <v>0</v>
      </c>
      <c r="L40" s="8">
        <f>'Components Data Source'!L40</f>
        <v>0</v>
      </c>
      <c r="M40" s="8" t="s">
        <v>1727</v>
      </c>
      <c r="N40" s="17" t="str">
        <f>HYPERLINK('Components Data Source'!M40)</f>
        <v>https://www.flowcode.co.uk/wiki/index.php?title=Component:_ID_fde30de0_35ed_40ca_937a_88da6409c1d2</v>
      </c>
      <c r="O40" s="8" t="s">
        <v>1721</v>
      </c>
      <c r="P40" s="8"/>
      <c r="Q40" s="8" t="str">
        <f t="shared" si="2"/>
        <v/>
      </c>
      <c r="R40" s="8" t="s">
        <v>1727</v>
      </c>
      <c r="S40" s="8"/>
      <c r="T40" s="8"/>
      <c r="U40" s="8"/>
      <c r="V40" s="8" t="s">
        <v>1730</v>
      </c>
      <c r="W40" s="8" t="s">
        <v>1730</v>
      </c>
      <c r="X40" s="8"/>
      <c r="Y40" s="8"/>
      <c r="Z40" s="18">
        <f t="shared" si="1"/>
        <v>2</v>
      </c>
      <c r="AA40" s="8"/>
      <c r="AB40" s="7"/>
      <c r="AC40" s="7"/>
      <c r="AD40" s="8" t="s">
        <v>1721</v>
      </c>
      <c r="AE40" s="8" t="s">
        <v>1721</v>
      </c>
      <c r="AF40" s="8" t="s">
        <v>1727</v>
      </c>
      <c r="AG40" s="8" t="s">
        <v>1721</v>
      </c>
      <c r="AH40" s="47"/>
      <c r="AI40" s="47">
        <f>VLOOKUP(B40,'Components Usage'!A$2:C$603,3,FALSE)</f>
        <v>1</v>
      </c>
      <c r="AJ40" s="28" t="s">
        <v>2401</v>
      </c>
    </row>
    <row r="41" spans="1:36" x14ac:dyDescent="0.25">
      <c r="A41" s="16" t="str">
        <f>'Components Data Source'!A41</f>
        <v>XY Chart</v>
      </c>
      <c r="B41" s="8" t="str">
        <f>'Components Data Source'!B41</f>
        <v>0187D13D-8822-4E75-AB22-474C7058EBE4</v>
      </c>
      <c r="C41" s="41" t="str">
        <f>'Components Data Source'!C41</f>
        <v>Chart_XY.fcpx</v>
      </c>
      <c r="D41" s="8" t="str">
        <f>'Components Data Source'!D41</f>
        <v>Components\IO_Source\2dGDI\ChartXY.fcfx</v>
      </c>
      <c r="E41" s="8" t="str">
        <f>'Components Data Source'!E41</f>
        <v>FREE</v>
      </c>
      <c r="F41" s="8" t="str">
        <f>'Components Data Source'!F41</f>
        <v>CHARTS</v>
      </c>
      <c r="G41" s="8" t="str">
        <f>'Components Data Source'!G41</f>
        <v xml:space="preserve">CHARTS </v>
      </c>
      <c r="H41" s="8">
        <f>'Components Data Source'!H41</f>
        <v>0</v>
      </c>
      <c r="I41" s="8">
        <f>'Components Data Source'!I41</f>
        <v>0</v>
      </c>
      <c r="J41" s="8">
        <f>'Components Data Source'!J41</f>
        <v>1</v>
      </c>
      <c r="K41" s="8">
        <f>'Components Data Source'!K41</f>
        <v>1</v>
      </c>
      <c r="L41" s="8">
        <f>'Components Data Source'!L41</f>
        <v>1</v>
      </c>
      <c r="M41" s="8" t="s">
        <v>1727</v>
      </c>
      <c r="N41" s="17" t="str">
        <f>HYPERLINK('Components Data Source'!M41)</f>
        <v>https://www.flowcode.co.uk/wiki/index.php?title=Component:_ID_0187d13d_8822_4e75_ab22_474c7058ebe4</v>
      </c>
      <c r="O41" s="8" t="s">
        <v>1721</v>
      </c>
      <c r="P41" s="8"/>
      <c r="Q41" s="8" t="str">
        <f t="shared" si="2"/>
        <v/>
      </c>
      <c r="R41" s="8" t="s">
        <v>1727</v>
      </c>
      <c r="S41" s="8"/>
      <c r="T41" s="8"/>
      <c r="U41" s="8"/>
      <c r="V41" s="8" t="s">
        <v>1730</v>
      </c>
      <c r="W41" s="8" t="s">
        <v>1730</v>
      </c>
      <c r="X41" s="8"/>
      <c r="Y41" s="8"/>
      <c r="Z41" s="18">
        <f t="shared" si="1"/>
        <v>2</v>
      </c>
      <c r="AA41" s="8"/>
      <c r="AB41" s="7"/>
      <c r="AC41" s="7"/>
      <c r="AD41" s="8" t="s">
        <v>1727</v>
      </c>
      <c r="AE41" s="8" t="s">
        <v>1727</v>
      </c>
      <c r="AF41" s="8" t="s">
        <v>2401</v>
      </c>
      <c r="AG41" s="8" t="s">
        <v>1721</v>
      </c>
      <c r="AH41" s="47"/>
      <c r="AI41" s="47">
        <f>VLOOKUP(B41,'Components Usage'!A$2:C$603,3,FALSE)</f>
        <v>36</v>
      </c>
      <c r="AJ41" s="28"/>
    </row>
    <row r="42" spans="1:36" x14ac:dyDescent="0.25">
      <c r="A42" s="16" t="str">
        <f>'Components Data Source'!A42</f>
        <v>Target Chip</v>
      </c>
      <c r="B42" s="8" t="str">
        <f>'Components Data Source'!B42</f>
        <v>3D632CD0-B8CB-4CA0-8F7A-59F88AC02FA3</v>
      </c>
      <c r="C42" s="41" t="str">
        <f>'Components Data Source'!C42</f>
        <v>ChipComponent.fcpx</v>
      </c>
      <c r="D42" s="8" t="str">
        <f>'Components Data Source'!D42</f>
        <v>Components\IO_Source\ChipComponent.fcfx</v>
      </c>
      <c r="E42" s="8" t="str">
        <f>'Components Data Source'!E42</f>
        <v>FREE</v>
      </c>
      <c r="F42" s="8" t="str">
        <f>'Components Data Source'!F42</f>
        <v>ADVANCED SHAPES</v>
      </c>
      <c r="G42" s="8">
        <f>'Components Data Source'!G42</f>
        <v>0</v>
      </c>
      <c r="H42" s="8">
        <f>'Components Data Source'!H42</f>
        <v>0</v>
      </c>
      <c r="I42" s="8">
        <f>'Components Data Source'!I42</f>
        <v>0</v>
      </c>
      <c r="J42" s="8">
        <f>'Components Data Source'!J42</f>
        <v>1</v>
      </c>
      <c r="K42" s="8">
        <f>'Components Data Source'!K42</f>
        <v>0</v>
      </c>
      <c r="L42" s="8">
        <f>'Components Data Source'!L42</f>
        <v>0</v>
      </c>
      <c r="M42" s="8" t="s">
        <v>1727</v>
      </c>
      <c r="N42" s="17" t="str">
        <f>HYPERLINK('Components Data Source'!M42)</f>
        <v>https://www.flowcode.co.uk/wiki/index.php?title=Component:_ID_3d632cd0_b8cb_4ca0_8f7a_59f88ac02fa3</v>
      </c>
      <c r="O42" s="8" t="s">
        <v>1721</v>
      </c>
      <c r="P42" s="8"/>
      <c r="Q42" s="8" t="str">
        <f t="shared" si="2"/>
        <v/>
      </c>
      <c r="R42" s="8" t="s">
        <v>1727</v>
      </c>
      <c r="S42" s="8"/>
      <c r="T42" s="8"/>
      <c r="U42" s="8"/>
      <c r="V42" s="8" t="s">
        <v>1730</v>
      </c>
      <c r="W42" s="8" t="s">
        <v>1730</v>
      </c>
      <c r="X42" s="8"/>
      <c r="Y42" s="8"/>
      <c r="Z42" s="18">
        <f t="shared" si="1"/>
        <v>2</v>
      </c>
      <c r="AA42" s="8"/>
      <c r="AB42" s="7"/>
      <c r="AC42" s="7"/>
      <c r="AD42" s="8" t="s">
        <v>1721</v>
      </c>
      <c r="AE42" s="8" t="s">
        <v>1721</v>
      </c>
      <c r="AF42" s="8" t="s">
        <v>2401</v>
      </c>
      <c r="AG42" s="8" t="s">
        <v>2401</v>
      </c>
      <c r="AH42" s="47"/>
      <c r="AI42" s="47">
        <f>VLOOKUP(B42,'Components Usage'!A$2:C$603,3,FALSE)</f>
        <v>24</v>
      </c>
      <c r="AJ42" s="28"/>
    </row>
    <row r="43" spans="1:36" x14ac:dyDescent="0.25">
      <c r="A43" s="16" t="str">
        <f>'Components Data Source'!A43</f>
        <v>Circular Buffer (8-bit)</v>
      </c>
      <c r="B43" s="8" t="str">
        <f>'Components Data Source'!B43</f>
        <v>C34F9B8A-A915-4F75-AD0C-87F2AD670A8A</v>
      </c>
      <c r="C43" s="41" t="str">
        <f>'Components Data Source'!C43</f>
        <v>CircularBuffer.fcpx</v>
      </c>
      <c r="D43" s="8" t="str">
        <f>'Components Data Source'!D43</f>
        <v>Components\IO_Source\Storage\CircularBuffer.fcfx</v>
      </c>
      <c r="E43" s="8" t="str">
        <f>'Components Data Source'!E43</f>
        <v>FREE</v>
      </c>
      <c r="F43" s="8" t="str">
        <f>'Components Data Source'!F43</f>
        <v>STORAGE</v>
      </c>
      <c r="G43" s="8" t="str">
        <f>'Components Data Source'!G43</f>
        <v xml:space="preserve">STORAGE </v>
      </c>
      <c r="H43" s="8">
        <f>'Components Data Source'!H43</f>
        <v>0</v>
      </c>
      <c r="I43" s="8">
        <f>'Components Data Source'!I43</f>
        <v>0</v>
      </c>
      <c r="J43" s="8">
        <f>'Components Data Source'!J43</f>
        <v>1</v>
      </c>
      <c r="K43" s="8">
        <f>'Components Data Source'!K43</f>
        <v>1</v>
      </c>
      <c r="L43" s="8">
        <f>'Components Data Source'!L43</f>
        <v>1</v>
      </c>
      <c r="M43" s="8" t="s">
        <v>1727</v>
      </c>
      <c r="N43" s="17" t="str">
        <f>HYPERLINK('Components Data Source'!M43)</f>
        <v>https://www.flowcode.co.uk/wiki/index.php?title=Component:_ID_c34f9b8a_a915_4f75_ad0c_87f2ad670a8a</v>
      </c>
      <c r="O43" s="8" t="s">
        <v>1721</v>
      </c>
      <c r="P43" s="8" t="s">
        <v>2774</v>
      </c>
      <c r="Q43" s="8" t="str">
        <f t="shared" si="2"/>
        <v/>
      </c>
      <c r="R43" s="8" t="s">
        <v>1721</v>
      </c>
      <c r="S43" s="8" t="s">
        <v>1721</v>
      </c>
      <c r="T43" s="8" t="s">
        <v>1721</v>
      </c>
      <c r="U43" s="8" t="s">
        <v>1721</v>
      </c>
      <c r="V43" s="8" t="s">
        <v>1731</v>
      </c>
      <c r="W43" s="8" t="s">
        <v>1731</v>
      </c>
      <c r="X43" s="8" t="s">
        <v>1721</v>
      </c>
      <c r="Y43" s="8" t="s">
        <v>1721</v>
      </c>
      <c r="Z43" s="18">
        <f t="shared" si="1"/>
        <v>1</v>
      </c>
      <c r="AA43" s="8"/>
      <c r="AB43" s="7"/>
      <c r="AC43" s="7"/>
      <c r="AD43" s="8" t="s">
        <v>1721</v>
      </c>
      <c r="AE43" s="8" t="s">
        <v>1721</v>
      </c>
      <c r="AF43" s="8" t="s">
        <v>2401</v>
      </c>
      <c r="AG43" s="8" t="s">
        <v>1721</v>
      </c>
      <c r="AH43" s="47"/>
      <c r="AI43" s="47">
        <f>VLOOKUP(B43,'Components Usage'!A$2:C$603,3,FALSE)</f>
        <v>134</v>
      </c>
      <c r="AJ43" s="28" t="s">
        <v>1721</v>
      </c>
    </row>
    <row r="44" spans="1:36" hidden="1" x14ac:dyDescent="0.25">
      <c r="A44" s="16" t="str">
        <f>'Components Data Source'!A44</f>
        <v>Circular Buffer (16-bit)</v>
      </c>
      <c r="B44" s="8" t="str">
        <f>'Components Data Source'!B44</f>
        <v>201D99F7-ACF8-481D-A703-61860C2BA3EA</v>
      </c>
      <c r="C44" s="41" t="str">
        <f>'Components Data Source'!C44</f>
        <v>CircularBuffer16.fcpx</v>
      </c>
      <c r="D44" s="8" t="str">
        <f>'Components Data Source'!D44</f>
        <v>Components\IO_Source\Storage\CircularBuffer16.fcfx</v>
      </c>
      <c r="E44" s="8" t="str">
        <f>'Components Data Source'!E44</f>
        <v>STORAGE</v>
      </c>
      <c r="F44" s="8" t="str">
        <f>'Components Data Source'!F44</f>
        <v>STORAGE</v>
      </c>
      <c r="G44" s="8" t="str">
        <f>'Components Data Source'!G44</f>
        <v xml:space="preserve">STORAGE </v>
      </c>
      <c r="H44" s="8">
        <f>'Components Data Source'!H44</f>
        <v>0</v>
      </c>
      <c r="I44" s="8">
        <f>'Components Data Source'!I44</f>
        <v>0</v>
      </c>
      <c r="J44" s="8">
        <f>'Components Data Source'!J44</f>
        <v>1</v>
      </c>
      <c r="K44" s="8">
        <f>'Components Data Source'!K44</f>
        <v>1</v>
      </c>
      <c r="L44" s="8">
        <f>'Components Data Source'!L44</f>
        <v>1</v>
      </c>
      <c r="M44" s="8" t="s">
        <v>1727</v>
      </c>
      <c r="N44" s="17" t="str">
        <f>HYPERLINK('Components Data Source'!M44)</f>
        <v>https://www.flowcode.co.uk/wiki/index.php?title=Component:_ID_201d99f7_acf8_481d_a703_61860c2ba3ea</v>
      </c>
      <c r="O44" s="8" t="s">
        <v>1721</v>
      </c>
      <c r="P44" s="8" t="s">
        <v>2774</v>
      </c>
      <c r="Q44" s="8" t="str">
        <f t="shared" si="2"/>
        <v/>
      </c>
      <c r="R44" s="8" t="s">
        <v>1721</v>
      </c>
      <c r="S44" s="8" t="s">
        <v>1721</v>
      </c>
      <c r="T44" s="8" t="s">
        <v>1737</v>
      </c>
      <c r="U44" s="8" t="s">
        <v>1721</v>
      </c>
      <c r="V44" s="8" t="s">
        <v>1731</v>
      </c>
      <c r="W44" s="8" t="s">
        <v>1731</v>
      </c>
      <c r="X44" s="8" t="s">
        <v>1721</v>
      </c>
      <c r="Y44" s="8" t="s">
        <v>1721</v>
      </c>
      <c r="Z44" s="18">
        <f t="shared" si="1"/>
        <v>1</v>
      </c>
      <c r="AA44" s="8"/>
      <c r="AB44" s="7"/>
      <c r="AC44" s="7"/>
      <c r="AD44" s="8" t="s">
        <v>1721</v>
      </c>
      <c r="AE44" s="8" t="s">
        <v>1727</v>
      </c>
      <c r="AF44" s="8" t="s">
        <v>2401</v>
      </c>
      <c r="AG44" s="8" t="s">
        <v>1727</v>
      </c>
      <c r="AH44" s="47"/>
      <c r="AI44" s="47">
        <f>VLOOKUP(B44,'Components Usage'!A$2:C$603,3,FALSE)</f>
        <v>1</v>
      </c>
      <c r="AJ44" s="28" t="s">
        <v>2401</v>
      </c>
    </row>
    <row r="45" spans="1:36" hidden="1" x14ac:dyDescent="0.25">
      <c r="A45" s="16" t="str">
        <f>'Components Data Source'!A45</f>
        <v>Circular Buffer (Float)</v>
      </c>
      <c r="B45" s="8" t="str">
        <f>'Components Data Source'!B45</f>
        <v>ED491C82-9F85-4627-93CE-D2B588352539</v>
      </c>
      <c r="C45" s="41" t="str">
        <f>'Components Data Source'!C45</f>
        <v>CircularBufferFloat.fcpx</v>
      </c>
      <c r="D45" s="8" t="str">
        <f>'Components Data Source'!D45</f>
        <v>Components\IO_Source\Storage\CircularBufferFloat.fcfx</v>
      </c>
      <c r="E45" s="8" t="str">
        <f>'Components Data Source'!E45</f>
        <v>STORAGE</v>
      </c>
      <c r="F45" s="8" t="str">
        <f>'Components Data Source'!F45</f>
        <v>STORAGE</v>
      </c>
      <c r="G45" s="8" t="str">
        <f>'Components Data Source'!G45</f>
        <v xml:space="preserve">STORAGE </v>
      </c>
      <c r="H45" s="8">
        <f>'Components Data Source'!H45</f>
        <v>0</v>
      </c>
      <c r="I45" s="8">
        <f>'Components Data Source'!I45</f>
        <v>0</v>
      </c>
      <c r="J45" s="8">
        <f>'Components Data Source'!J45</f>
        <v>1</v>
      </c>
      <c r="K45" s="8">
        <f>'Components Data Source'!K45</f>
        <v>1</v>
      </c>
      <c r="L45" s="8">
        <f>'Components Data Source'!L45</f>
        <v>1</v>
      </c>
      <c r="M45" s="8" t="s">
        <v>1727</v>
      </c>
      <c r="N45" s="17" t="str">
        <f>HYPERLINK('Components Data Source'!M45)</f>
        <v>https://www.flowcode.co.uk/wiki/index.php?title=Component:_ID_ed491c82_9f85_4627_93ce_d2b588352539</v>
      </c>
      <c r="O45" s="8" t="s">
        <v>1721</v>
      </c>
      <c r="P45" s="8"/>
      <c r="Q45" s="8" t="str">
        <f t="shared" si="2"/>
        <v/>
      </c>
      <c r="R45" s="8" t="s">
        <v>1721</v>
      </c>
      <c r="S45" s="8" t="s">
        <v>1721</v>
      </c>
      <c r="T45" s="8"/>
      <c r="U45" s="8"/>
      <c r="V45" s="8" t="s">
        <v>1731</v>
      </c>
      <c r="W45" s="8" t="s">
        <v>1731</v>
      </c>
      <c r="X45" s="8" t="s">
        <v>1721</v>
      </c>
      <c r="Y45" s="8" t="s">
        <v>1721</v>
      </c>
      <c r="Z45" s="18">
        <f t="shared" si="1"/>
        <v>1</v>
      </c>
      <c r="AA45" s="8"/>
      <c r="AB45" s="7"/>
      <c r="AC45" s="7"/>
      <c r="AD45" s="8" t="s">
        <v>1721</v>
      </c>
      <c r="AE45" s="8" t="s">
        <v>1727</v>
      </c>
      <c r="AF45" s="8" t="s">
        <v>2401</v>
      </c>
      <c r="AG45" s="8" t="s">
        <v>1727</v>
      </c>
      <c r="AH45" s="47"/>
      <c r="AI45" s="47">
        <f>VLOOKUP(B45,'Components Usage'!A$2:C$603,3,FALSE)</f>
        <v>0</v>
      </c>
      <c r="AJ45" s="28" t="s">
        <v>2401</v>
      </c>
    </row>
    <row r="46" spans="1:36" x14ac:dyDescent="0.25">
      <c r="A46" s="16" t="str">
        <f>'Components Data Source'!A46</f>
        <v>Circular Gauge</v>
      </c>
      <c r="B46" s="8" t="str">
        <f>'Components Data Source'!B46</f>
        <v>995FA4F2-71CE-4D91-AA62-87F731AE7E7D</v>
      </c>
      <c r="C46" s="41" t="str">
        <f>'Components Data Source'!C46</f>
        <v>CircularGauge.fcpx</v>
      </c>
      <c r="D46" s="8" t="str">
        <f>'Components Data Source'!D46</f>
        <v>Components\IO_Source\2dGDI\CircularGauge.fcfx</v>
      </c>
      <c r="E46" s="8" t="str">
        <f>'Components Data Source'!E46</f>
        <v>FREE</v>
      </c>
      <c r="F46" s="8" t="str">
        <f>'Components Data Source'!F46</f>
        <v>INDICATORS</v>
      </c>
      <c r="G46" s="8" t="str">
        <f>'Components Data Source'!G46</f>
        <v xml:space="preserve">INDICATORS </v>
      </c>
      <c r="H46" s="8">
        <f>'Components Data Source'!H46</f>
        <v>0</v>
      </c>
      <c r="I46" s="8">
        <f>'Components Data Source'!I46</f>
        <v>0</v>
      </c>
      <c r="J46" s="8">
        <f>'Components Data Source'!J46</f>
        <v>1</v>
      </c>
      <c r="K46" s="8">
        <f>'Components Data Source'!K46</f>
        <v>1</v>
      </c>
      <c r="L46" s="8">
        <f>'Components Data Source'!L46</f>
        <v>1</v>
      </c>
      <c r="M46" s="8" t="s">
        <v>1727</v>
      </c>
      <c r="N46" s="17" t="str">
        <f>HYPERLINK('Components Data Source'!M46)</f>
        <v>https://www.flowcode.co.uk/wiki/index.php?title=Component:_ID_995fa4f2_71ce_4d91_aa62_87f731ae7e7d</v>
      </c>
      <c r="O46" s="8" t="s">
        <v>1721</v>
      </c>
      <c r="P46" s="8"/>
      <c r="Q46" s="8" t="str">
        <f t="shared" si="2"/>
        <v/>
      </c>
      <c r="R46" s="8" t="s">
        <v>1727</v>
      </c>
      <c r="S46" s="8"/>
      <c r="T46" s="8"/>
      <c r="U46" s="8"/>
      <c r="V46" s="8" t="s">
        <v>1730</v>
      </c>
      <c r="W46" s="8" t="s">
        <v>1730</v>
      </c>
      <c r="X46" s="8"/>
      <c r="Y46" s="8"/>
      <c r="Z46" s="18">
        <f t="shared" si="1"/>
        <v>2</v>
      </c>
      <c r="AA46" s="8"/>
      <c r="AB46" s="7"/>
      <c r="AC46" s="7"/>
      <c r="AD46" s="8" t="s">
        <v>1721</v>
      </c>
      <c r="AE46" s="8" t="s">
        <v>1727</v>
      </c>
      <c r="AF46" s="8" t="s">
        <v>2401</v>
      </c>
      <c r="AG46" s="8" t="s">
        <v>1727</v>
      </c>
      <c r="AH46" s="47"/>
      <c r="AI46" s="47">
        <f>VLOOKUP(B46,'Components Usage'!A$2:C$603,3,FALSE)</f>
        <v>27</v>
      </c>
      <c r="AJ46" s="28" t="s">
        <v>2401</v>
      </c>
    </row>
    <row r="47" spans="1:36" x14ac:dyDescent="0.25">
      <c r="A47" s="16" t="str">
        <f>'Components Data Source'!A47</f>
        <v>Circular Knob</v>
      </c>
      <c r="B47" s="8" t="str">
        <f>'Components Data Source'!B47</f>
        <v>A11AA47B-7C82-4DAD-B62D-B1A263E2A4FE</v>
      </c>
      <c r="C47" s="41" t="str">
        <f>'Components Data Source'!C47</f>
        <v>CircularKnob.fcpx</v>
      </c>
      <c r="D47" s="8" t="str">
        <f>'Components Data Source'!D47</f>
        <v>Components\IO_Source\2dGDI\CircularKnob.fcfx</v>
      </c>
      <c r="E47" s="8" t="str">
        <f>'Components Data Source'!E47</f>
        <v>FREE</v>
      </c>
      <c r="F47" s="8" t="str">
        <f>'Components Data Source'!F47</f>
        <v>CONTROLS</v>
      </c>
      <c r="G47" s="8" t="str">
        <f>'Components Data Source'!G47</f>
        <v xml:space="preserve">CONTROLS </v>
      </c>
      <c r="H47" s="8">
        <f>'Components Data Source'!H47</f>
        <v>0</v>
      </c>
      <c r="I47" s="8">
        <f>'Components Data Source'!I47</f>
        <v>0</v>
      </c>
      <c r="J47" s="8">
        <f>'Components Data Source'!J47</f>
        <v>1</v>
      </c>
      <c r="K47" s="8">
        <f>'Components Data Source'!K47</f>
        <v>1</v>
      </c>
      <c r="L47" s="8">
        <f>'Components Data Source'!L47</f>
        <v>1</v>
      </c>
      <c r="M47" s="8" t="s">
        <v>1727</v>
      </c>
      <c r="N47" s="17" t="str">
        <f>HYPERLINK('Components Data Source'!M47)</f>
        <v>https://www.flowcode.co.uk/wiki/index.php?title=Component:_ID_a11aa47b_7c82_4dad_b62d_b1a263e2a4fe</v>
      </c>
      <c r="O47" s="8" t="s">
        <v>1721</v>
      </c>
      <c r="P47" s="8" t="s">
        <v>2776</v>
      </c>
      <c r="Q47" s="8" t="str">
        <f t="shared" si="2"/>
        <v/>
      </c>
      <c r="R47" s="8" t="s">
        <v>1727</v>
      </c>
      <c r="S47" s="8"/>
      <c r="T47" s="8"/>
      <c r="U47" s="8"/>
      <c r="V47" s="8" t="s">
        <v>1730</v>
      </c>
      <c r="W47" s="8" t="s">
        <v>1730</v>
      </c>
      <c r="X47" s="8"/>
      <c r="Y47" s="8"/>
      <c r="Z47" s="18">
        <f t="shared" si="1"/>
        <v>2</v>
      </c>
      <c r="AA47" s="8"/>
      <c r="AB47" s="7"/>
      <c r="AC47" s="7"/>
      <c r="AD47" s="8" t="s">
        <v>1721</v>
      </c>
      <c r="AE47" s="8" t="s">
        <v>1727</v>
      </c>
      <c r="AF47" s="8" t="s">
        <v>2401</v>
      </c>
      <c r="AG47" s="8" t="s">
        <v>1721</v>
      </c>
      <c r="AH47" s="47"/>
      <c r="AI47" s="47">
        <f>VLOOKUP(B47,'Components Usage'!A$2:C$603,3,FALSE)</f>
        <v>11</v>
      </c>
      <c r="AJ47" s="28" t="s">
        <v>1721</v>
      </c>
    </row>
    <row r="48" spans="1:36" hidden="1" x14ac:dyDescent="0.25">
      <c r="A48" s="16" t="str">
        <f>'Components Data Source'!A48</f>
        <v>Colour Sensor(TCS3200)</v>
      </c>
      <c r="B48" s="8" t="str">
        <f>'Components Data Source'!B48</f>
        <v>D8B85F99-8DE3-41DD-9BAB-F8BFC19E74AF</v>
      </c>
      <c r="C48" s="41" t="str">
        <f>'Components Data Source'!C48</f>
        <v>ColourSensor_TCS3200.fcpx</v>
      </c>
      <c r="D48" s="8" t="str">
        <f>'Components Data Source'!D48</f>
        <v>Components\IO_Source\Sensors\Colour_TCS3200.fcfx</v>
      </c>
      <c r="E48" s="8" t="str">
        <f>'Components Data Source'!E48</f>
        <v>SENSORS</v>
      </c>
      <c r="F48" s="8" t="str">
        <f>'Components Data Source'!F48</f>
        <v>LIGHT</v>
      </c>
      <c r="G48" s="8">
        <f>'Components Data Source'!G48</f>
        <v>0</v>
      </c>
      <c r="H48" s="8">
        <f>'Components Data Source'!H48</f>
        <v>0</v>
      </c>
      <c r="I48" s="8">
        <f>'Components Data Source'!I48</f>
        <v>0</v>
      </c>
      <c r="J48" s="8">
        <f>'Components Data Source'!J48</f>
        <v>1</v>
      </c>
      <c r="K48" s="8">
        <f>'Components Data Source'!K48</f>
        <v>1</v>
      </c>
      <c r="L48" s="8">
        <f>'Components Data Source'!L48</f>
        <v>0</v>
      </c>
      <c r="M48" s="8" t="s">
        <v>1727</v>
      </c>
      <c r="N48" s="17" t="str">
        <f>HYPERLINK('Components Data Source'!M48)</f>
        <v>https://www.flowcode.co.uk/wiki/index.php?title=Component:_ID_d8b85f99_8de3_41dd_9bab_f8bfc19e74af</v>
      </c>
      <c r="O48" s="8" t="s">
        <v>1721</v>
      </c>
      <c r="P48" s="8"/>
      <c r="Q48" s="8" t="str">
        <f t="shared" si="2"/>
        <v/>
      </c>
      <c r="R48" s="8" t="s">
        <v>1727</v>
      </c>
      <c r="S48" s="8"/>
      <c r="T48" s="8"/>
      <c r="U48" s="8"/>
      <c r="V48" s="8" t="s">
        <v>1731</v>
      </c>
      <c r="W48" s="8" t="s">
        <v>1731</v>
      </c>
      <c r="X48" s="8"/>
      <c r="Y48" s="8"/>
      <c r="Z48" s="18">
        <f t="shared" si="1"/>
        <v>2</v>
      </c>
      <c r="AA48" s="8"/>
      <c r="AB48" s="7"/>
      <c r="AC48" s="7"/>
      <c r="AD48" s="8" t="s">
        <v>1721</v>
      </c>
      <c r="AE48" s="8" t="s">
        <v>1721</v>
      </c>
      <c r="AF48" s="8" t="s">
        <v>1727</v>
      </c>
      <c r="AG48" s="8" t="s">
        <v>1727</v>
      </c>
      <c r="AH48" s="47"/>
      <c r="AI48" s="47">
        <f>VLOOKUP(B48,'Components Usage'!A$2:C$603,3,FALSE)</f>
        <v>0</v>
      </c>
      <c r="AJ48" s="28" t="s">
        <v>2401</v>
      </c>
    </row>
    <row r="49" spans="1:36" x14ac:dyDescent="0.25">
      <c r="A49" s="16" t="str">
        <f>'Components Data Source'!A49</f>
        <v>Column Chart</v>
      </c>
      <c r="B49" s="8" t="str">
        <f>'Components Data Source'!B49</f>
        <v>BA8897FE-8349-47B3-9072-E823E74131AF</v>
      </c>
      <c r="C49" s="41" t="str">
        <f>'Components Data Source'!C49</f>
        <v>ColumnChart.fcpx</v>
      </c>
      <c r="D49" s="8" t="str">
        <f>'Components Data Source'!D49</f>
        <v>Components\IO_Source\2dGDI\ChartColumn.fcfx</v>
      </c>
      <c r="E49" s="8" t="str">
        <f>'Components Data Source'!E49</f>
        <v>FREE</v>
      </c>
      <c r="F49" s="8" t="str">
        <f>'Components Data Source'!F49</f>
        <v>CHARTS</v>
      </c>
      <c r="G49" s="8" t="str">
        <f>'Components Data Source'!G49</f>
        <v xml:space="preserve">CHARTS </v>
      </c>
      <c r="H49" s="8">
        <f>'Components Data Source'!H49</f>
        <v>0</v>
      </c>
      <c r="I49" s="8">
        <f>'Components Data Source'!I49</f>
        <v>0</v>
      </c>
      <c r="J49" s="8">
        <f>'Components Data Source'!J49</f>
        <v>1</v>
      </c>
      <c r="K49" s="8">
        <f>'Components Data Source'!K49</f>
        <v>1</v>
      </c>
      <c r="L49" s="8">
        <f>'Components Data Source'!L49</f>
        <v>1</v>
      </c>
      <c r="M49" s="8" t="s">
        <v>1727</v>
      </c>
      <c r="N49" s="17" t="str">
        <f>HYPERLINK('Components Data Source'!M49)</f>
        <v>https://www.flowcode.co.uk/wiki/index.php?title=Component:_ID_ba8897fe_8349_47b3_9072_e823e74131af</v>
      </c>
      <c r="O49" s="8" t="s">
        <v>1721</v>
      </c>
      <c r="P49" s="8"/>
      <c r="Q49" s="8" t="str">
        <f t="shared" si="2"/>
        <v/>
      </c>
      <c r="R49" s="8" t="s">
        <v>1727</v>
      </c>
      <c r="S49" s="8"/>
      <c r="T49" s="8"/>
      <c r="U49" s="8"/>
      <c r="V49" s="8" t="s">
        <v>1730</v>
      </c>
      <c r="W49" s="8" t="s">
        <v>1730</v>
      </c>
      <c r="X49" s="8"/>
      <c r="Y49" s="8"/>
      <c r="Z49" s="18">
        <f t="shared" si="1"/>
        <v>2</v>
      </c>
      <c r="AA49" s="8"/>
      <c r="AB49" s="7"/>
      <c r="AC49" s="7"/>
      <c r="AD49" s="8" t="s">
        <v>1727</v>
      </c>
      <c r="AE49" s="8"/>
      <c r="AF49" s="8" t="s">
        <v>2401</v>
      </c>
      <c r="AG49" s="8" t="s">
        <v>1727</v>
      </c>
      <c r="AH49" s="47"/>
      <c r="AI49" s="47">
        <f>VLOOKUP(B49,'Components Usage'!A$2:C$603,3,FALSE)</f>
        <v>7</v>
      </c>
      <c r="AJ49" s="28"/>
    </row>
    <row r="50" spans="1:36" x14ac:dyDescent="0.25">
      <c r="A50" s="16" t="str">
        <f>'Components Data Source'!A50</f>
        <v>Combo Board(EB083)</v>
      </c>
      <c r="B50" s="8" t="str">
        <f>'Components Data Source'!B50</f>
        <v>9A7D4E50-8D7E-4C5E-9A93-7948AB47EDAD</v>
      </c>
      <c r="C50" s="41" t="str">
        <f>'Components Data Source'!C50</f>
        <v>ComboBoard.fcpx</v>
      </c>
      <c r="D50" s="8" t="str">
        <f>'Components Data Source'!D50</f>
        <v>Components\IO_Source\ComboBoard\EB086 DEMO.fcfx</v>
      </c>
      <c r="E50" s="8" t="str">
        <f>'Components Data Source'!E50</f>
        <v>FREE</v>
      </c>
      <c r="F50" s="8" t="str">
        <f>'Components Data Source'!F50</f>
        <v>E-BLOCKS 1</v>
      </c>
      <c r="G50" s="8">
        <f>'Components Data Source'!G50</f>
        <v>0</v>
      </c>
      <c r="H50" s="8">
        <f>'Components Data Source'!H50</f>
        <v>0</v>
      </c>
      <c r="I50" s="8">
        <f>'Components Data Source'!I50</f>
        <v>0</v>
      </c>
      <c r="J50" s="8">
        <f>'Components Data Source'!J50</f>
        <v>1</v>
      </c>
      <c r="K50" s="8">
        <f>'Components Data Source'!K50</f>
        <v>1</v>
      </c>
      <c r="L50" s="8">
        <f>'Components Data Source'!L50</f>
        <v>0</v>
      </c>
      <c r="M50" s="8" t="s">
        <v>1727</v>
      </c>
      <c r="N50" s="17" t="str">
        <f>HYPERLINK('Components Data Source'!M50)</f>
        <v>https://www.flowcode.co.uk/wiki/index.php?title=Component:_ID_9a7d4e50_8d7e_4c5e_9a93_7948ab47edad</v>
      </c>
      <c r="O50" s="8" t="s">
        <v>2590</v>
      </c>
      <c r="P50" s="8" t="s">
        <v>2772</v>
      </c>
      <c r="Q50" s="8" t="str">
        <f t="shared" si="2"/>
        <v/>
      </c>
      <c r="R50" s="8" t="s">
        <v>1727</v>
      </c>
      <c r="S50" s="8"/>
      <c r="T50" s="8"/>
      <c r="U50" s="8"/>
      <c r="V50" s="8" t="s">
        <v>1730</v>
      </c>
      <c r="W50" s="8" t="s">
        <v>1730</v>
      </c>
      <c r="X50" s="8"/>
      <c r="Y50" s="8"/>
      <c r="Z50" s="18">
        <f t="shared" si="1"/>
        <v>2</v>
      </c>
      <c r="AA50" s="8"/>
      <c r="AB50" s="7" t="s">
        <v>2471</v>
      </c>
      <c r="AC50" s="7"/>
      <c r="AD50" s="8" t="s">
        <v>1721</v>
      </c>
      <c r="AE50" s="8" t="s">
        <v>1721</v>
      </c>
      <c r="AF50" s="8" t="s">
        <v>2401</v>
      </c>
      <c r="AG50" s="8" t="s">
        <v>3632</v>
      </c>
      <c r="AH50" s="47"/>
      <c r="AI50" s="47">
        <f>VLOOKUP(B50,'Components Usage'!A$2:C$603,3,FALSE)</f>
        <v>12</v>
      </c>
      <c r="AJ50" s="28" t="s">
        <v>2401</v>
      </c>
    </row>
    <row r="51" spans="1:36" x14ac:dyDescent="0.25">
      <c r="A51" s="16" t="str">
        <f>'Components Data Source'!A51</f>
        <v>Combo(BL0114)</v>
      </c>
      <c r="B51" s="8" t="str">
        <f>'Components Data Source'!B51</f>
        <v>D4C04AC8-BBCD-4981-8CE6-9D6C9BB1E26A</v>
      </c>
      <c r="C51" s="41" t="str">
        <f>'Components Data Source'!C51</f>
        <v>ComboBoardBL0114.fcpx</v>
      </c>
      <c r="D51" s="8" t="str">
        <f>'Components Data Source'!D51</f>
        <v>Components\IO_Source\EB2\EBlocks2_COMBO_BL0114.fcfx</v>
      </c>
      <c r="E51" s="8" t="str">
        <f>'Components Data Source'!E51</f>
        <v>FREE</v>
      </c>
      <c r="F51" s="8" t="str">
        <f>'Components Data Source'!F51</f>
        <v>E-BLOCKS 2</v>
      </c>
      <c r="G51" s="8">
        <f>'Components Data Source'!G51</f>
        <v>0</v>
      </c>
      <c r="H51" s="8">
        <f>'Components Data Source'!H51</f>
        <v>0</v>
      </c>
      <c r="I51" s="8">
        <f>'Components Data Source'!I51</f>
        <v>0</v>
      </c>
      <c r="J51" s="8">
        <f>'Components Data Source'!J51</f>
        <v>1</v>
      </c>
      <c r="K51" s="8">
        <f>'Components Data Source'!K51</f>
        <v>1</v>
      </c>
      <c r="L51" s="8">
        <f>'Components Data Source'!L51</f>
        <v>0</v>
      </c>
      <c r="M51" s="8" t="s">
        <v>1727</v>
      </c>
      <c r="N51" s="17" t="str">
        <f>HYPERLINK('Components Data Source'!M51)</f>
        <v>https://www.flowcode.co.uk/wiki/index.php?title=Component:_ID_d4c04ac8_bbcd_4981_8ce6_9d6c9bb1e26a</v>
      </c>
      <c r="O51" s="8" t="s">
        <v>2589</v>
      </c>
      <c r="P51" s="8"/>
      <c r="Q51" s="8" t="str">
        <f t="shared" si="2"/>
        <v/>
      </c>
      <c r="R51" s="8" t="s">
        <v>1727</v>
      </c>
      <c r="S51" s="8"/>
      <c r="T51" s="8"/>
      <c r="U51" s="8"/>
      <c r="V51" s="8" t="s">
        <v>1730</v>
      </c>
      <c r="W51" s="8" t="s">
        <v>1730</v>
      </c>
      <c r="X51" s="8"/>
      <c r="Y51" s="8"/>
      <c r="Z51" s="18">
        <f t="shared" si="1"/>
        <v>2</v>
      </c>
      <c r="AA51" s="8"/>
      <c r="AB51" s="7" t="s">
        <v>2472</v>
      </c>
      <c r="AC51" s="7"/>
      <c r="AD51" s="8" t="s">
        <v>1721</v>
      </c>
      <c r="AE51" s="8" t="s">
        <v>1727</v>
      </c>
      <c r="AF51" s="8" t="s">
        <v>2401</v>
      </c>
      <c r="AG51" s="8" t="s">
        <v>1727</v>
      </c>
      <c r="AH51" s="47"/>
      <c r="AI51" s="47">
        <f>VLOOKUP(B51,'Components Usage'!A$2:C$603,3,FALSE)</f>
        <v>61</v>
      </c>
      <c r="AJ51" s="28" t="s">
        <v>2401</v>
      </c>
    </row>
    <row r="52" spans="1:36" ht="30" x14ac:dyDescent="0.25">
      <c r="A52" s="16" t="str">
        <f>'Components Data Source'!A52</f>
        <v>Panel Console Viewer</v>
      </c>
      <c r="B52" s="8" t="str">
        <f>'Components Data Source'!B52</f>
        <v>06DB27A4-C20A-4371-B05E-7CDB55556859</v>
      </c>
      <c r="C52" s="41" t="str">
        <f>'Components Data Source'!C52</f>
        <v>ConsoleTextViewer.fcpx</v>
      </c>
      <c r="D52" s="8" t="str">
        <f>'Components Data Source'!D52</f>
        <v>Components\IO_Source\SCADA\ConsoleText.fcfx</v>
      </c>
      <c r="E52" s="8" t="str">
        <f>'Components Data Source'!E52</f>
        <v>FREE</v>
      </c>
      <c r="F52" s="8" t="str">
        <f>'Components Data Source'!F52</f>
        <v>RUNTIME TOOLS</v>
      </c>
      <c r="G52" s="8" t="str">
        <f>'Components Data Source'!G52</f>
        <v xml:space="preserve">INDICATORS </v>
      </c>
      <c r="H52" s="8">
        <f>'Components Data Source'!H52</f>
        <v>0</v>
      </c>
      <c r="I52" s="8">
        <f>'Components Data Source'!I52</f>
        <v>0</v>
      </c>
      <c r="J52" s="8">
        <f>'Components Data Source'!J52</f>
        <v>1</v>
      </c>
      <c r="K52" s="8">
        <f>'Components Data Source'!K52</f>
        <v>1</v>
      </c>
      <c r="L52" s="8">
        <f>'Components Data Source'!L52</f>
        <v>1</v>
      </c>
      <c r="M52" s="8" t="s">
        <v>1727</v>
      </c>
      <c r="N52" s="17" t="str">
        <f>HYPERLINK('Components Data Source'!M52)</f>
        <v>https://www.flowcode.co.uk/wiki/index.php?title=Component:_ID_06db27a4_c20a_4371_b05e_7cdb55556859</v>
      </c>
      <c r="O52" s="8" t="s">
        <v>1721</v>
      </c>
      <c r="P52" s="8"/>
      <c r="Q52" s="8" t="str">
        <f t="shared" si="2"/>
        <v/>
      </c>
      <c r="R52" s="8" t="s">
        <v>1727</v>
      </c>
      <c r="S52" s="8"/>
      <c r="T52" s="8"/>
      <c r="U52" s="8"/>
      <c r="V52" s="8" t="s">
        <v>1730</v>
      </c>
      <c r="W52" s="8" t="s">
        <v>1730</v>
      </c>
      <c r="X52" s="8"/>
      <c r="Y52" s="8"/>
      <c r="Z52" s="18">
        <f t="shared" si="1"/>
        <v>2</v>
      </c>
      <c r="AA52" s="8" t="s">
        <v>1727</v>
      </c>
      <c r="AB52" s="7" t="s">
        <v>2522</v>
      </c>
      <c r="AC52" s="7"/>
      <c r="AD52" s="8" t="s">
        <v>1721</v>
      </c>
      <c r="AE52" s="8" t="s">
        <v>1727</v>
      </c>
      <c r="AF52" s="8" t="s">
        <v>2401</v>
      </c>
      <c r="AG52" s="8" t="s">
        <v>1727</v>
      </c>
      <c r="AH52" s="47"/>
      <c r="AI52" s="47">
        <f>VLOOKUP(B52,'Components Usage'!A$2:C$603,3,FALSE)</f>
        <v>0</v>
      </c>
      <c r="AJ52" s="28" t="s">
        <v>2401</v>
      </c>
    </row>
    <row r="53" spans="1:36" x14ac:dyDescent="0.25">
      <c r="A53" s="16" t="str">
        <f>'Components Data Source'!A53</f>
        <v>Console Writer</v>
      </c>
      <c r="B53" s="8" t="str">
        <f>'Components Data Source'!B53</f>
        <v>940E39A6-D035-4E43-8DBB-455EE4679066</v>
      </c>
      <c r="C53" s="41" t="str">
        <f>'Components Data Source'!C53</f>
        <v>ConsoleWriter.fcpx</v>
      </c>
      <c r="D53" s="8" t="str">
        <f>'Components Data Source'!D53</f>
        <v>Components\IO_Source\SCADA\ConsoleWriter.fcfx</v>
      </c>
      <c r="E53" s="8" t="str">
        <f>'Components Data Source'!E53</f>
        <v>FREE</v>
      </c>
      <c r="F53" s="8" t="str">
        <f>'Components Data Source'!F53</f>
        <v>INDICATORS</v>
      </c>
      <c r="G53" s="8" t="str">
        <f>'Components Data Source'!G53</f>
        <v xml:space="preserve">INDICATORS </v>
      </c>
      <c r="H53" s="8">
        <f>'Components Data Source'!H53</f>
        <v>0</v>
      </c>
      <c r="I53" s="8">
        <f>'Components Data Source'!I53</f>
        <v>0</v>
      </c>
      <c r="J53" s="8">
        <f>'Components Data Source'!J53</f>
        <v>1</v>
      </c>
      <c r="K53" s="8">
        <f>'Components Data Source'!K53</f>
        <v>1</v>
      </c>
      <c r="L53" s="8">
        <f>'Components Data Source'!L53</f>
        <v>1</v>
      </c>
      <c r="M53" s="8" t="s">
        <v>1727</v>
      </c>
      <c r="N53" s="17" t="str">
        <f>HYPERLINK('Components Data Source'!M53)</f>
        <v>https://www.flowcode.co.uk/wiki/index.php?title=Component:_ID_940e39a6_d035_4e43_8dbb_455ee4679066</v>
      </c>
      <c r="O53" s="8" t="s">
        <v>1721</v>
      </c>
      <c r="P53" s="8"/>
      <c r="Q53" s="8" t="str">
        <f t="shared" si="2"/>
        <v/>
      </c>
      <c r="R53" s="8" t="s">
        <v>1721</v>
      </c>
      <c r="S53" s="8" t="s">
        <v>1721</v>
      </c>
      <c r="T53" s="8" t="s">
        <v>1727</v>
      </c>
      <c r="U53" s="8" t="s">
        <v>1721</v>
      </c>
      <c r="V53" s="8" t="s">
        <v>1731</v>
      </c>
      <c r="W53" s="8" t="s">
        <v>1731</v>
      </c>
      <c r="X53" s="8" t="s">
        <v>1721</v>
      </c>
      <c r="Y53" s="8" t="s">
        <v>1721</v>
      </c>
      <c r="Z53" s="18">
        <f t="shared" si="1"/>
        <v>1</v>
      </c>
      <c r="AA53" s="8"/>
      <c r="AB53" s="7"/>
      <c r="AC53" s="7"/>
      <c r="AD53" s="8" t="s">
        <v>1721</v>
      </c>
      <c r="AE53" s="8" t="s">
        <v>1727</v>
      </c>
      <c r="AF53" s="8" t="s">
        <v>2401</v>
      </c>
      <c r="AG53" s="8" t="s">
        <v>1721</v>
      </c>
      <c r="AH53" s="47"/>
      <c r="AI53" s="47">
        <f>VLOOKUP(B53,'Components Usage'!A$2:C$603,3,FALSE)</f>
        <v>25</v>
      </c>
      <c r="AJ53" s="28" t="s">
        <v>2401</v>
      </c>
    </row>
    <row r="54" spans="1:36" x14ac:dyDescent="0.25">
      <c r="A54" s="16" t="str">
        <f>'Components Data Source'!A54</f>
        <v>Control</v>
      </c>
      <c r="B54" s="8" t="str">
        <f>'Components Data Source'!B54</f>
        <v>BD23228F-B173-4135-AB3B-A4C3C4CAA7A8</v>
      </c>
      <c r="C54" s="41" t="str">
        <f>'Components Data Source'!C54</f>
        <v>Control.fcpx</v>
      </c>
      <c r="D54" s="8" t="str">
        <f>'Components Data Source'!D54</f>
        <v>Components\IO_Source\Control_ComponentSource.fcsx</v>
      </c>
      <c r="E54" s="8" t="str">
        <f>'Components Data Source'!E54</f>
        <v>FREE</v>
      </c>
      <c r="F54" s="8" t="str">
        <f>'Components Data Source'!F54</f>
        <v>ALLCODE</v>
      </c>
      <c r="G54" s="8">
        <f>'Components Data Source'!G54</f>
        <v>0</v>
      </c>
      <c r="H54" s="8">
        <f>'Components Data Source'!H54</f>
        <v>0</v>
      </c>
      <c r="I54" s="8">
        <f>'Components Data Source'!I54</f>
        <v>0</v>
      </c>
      <c r="J54" s="8">
        <f>'Components Data Source'!J54</f>
        <v>1</v>
      </c>
      <c r="K54" s="8">
        <f>'Components Data Source'!K54</f>
        <v>0</v>
      </c>
      <c r="L54" s="8">
        <f>'Components Data Source'!L54</f>
        <v>1</v>
      </c>
      <c r="M54" s="8" t="s">
        <v>1727</v>
      </c>
      <c r="N54" s="17" t="str">
        <f>HYPERLINK('Components Data Source'!M54)</f>
        <v>https://www.flowcode.co.uk/wiki/index.php?title=Component:_ID_bd23228f_b173_4135_ab3b_a4c3c4caa7a8</v>
      </c>
      <c r="O54" s="8" t="s">
        <v>2401</v>
      </c>
      <c r="P54" s="8"/>
      <c r="Q54" s="8">
        <f t="shared" si="2"/>
        <v>1</v>
      </c>
      <c r="R54" s="8" t="s">
        <v>1727</v>
      </c>
      <c r="S54" s="8" t="s">
        <v>1727</v>
      </c>
      <c r="T54" s="8"/>
      <c r="U54" s="8"/>
      <c r="V54" s="8" t="s">
        <v>1730</v>
      </c>
      <c r="W54" s="8" t="s">
        <v>1730</v>
      </c>
      <c r="X54" s="8"/>
      <c r="Y54" s="8"/>
      <c r="Z54" s="18">
        <f t="shared" si="1"/>
        <v>2</v>
      </c>
      <c r="AA54" s="8"/>
      <c r="AB54" s="7"/>
      <c r="AC54" s="7"/>
      <c r="AD54" s="8" t="s">
        <v>1727</v>
      </c>
      <c r="AE54" s="8"/>
      <c r="AF54" s="8" t="s">
        <v>2401</v>
      </c>
      <c r="AG54" s="8" t="s">
        <v>1727</v>
      </c>
      <c r="AH54" s="47"/>
      <c r="AI54" s="47">
        <f>VLOOKUP(B54,'Components Usage'!A$2:C$603,3,FALSE)</f>
        <v>5</v>
      </c>
      <c r="AJ54" s="28"/>
    </row>
    <row r="55" spans="1:36" hidden="1" x14ac:dyDescent="0.25">
      <c r="A55" s="16" t="str">
        <f>'Components Data Source'!A55</f>
        <v>Coupling</v>
      </c>
      <c r="B55" s="8" t="str">
        <f>'Components Data Source'!B55</f>
        <v>83C095CC-FEFC-4854-A7C5-7FE867753BF4</v>
      </c>
      <c r="C55" s="41" t="str">
        <f>'Components Data Source'!C55</f>
        <v>Coupling.fcpx</v>
      </c>
      <c r="D55" s="8" t="str">
        <f>'Components Data Source'!D55</f>
        <v>Components\IO_Source\mechatronics\Coupling.fcfx</v>
      </c>
      <c r="E55" s="8" t="str">
        <f>'Components Data Source'!E55</f>
        <v>MECHATRONICS</v>
      </c>
      <c r="F55" s="8" t="str">
        <f>'Components Data Source'!F55</f>
        <v>MECHATRONICS</v>
      </c>
      <c r="G55" s="8">
        <f>'Components Data Source'!G55</f>
        <v>0</v>
      </c>
      <c r="H55" s="8">
        <f>'Components Data Source'!H55</f>
        <v>0</v>
      </c>
      <c r="I55" s="8">
        <f>'Components Data Source'!I55</f>
        <v>0</v>
      </c>
      <c r="J55" s="8">
        <f>'Components Data Source'!J55</f>
        <v>1</v>
      </c>
      <c r="K55" s="8">
        <f>'Components Data Source'!K55</f>
        <v>1</v>
      </c>
      <c r="L55" s="8">
        <f>'Components Data Source'!L55</f>
        <v>0</v>
      </c>
      <c r="M55" s="8" t="s">
        <v>1727</v>
      </c>
      <c r="N55" s="17" t="str">
        <f>HYPERLINK('Components Data Source'!M55)</f>
        <v>https://www.flowcode.co.uk/wiki/index.php?title=Component:_ID_83c095cc_fefc_4854_a7c5_7fe867753bf4</v>
      </c>
      <c r="O55" s="8" t="s">
        <v>1721</v>
      </c>
      <c r="P55" s="8"/>
      <c r="Q55" s="8" t="str">
        <f t="shared" si="2"/>
        <v/>
      </c>
      <c r="R55" s="8" t="s">
        <v>1727</v>
      </c>
      <c r="S55" s="8"/>
      <c r="T55" s="8"/>
      <c r="U55" s="8"/>
      <c r="V55" s="8" t="s">
        <v>1730</v>
      </c>
      <c r="W55" s="8" t="s">
        <v>1730</v>
      </c>
      <c r="X55" s="8"/>
      <c r="Y55" s="8"/>
      <c r="Z55" s="18">
        <f t="shared" si="1"/>
        <v>2</v>
      </c>
      <c r="AA55" s="8"/>
      <c r="AB55" s="7"/>
      <c r="AC55" s="7"/>
      <c r="AD55" s="8" t="s">
        <v>1721</v>
      </c>
      <c r="AE55" s="8" t="s">
        <v>1727</v>
      </c>
      <c r="AF55" s="8" t="s">
        <v>2401</v>
      </c>
      <c r="AG55" s="8" t="s">
        <v>1727</v>
      </c>
      <c r="AH55" s="47"/>
      <c r="AI55" s="47">
        <f>VLOOKUP(B55,'Components Usage'!A$2:C$603,3,FALSE)</f>
        <v>0</v>
      </c>
      <c r="AJ55" s="28" t="s">
        <v>2401</v>
      </c>
    </row>
    <row r="56" spans="1:36" x14ac:dyDescent="0.25">
      <c r="A56" s="16" t="str">
        <f>'Components Data Source'!A56</f>
        <v>Curiosity PCB</v>
      </c>
      <c r="B56" s="8" t="str">
        <f>'Components Data Source'!B56</f>
        <v>8D419CD0-3404-4BEE-8049-22ACCC2C815B</v>
      </c>
      <c r="C56" s="41" t="str">
        <f>'Components Data Source'!C56</f>
        <v>CuriosityPCB.fcpx</v>
      </c>
      <c r="D56" s="8" t="str">
        <f>'Components Data Source'!D56</f>
        <v>Components\IO_Source\PCBs\CuriosityComponentPCBSource.fcfx</v>
      </c>
      <c r="E56" s="8" t="str">
        <f>'Components Data Source'!E56</f>
        <v>FREE</v>
      </c>
      <c r="F56" s="8" t="str">
        <f>'Components Data Source'!F56</f>
        <v>MISC</v>
      </c>
      <c r="G56" s="8">
        <f>'Components Data Source'!G56</f>
        <v>0</v>
      </c>
      <c r="H56" s="8">
        <f>'Components Data Source'!H56</f>
        <v>0</v>
      </c>
      <c r="I56" s="8">
        <f>'Components Data Source'!I56</f>
        <v>0</v>
      </c>
      <c r="J56" s="8">
        <f>'Components Data Source'!J56</f>
        <v>0</v>
      </c>
      <c r="K56" s="8">
        <f>'Components Data Source'!K56</f>
        <v>0</v>
      </c>
      <c r="L56" s="8">
        <f>'Components Data Source'!L56</f>
        <v>0</v>
      </c>
      <c r="M56" s="8" t="s">
        <v>1727</v>
      </c>
      <c r="N56" s="17" t="str">
        <f>HYPERLINK('Components Data Source'!M56)</f>
        <v>https://www.flowcode.co.uk/wiki/index.php?title=Component:_ID_8d419cd0_3404_4bee_8049_22accc2c815b</v>
      </c>
      <c r="O56" s="8" t="s">
        <v>2590</v>
      </c>
      <c r="P56" s="8" t="s">
        <v>3549</v>
      </c>
      <c r="Q56" s="8" t="str">
        <f t="shared" si="2"/>
        <v/>
      </c>
      <c r="R56" s="8" t="s">
        <v>2520</v>
      </c>
      <c r="S56" s="8"/>
      <c r="T56" s="8"/>
      <c r="U56" s="8"/>
      <c r="V56" s="8" t="s">
        <v>1730</v>
      </c>
      <c r="W56" s="8" t="s">
        <v>1730</v>
      </c>
      <c r="X56" s="8"/>
      <c r="Y56" s="8"/>
      <c r="Z56" s="18">
        <f t="shared" si="1"/>
        <v>0</v>
      </c>
      <c r="AA56" s="8"/>
      <c r="AB56" s="7" t="s">
        <v>2475</v>
      </c>
      <c r="AC56" s="7"/>
      <c r="AD56" s="8" t="s">
        <v>1721</v>
      </c>
      <c r="AE56" s="8" t="s">
        <v>1721</v>
      </c>
      <c r="AF56" s="8" t="s">
        <v>2401</v>
      </c>
      <c r="AG56" s="8" t="s">
        <v>3632</v>
      </c>
      <c r="AH56" s="47"/>
      <c r="AI56" s="47">
        <f>VLOOKUP(B56,'Components Usage'!A$2:C$603,3,FALSE)</f>
        <v>0</v>
      </c>
      <c r="AJ56" s="28" t="s">
        <v>2401</v>
      </c>
    </row>
    <row r="57" spans="1:36" hidden="1" x14ac:dyDescent="0.25">
      <c r="A57" s="16" t="str">
        <f>'Components Data Source'!A57</f>
        <v>DSP Audio Output (EB086)</v>
      </c>
      <c r="B57" s="8" t="str">
        <f>'Components Data Source'!B57</f>
        <v>E83923B3-994A-41C9-B277-5B107AB6E1DD</v>
      </c>
      <c r="C57" s="41" t="str">
        <f>'Components Data Source'!C57</f>
        <v>DAC_EB086.fcpx</v>
      </c>
      <c r="D57" s="8" t="str">
        <f>'Components Data Source'!D57</f>
        <v>Components\IO_Source\outputs\DAC_AD5662_EB086.fcfx</v>
      </c>
      <c r="E57" s="8" t="str">
        <f>'Components Data Source'!E57</f>
        <v>COMMSA</v>
      </c>
      <c r="F57" s="8" t="str">
        <f>'Components Data Source'!F57</f>
        <v>E-BLOCKS 1</v>
      </c>
      <c r="G57" s="8">
        <f>'Components Data Source'!G57</f>
        <v>0</v>
      </c>
      <c r="H57" s="8">
        <f>'Components Data Source'!H57</f>
        <v>0</v>
      </c>
      <c r="I57" s="8" t="str">
        <f>'Components Data Source'!I57</f>
        <v xml:space="preserve">SPI </v>
      </c>
      <c r="J57" s="8">
        <f>'Components Data Source'!J57</f>
        <v>1</v>
      </c>
      <c r="K57" s="8">
        <f>'Components Data Source'!K57</f>
        <v>1</v>
      </c>
      <c r="L57" s="8">
        <f>'Components Data Source'!L57</f>
        <v>0</v>
      </c>
      <c r="M57" s="8" t="s">
        <v>1727</v>
      </c>
      <c r="N57" s="17" t="str">
        <f>HYPERLINK('Components Data Source'!M57)</f>
        <v>https://www.flowcode.co.uk/wiki/index.php?title=Component:_ID_e83923b3_994a_41c9_b277_5b107ab6e1dd</v>
      </c>
      <c r="O57" s="8" t="s">
        <v>2589</v>
      </c>
      <c r="P57" s="8"/>
      <c r="Q57" s="8" t="str">
        <f t="shared" si="2"/>
        <v/>
      </c>
      <c r="R57" s="8" t="s">
        <v>1721</v>
      </c>
      <c r="S57" s="8" t="s">
        <v>1721</v>
      </c>
      <c r="T57" s="8" t="s">
        <v>1721</v>
      </c>
      <c r="U57" s="8" t="s">
        <v>1721</v>
      </c>
      <c r="V57" s="8" t="s">
        <v>1731</v>
      </c>
      <c r="W57" s="8" t="s">
        <v>1180</v>
      </c>
      <c r="X57" s="8" t="s">
        <v>1721</v>
      </c>
      <c r="Y57" s="8" t="s">
        <v>1721</v>
      </c>
      <c r="Z57" s="18">
        <f t="shared" si="1"/>
        <v>1</v>
      </c>
      <c r="AA57" s="8"/>
      <c r="AB57" s="7"/>
      <c r="AC57" s="7"/>
      <c r="AD57" s="8" t="s">
        <v>1721</v>
      </c>
      <c r="AE57" s="8" t="s">
        <v>1727</v>
      </c>
      <c r="AF57" s="8" t="s">
        <v>2474</v>
      </c>
      <c r="AG57" s="8" t="s">
        <v>1727</v>
      </c>
      <c r="AH57" s="47"/>
      <c r="AI57" s="47">
        <f>VLOOKUP(B57,'Components Usage'!A$2:C$603,3,FALSE)</f>
        <v>13</v>
      </c>
      <c r="AJ57" s="28" t="s">
        <v>2401</v>
      </c>
    </row>
    <row r="58" spans="1:36" hidden="1" x14ac:dyDescent="0.25">
      <c r="A58" s="16" t="str">
        <f>'Components Data Source'!A58</f>
        <v>DAC (MCP4725)</v>
      </c>
      <c r="B58" s="8" t="str">
        <f>'Components Data Source'!B58</f>
        <v>E78D88A0-E132-4F82-988D-59353009B669</v>
      </c>
      <c r="C58" s="41" t="str">
        <f>'Components Data Source'!C58</f>
        <v>DAC_MCP4725.fcpx</v>
      </c>
      <c r="D58" s="8" t="str">
        <f>'Components Data Source'!D58</f>
        <v>Components\IO_Source\outputs\DAC_MCP4725.fcfx</v>
      </c>
      <c r="E58" s="8" t="str">
        <f>'Components Data Source'!E58</f>
        <v>COMMSA</v>
      </c>
      <c r="F58" s="8" t="str">
        <f>'Components Data Source'!F58</f>
        <v>ANALOG OUTPUT</v>
      </c>
      <c r="G58" s="8">
        <f>'Components Data Source'!G58</f>
        <v>0</v>
      </c>
      <c r="H58" s="8">
        <f>'Components Data Source'!H58</f>
        <v>0</v>
      </c>
      <c r="I58" s="8" t="str">
        <f>'Components Data Source'!I58</f>
        <v xml:space="preserve">I2C </v>
      </c>
      <c r="J58" s="8">
        <f>'Components Data Source'!J58</f>
        <v>1</v>
      </c>
      <c r="K58" s="8">
        <f>'Components Data Source'!K58</f>
        <v>1</v>
      </c>
      <c r="L58" s="8">
        <f>'Components Data Source'!L58</f>
        <v>0</v>
      </c>
      <c r="M58" s="8" t="s">
        <v>1727</v>
      </c>
      <c r="N58" s="17" t="str">
        <f>HYPERLINK('Components Data Source'!M58)</f>
        <v>https://www.flowcode.co.uk/wiki/index.php?title=Component:_ID_e78d88a0_e132_4f82_988d_59353009b669</v>
      </c>
      <c r="O58" s="8" t="s">
        <v>1721</v>
      </c>
      <c r="P58" s="8"/>
      <c r="Q58" s="8" t="str">
        <f t="shared" si="2"/>
        <v/>
      </c>
      <c r="R58" s="8" t="s">
        <v>1721</v>
      </c>
      <c r="S58" s="8" t="s">
        <v>1721</v>
      </c>
      <c r="T58" s="8" t="s">
        <v>1721</v>
      </c>
      <c r="U58" s="8" t="s">
        <v>1721</v>
      </c>
      <c r="V58" s="8" t="s">
        <v>1731</v>
      </c>
      <c r="W58" s="8" t="s">
        <v>1175</v>
      </c>
      <c r="X58" s="8" t="s">
        <v>1721</v>
      </c>
      <c r="Y58" s="8" t="s">
        <v>1721</v>
      </c>
      <c r="Z58" s="18">
        <f t="shared" si="1"/>
        <v>1</v>
      </c>
      <c r="AA58" s="8"/>
      <c r="AB58" s="7"/>
      <c r="AC58" s="7"/>
      <c r="AD58" s="8" t="s">
        <v>1727</v>
      </c>
      <c r="AE58" s="8"/>
      <c r="AF58" s="8" t="s">
        <v>1727</v>
      </c>
      <c r="AG58" s="8" t="s">
        <v>1727</v>
      </c>
      <c r="AH58" s="47"/>
      <c r="AI58" s="47">
        <f>VLOOKUP(B58,'Components Usage'!A$2:C$603,3,FALSE)</f>
        <v>0</v>
      </c>
      <c r="AJ58" s="28"/>
    </row>
    <row r="59" spans="1:36" hidden="1" x14ac:dyDescent="0.25">
      <c r="A59" s="16" t="str">
        <f>'Components Data Source'!A59</f>
        <v>DAC (MCP47x6)</v>
      </c>
      <c r="B59" s="8" t="str">
        <f>'Components Data Source'!B59</f>
        <v>70A3BEAD-E66D-4A76-BC7B-FB1BAA86D2E6</v>
      </c>
      <c r="C59" s="41" t="str">
        <f>'Components Data Source'!C59</f>
        <v>DAC_MCP47x6.fcpx</v>
      </c>
      <c r="D59" s="8" t="str">
        <f>'Components Data Source'!D59</f>
        <v>Components\IO_Source\outputs\DAC_MCP47x6.fcfx</v>
      </c>
      <c r="E59" s="8" t="str">
        <f>'Components Data Source'!E59</f>
        <v>COMMSA</v>
      </c>
      <c r="F59" s="8" t="str">
        <f>'Components Data Source'!F59</f>
        <v>ANALOG OUTPUT</v>
      </c>
      <c r="G59" s="8">
        <f>'Components Data Source'!G59</f>
        <v>0</v>
      </c>
      <c r="H59" s="8">
        <f>'Components Data Source'!H59</f>
        <v>0</v>
      </c>
      <c r="I59" s="8" t="str">
        <f>'Components Data Source'!I59</f>
        <v xml:space="preserve">I2C </v>
      </c>
      <c r="J59" s="8">
        <f>'Components Data Source'!J59</f>
        <v>1</v>
      </c>
      <c r="K59" s="8">
        <f>'Components Data Source'!K59</f>
        <v>1</v>
      </c>
      <c r="L59" s="8">
        <f>'Components Data Source'!L59</f>
        <v>0</v>
      </c>
      <c r="M59" s="8" t="s">
        <v>1727</v>
      </c>
      <c r="N59" s="17" t="str">
        <f>HYPERLINK('Components Data Source'!M59)</f>
        <v>https://www.flowcode.co.uk/wiki/index.php?title=Component:_ID_70a3bead_e66d_4a76_bc7b_fb1baa86d2e6</v>
      </c>
      <c r="O59" s="8" t="s">
        <v>1721</v>
      </c>
      <c r="P59" s="8"/>
      <c r="Q59" s="8" t="str">
        <f t="shared" si="2"/>
        <v/>
      </c>
      <c r="R59" s="8" t="s">
        <v>1721</v>
      </c>
      <c r="S59" s="8" t="s">
        <v>1721</v>
      </c>
      <c r="T59" s="8" t="s">
        <v>1721</v>
      </c>
      <c r="U59" s="8" t="s">
        <v>1721</v>
      </c>
      <c r="V59" s="8" t="s">
        <v>1731</v>
      </c>
      <c r="W59" s="8" t="s">
        <v>1175</v>
      </c>
      <c r="X59" s="8" t="s">
        <v>1721</v>
      </c>
      <c r="Y59" s="8" t="s">
        <v>1721</v>
      </c>
      <c r="Z59" s="18">
        <f t="shared" si="1"/>
        <v>1</v>
      </c>
      <c r="AA59" s="8"/>
      <c r="AB59" s="7"/>
      <c r="AC59" s="7"/>
      <c r="AD59" s="8" t="s">
        <v>1721</v>
      </c>
      <c r="AE59" s="8" t="s">
        <v>1727</v>
      </c>
      <c r="AF59" s="8" t="s">
        <v>1727</v>
      </c>
      <c r="AG59" s="8" t="s">
        <v>1727</v>
      </c>
      <c r="AH59" s="47"/>
      <c r="AI59" s="47">
        <f>VLOOKUP(B59,'Components Usage'!A$2:C$603,3,FALSE)</f>
        <v>1</v>
      </c>
      <c r="AJ59" s="28" t="s">
        <v>2401</v>
      </c>
    </row>
    <row r="60" spans="1:36" hidden="1" x14ac:dyDescent="0.25">
      <c r="A60" s="16" t="str">
        <f>'Components Data Source'!A60</f>
        <v>DAC (MCP48x1)</v>
      </c>
      <c r="B60" s="8" t="str">
        <f>'Components Data Source'!B60</f>
        <v>FAB5CF20-8686-4397-8A21-CC936659D5F6</v>
      </c>
      <c r="C60" s="41" t="str">
        <f>'Components Data Source'!C60</f>
        <v>DAC_MCP48x1.fcpx</v>
      </c>
      <c r="D60" s="8" t="str">
        <f>'Components Data Source'!D60</f>
        <v>Components\IO_Source\outputs\DAC_MCP48x1.fcfx</v>
      </c>
      <c r="E60" s="8" t="str">
        <f>'Components Data Source'!E60</f>
        <v>COMMSA</v>
      </c>
      <c r="F60" s="8" t="str">
        <f>'Components Data Source'!F60</f>
        <v>ANALOG OUTPUT</v>
      </c>
      <c r="G60" s="8">
        <f>'Components Data Source'!G60</f>
        <v>0</v>
      </c>
      <c r="H60" s="8">
        <f>'Components Data Source'!H60</f>
        <v>0</v>
      </c>
      <c r="I60" s="8" t="str">
        <f>'Components Data Source'!I60</f>
        <v xml:space="preserve">SPI </v>
      </c>
      <c r="J60" s="8">
        <f>'Components Data Source'!J60</f>
        <v>1</v>
      </c>
      <c r="K60" s="8">
        <f>'Components Data Source'!K60</f>
        <v>1</v>
      </c>
      <c r="L60" s="8">
        <f>'Components Data Source'!L60</f>
        <v>0</v>
      </c>
      <c r="M60" s="8" t="s">
        <v>1727</v>
      </c>
      <c r="N60" s="17" t="str">
        <f>HYPERLINK('Components Data Source'!M60)</f>
        <v>https://www.flowcode.co.uk/wiki/index.php?title=Component:_ID_fab5cf20_8686_4397_8a21_cc936659d5f6</v>
      </c>
      <c r="O60" s="8" t="s">
        <v>1721</v>
      </c>
      <c r="P60" s="8"/>
      <c r="Q60" s="8" t="str">
        <f t="shared" si="2"/>
        <v/>
      </c>
      <c r="R60" s="8" t="s">
        <v>1721</v>
      </c>
      <c r="S60" s="8" t="s">
        <v>1721</v>
      </c>
      <c r="T60" s="8" t="s">
        <v>1721</v>
      </c>
      <c r="U60" s="8" t="s">
        <v>1721</v>
      </c>
      <c r="V60" s="8" t="s">
        <v>1731</v>
      </c>
      <c r="W60" s="8" t="s">
        <v>1180</v>
      </c>
      <c r="X60" s="8" t="s">
        <v>1721</v>
      </c>
      <c r="Y60" s="8" t="s">
        <v>1721</v>
      </c>
      <c r="Z60" s="18">
        <f t="shared" si="1"/>
        <v>1</v>
      </c>
      <c r="AA60" s="8"/>
      <c r="AB60" s="7"/>
      <c r="AC60" s="7"/>
      <c r="AD60" s="8" t="s">
        <v>1721</v>
      </c>
      <c r="AE60" s="8" t="s">
        <v>1727</v>
      </c>
      <c r="AF60" s="8" t="s">
        <v>1727</v>
      </c>
      <c r="AG60" s="8" t="s">
        <v>1727</v>
      </c>
      <c r="AH60" s="47"/>
      <c r="AI60" s="47">
        <f>VLOOKUP(B60,'Components Usage'!A$2:C$603,3,FALSE)</f>
        <v>1</v>
      </c>
      <c r="AJ60" s="28" t="s">
        <v>2401</v>
      </c>
    </row>
    <row r="61" spans="1:36" hidden="1" x14ac:dyDescent="0.25">
      <c r="A61" s="16" t="str">
        <f>'Components Data Source'!A61</f>
        <v>DAC (Internal)</v>
      </c>
      <c r="B61" s="8" t="str">
        <f>'Components Data Source'!B61</f>
        <v>09222494-FBEF-455B-9651-9E9E46592EB5</v>
      </c>
      <c r="C61" s="41" t="str">
        <f>'Components Data Source'!C61</f>
        <v>DAC_Output.fcpx</v>
      </c>
      <c r="D61" s="8" t="str">
        <f>'Components Data Source'!D61</f>
        <v>Components\CAL_Source\DAC.fcfx</v>
      </c>
      <c r="E61" s="8" t="str">
        <f>'Components Data Source'!E61</f>
        <v>BASICIO</v>
      </c>
      <c r="F61" s="8" t="str">
        <f>'Components Data Source'!F61</f>
        <v>ANALOG OUTPUT</v>
      </c>
      <c r="G61" s="8">
        <f>'Components Data Source'!G61</f>
        <v>0</v>
      </c>
      <c r="H61" s="8">
        <f>'Components Data Source'!H61</f>
        <v>0</v>
      </c>
      <c r="I61" s="8">
        <f>'Components Data Source'!I61</f>
        <v>0</v>
      </c>
      <c r="J61" s="8">
        <f>'Components Data Source'!J61</f>
        <v>1</v>
      </c>
      <c r="K61" s="8">
        <f>'Components Data Source'!K61</f>
        <v>1</v>
      </c>
      <c r="L61" s="8">
        <f>'Components Data Source'!L61</f>
        <v>0</v>
      </c>
      <c r="M61" s="8" t="s">
        <v>1727</v>
      </c>
      <c r="N61" s="17" t="str">
        <f>HYPERLINK('Components Data Source'!M61)</f>
        <v>https://www.flowcode.co.uk/wiki/index.php?title=Component:_ID_09222494_fbef_455b_9651_9e9e46592eb5</v>
      </c>
      <c r="O61" s="8" t="s">
        <v>1721</v>
      </c>
      <c r="P61" s="8"/>
      <c r="Q61" s="8" t="str">
        <f t="shared" si="2"/>
        <v/>
      </c>
      <c r="R61" s="8" t="s">
        <v>1721</v>
      </c>
      <c r="S61" s="8" t="s">
        <v>1721</v>
      </c>
      <c r="T61" s="8" t="s">
        <v>1727</v>
      </c>
      <c r="U61" s="8" t="s">
        <v>1727</v>
      </c>
      <c r="V61" s="8" t="s">
        <v>1730</v>
      </c>
      <c r="W61" s="8" t="s">
        <v>1175</v>
      </c>
      <c r="X61" s="8" t="s">
        <v>1721</v>
      </c>
      <c r="Y61" s="8" t="s">
        <v>2474</v>
      </c>
      <c r="Z61" s="18">
        <f t="shared" si="1"/>
        <v>0</v>
      </c>
      <c r="AA61" s="8" t="s">
        <v>1721</v>
      </c>
      <c r="AB61" s="7" t="s">
        <v>2570</v>
      </c>
      <c r="AC61" s="7"/>
      <c r="AD61" s="8" t="s">
        <v>1721</v>
      </c>
      <c r="AE61" s="8" t="s">
        <v>1727</v>
      </c>
      <c r="AF61" s="8" t="s">
        <v>1727</v>
      </c>
      <c r="AG61" s="8" t="s">
        <v>1727</v>
      </c>
      <c r="AH61" s="47"/>
      <c r="AI61" s="47">
        <f>VLOOKUP(B61,'Components Usage'!A$2:C$603,3,FALSE)</f>
        <v>17</v>
      </c>
      <c r="AJ61" s="28" t="s">
        <v>2401</v>
      </c>
    </row>
    <row r="62" spans="1:36" hidden="1" x14ac:dyDescent="0.25">
      <c r="A62" s="16" t="str">
        <f>'Components Data Source'!A62</f>
        <v>DAC(MCP49x1)</v>
      </c>
      <c r="B62" s="8" t="str">
        <f>'Components Data Source'!B62</f>
        <v>B6DE5668-E0AE-4C1A-9C16-B16AA3F58024</v>
      </c>
      <c r="C62" s="41" t="str">
        <f>'Components Data Source'!C62</f>
        <v>DAC_Output_49x1.fcpx</v>
      </c>
      <c r="D62" s="8" t="str">
        <f>'Components Data Source'!D62</f>
        <v>Components\IO_Source\outputs\DAC_MCP49x1.fcfx</v>
      </c>
      <c r="E62" s="8" t="str">
        <f>'Components Data Source'!E62</f>
        <v>COMMSA</v>
      </c>
      <c r="F62" s="8" t="str">
        <f>'Components Data Source'!F62</f>
        <v>ANALOG OUTPUT</v>
      </c>
      <c r="G62" s="8">
        <f>'Components Data Source'!G62</f>
        <v>0</v>
      </c>
      <c r="H62" s="8">
        <f>'Components Data Source'!H62</f>
        <v>0</v>
      </c>
      <c r="I62" s="8" t="str">
        <f>'Components Data Source'!I62</f>
        <v xml:space="preserve">SPI </v>
      </c>
      <c r="J62" s="8">
        <f>'Components Data Source'!J62</f>
        <v>1</v>
      </c>
      <c r="K62" s="8">
        <f>'Components Data Source'!K62</f>
        <v>1</v>
      </c>
      <c r="L62" s="8">
        <f>'Components Data Source'!L62</f>
        <v>0</v>
      </c>
      <c r="M62" s="8" t="s">
        <v>1727</v>
      </c>
      <c r="N62" s="17" t="str">
        <f>HYPERLINK('Components Data Source'!M62)</f>
        <v>https://www.flowcode.co.uk/wiki/index.php?title=Component:_ID_b6de5668_e0ae_4c1a_9c16_b16aa3f58024</v>
      </c>
      <c r="O62" s="8" t="s">
        <v>1721</v>
      </c>
      <c r="P62" s="8"/>
      <c r="Q62" s="8" t="str">
        <f t="shared" si="2"/>
        <v/>
      </c>
      <c r="R62" s="8" t="s">
        <v>1721</v>
      </c>
      <c r="S62" s="8" t="s">
        <v>1721</v>
      </c>
      <c r="T62" s="8" t="s">
        <v>1721</v>
      </c>
      <c r="U62" s="8" t="s">
        <v>1721</v>
      </c>
      <c r="V62" s="8" t="s">
        <v>1731</v>
      </c>
      <c r="W62" s="8" t="s">
        <v>1180</v>
      </c>
      <c r="X62" s="8" t="s">
        <v>1721</v>
      </c>
      <c r="Y62" s="8" t="s">
        <v>1721</v>
      </c>
      <c r="Z62" s="18">
        <f t="shared" si="1"/>
        <v>1</v>
      </c>
      <c r="AA62" s="8"/>
      <c r="AB62" s="7"/>
      <c r="AC62" s="7"/>
      <c r="AD62" s="8" t="s">
        <v>1721</v>
      </c>
      <c r="AE62" s="8" t="s">
        <v>1727</v>
      </c>
      <c r="AF62" s="8" t="s">
        <v>1727</v>
      </c>
      <c r="AG62" s="8" t="s">
        <v>1727</v>
      </c>
      <c r="AH62" s="47"/>
      <c r="AI62" s="47">
        <f>VLOOKUP(B62,'Components Usage'!A$2:C$603,3,FALSE)</f>
        <v>1</v>
      </c>
      <c r="AJ62" s="28" t="s">
        <v>2401</v>
      </c>
    </row>
    <row r="63" spans="1:36" hidden="1" x14ac:dyDescent="0.25">
      <c r="A63" s="16" t="str">
        <f>'Components Data Source'!A63</f>
        <v>DAC Dual(MCP49x2)</v>
      </c>
      <c r="B63" s="8" t="str">
        <f>'Components Data Source'!B63</f>
        <v>B66F5769-5E9D-40E7-9159-C6A0552FF86E</v>
      </c>
      <c r="C63" s="41" t="str">
        <f>'Components Data Source'!C63</f>
        <v>DAC_Output_Dual.fcpx</v>
      </c>
      <c r="D63" s="8" t="str">
        <f>'Components Data Source'!D63</f>
        <v>Components\IO_Source\outputs\DAC_MCP49x2.fcfx</v>
      </c>
      <c r="E63" s="8" t="str">
        <f>'Components Data Source'!E63</f>
        <v>COMMSA</v>
      </c>
      <c r="F63" s="8" t="str">
        <f>'Components Data Source'!F63</f>
        <v>ANALOG OUTPUT</v>
      </c>
      <c r="G63" s="8">
        <f>'Components Data Source'!G63</f>
        <v>0</v>
      </c>
      <c r="H63" s="8">
        <f>'Components Data Source'!H63</f>
        <v>0</v>
      </c>
      <c r="I63" s="8" t="str">
        <f>'Components Data Source'!I63</f>
        <v xml:space="preserve">SPI </v>
      </c>
      <c r="J63" s="8">
        <f>'Components Data Source'!J63</f>
        <v>1</v>
      </c>
      <c r="K63" s="8">
        <f>'Components Data Source'!K63</f>
        <v>1</v>
      </c>
      <c r="L63" s="8">
        <f>'Components Data Source'!L63</f>
        <v>0</v>
      </c>
      <c r="M63" s="8" t="s">
        <v>1727</v>
      </c>
      <c r="N63" s="17" t="str">
        <f>HYPERLINK('Components Data Source'!M63)</f>
        <v>https://www.flowcode.co.uk/wiki/index.php?title=Component:_ID_b66f5769_5e9d_40e7_9159_c6a0552ff86e</v>
      </c>
      <c r="O63" s="8" t="s">
        <v>1721</v>
      </c>
      <c r="P63" s="8"/>
      <c r="Q63" s="8" t="str">
        <f t="shared" si="2"/>
        <v/>
      </c>
      <c r="R63" s="8" t="s">
        <v>1721</v>
      </c>
      <c r="S63" s="8" t="s">
        <v>1721</v>
      </c>
      <c r="T63" s="8" t="s">
        <v>1721</v>
      </c>
      <c r="U63" s="8" t="s">
        <v>1721</v>
      </c>
      <c r="V63" s="8" t="s">
        <v>1731</v>
      </c>
      <c r="W63" s="8" t="s">
        <v>1180</v>
      </c>
      <c r="X63" s="8" t="s">
        <v>1721</v>
      </c>
      <c r="Y63" s="8" t="s">
        <v>1721</v>
      </c>
      <c r="Z63" s="18">
        <f t="shared" si="1"/>
        <v>1</v>
      </c>
      <c r="AA63" s="8"/>
      <c r="AB63" s="7"/>
      <c r="AC63" s="7"/>
      <c r="AD63" s="8" t="s">
        <v>1721</v>
      </c>
      <c r="AE63" s="8" t="s">
        <v>1727</v>
      </c>
      <c r="AF63" s="8" t="s">
        <v>1727</v>
      </c>
      <c r="AG63" s="8" t="s">
        <v>1727</v>
      </c>
      <c r="AH63" s="47"/>
      <c r="AI63" s="47">
        <f>VLOOKUP(B63,'Components Usage'!A$2:C$603,3,FALSE)</f>
        <v>7</v>
      </c>
      <c r="AJ63" s="28" t="s">
        <v>2401</v>
      </c>
    </row>
    <row r="64" spans="1:36" hidden="1" x14ac:dyDescent="0.25">
      <c r="A64" s="16" t="str">
        <f>'Components Data Source'!A64</f>
        <v>DAC Dual(MCP48x2)</v>
      </c>
      <c r="B64" s="8" t="str">
        <f>'Components Data Source'!B64</f>
        <v>F484E96A-AF4F-434E-A002-70D3F4315DFB</v>
      </c>
      <c r="C64" s="41" t="str">
        <f>'Components Data Source'!C64</f>
        <v>DAC_Output_Dual_48x2.fcpx</v>
      </c>
      <c r="D64" s="8" t="str">
        <f>'Components Data Source'!D64</f>
        <v>Components\IO_Source\outputs\DAC_MCP48x2.fcfx</v>
      </c>
      <c r="E64" s="8" t="str">
        <f>'Components Data Source'!E64</f>
        <v>COMMSA</v>
      </c>
      <c r="F64" s="8" t="str">
        <f>'Components Data Source'!F64</f>
        <v>ANALOG OUTPUT</v>
      </c>
      <c r="G64" s="8">
        <f>'Components Data Source'!G64</f>
        <v>0</v>
      </c>
      <c r="H64" s="8">
        <f>'Components Data Source'!H64</f>
        <v>0</v>
      </c>
      <c r="I64" s="8" t="str">
        <f>'Components Data Source'!I64</f>
        <v xml:space="preserve">SPI </v>
      </c>
      <c r="J64" s="8">
        <f>'Components Data Source'!J64</f>
        <v>1</v>
      </c>
      <c r="K64" s="8">
        <f>'Components Data Source'!K64</f>
        <v>1</v>
      </c>
      <c r="L64" s="8">
        <f>'Components Data Source'!L64</f>
        <v>0</v>
      </c>
      <c r="M64" s="8" t="s">
        <v>1727</v>
      </c>
      <c r="N64" s="17" t="str">
        <f>HYPERLINK('Components Data Source'!M64)</f>
        <v>https://www.flowcode.co.uk/wiki/index.php?title=Component:_ID_f484e96a_af4f_434e_a002_70d3f4315dfb</v>
      </c>
      <c r="O64" s="8" t="s">
        <v>1721</v>
      </c>
      <c r="P64" s="8"/>
      <c r="Q64" s="8" t="str">
        <f t="shared" si="2"/>
        <v/>
      </c>
      <c r="R64" s="8" t="s">
        <v>1721</v>
      </c>
      <c r="S64" s="8" t="s">
        <v>1721</v>
      </c>
      <c r="T64" s="8" t="s">
        <v>1721</v>
      </c>
      <c r="U64" s="8" t="s">
        <v>1721</v>
      </c>
      <c r="V64" s="8" t="s">
        <v>1731</v>
      </c>
      <c r="W64" s="8" t="s">
        <v>1180</v>
      </c>
      <c r="X64" s="8" t="s">
        <v>1721</v>
      </c>
      <c r="Y64" s="8" t="s">
        <v>1721</v>
      </c>
      <c r="Z64" s="18">
        <f t="shared" si="1"/>
        <v>1</v>
      </c>
      <c r="AA64" s="8"/>
      <c r="AB64" s="7"/>
      <c r="AC64" s="7"/>
      <c r="AD64" s="8" t="s">
        <v>1721</v>
      </c>
      <c r="AE64" s="8" t="s">
        <v>1727</v>
      </c>
      <c r="AF64" s="8" t="s">
        <v>1727</v>
      </c>
      <c r="AG64" s="8" t="s">
        <v>1727</v>
      </c>
      <c r="AH64" s="47"/>
      <c r="AI64" s="47">
        <f>VLOOKUP(B64,'Components Usage'!A$2:C$603,3,FALSE)</f>
        <v>0</v>
      </c>
      <c r="AJ64" s="28" t="s">
        <v>2401</v>
      </c>
    </row>
    <row r="65" spans="1:36" hidden="1" x14ac:dyDescent="0.25">
      <c r="A65" s="16" t="str">
        <f>'Components Data Source'!A65</f>
        <v>DAC Quad (MCP4728)</v>
      </c>
      <c r="B65" s="8" t="str">
        <f>'Components Data Source'!B65</f>
        <v>ADB523DB-DB13-4D19-BFA3-0FBC177E4D3F</v>
      </c>
      <c r="C65" s="41" t="str">
        <f>'Components Data Source'!C65</f>
        <v>DAC_Output_MCP4728.fcpx</v>
      </c>
      <c r="D65" s="8" t="str">
        <f>'Components Data Source'!D65</f>
        <v>Components\IO_Source\outputs\DAC_MCP4728.fcfx</v>
      </c>
      <c r="E65" s="8" t="str">
        <f>'Components Data Source'!E65</f>
        <v>COMMSA</v>
      </c>
      <c r="F65" s="8" t="str">
        <f>'Components Data Source'!F65</f>
        <v>ANALOG OUTPUT</v>
      </c>
      <c r="G65" s="8">
        <f>'Components Data Source'!G65</f>
        <v>0</v>
      </c>
      <c r="H65" s="8">
        <f>'Components Data Source'!H65</f>
        <v>0</v>
      </c>
      <c r="I65" s="8" t="str">
        <f>'Components Data Source'!I65</f>
        <v xml:space="preserve">I2C </v>
      </c>
      <c r="J65" s="8">
        <f>'Components Data Source'!J65</f>
        <v>1</v>
      </c>
      <c r="K65" s="8">
        <f>'Components Data Source'!K65</f>
        <v>1</v>
      </c>
      <c r="L65" s="8">
        <f>'Components Data Source'!L65</f>
        <v>0</v>
      </c>
      <c r="M65" s="8" t="s">
        <v>1727</v>
      </c>
      <c r="N65" s="17" t="str">
        <f>HYPERLINK('Components Data Source'!M65)</f>
        <v>https://www.flowcode.co.uk/wiki/index.php?title=Component:_ID_adb523db_db13_4d19_bfa3_0fbc177e4d3f</v>
      </c>
      <c r="O65" s="8" t="s">
        <v>1721</v>
      </c>
      <c r="P65" s="8"/>
      <c r="Q65" s="8" t="str">
        <f t="shared" si="2"/>
        <v/>
      </c>
      <c r="R65" s="8" t="s">
        <v>1721</v>
      </c>
      <c r="S65" s="8" t="s">
        <v>1721</v>
      </c>
      <c r="T65" s="8" t="s">
        <v>1721</v>
      </c>
      <c r="U65" s="8" t="s">
        <v>1721</v>
      </c>
      <c r="V65" s="8" t="s">
        <v>1731</v>
      </c>
      <c r="W65" s="8" t="s">
        <v>1175</v>
      </c>
      <c r="X65" s="8" t="s">
        <v>1721</v>
      </c>
      <c r="Y65" s="8" t="s">
        <v>1721</v>
      </c>
      <c r="Z65" s="18">
        <f t="shared" si="1"/>
        <v>1</v>
      </c>
      <c r="AA65" s="8"/>
      <c r="AB65" s="7"/>
      <c r="AC65" s="7"/>
      <c r="AD65" s="8" t="s">
        <v>1721</v>
      </c>
      <c r="AE65" s="8" t="s">
        <v>1727</v>
      </c>
      <c r="AF65" s="8" t="s">
        <v>1727</v>
      </c>
      <c r="AG65" s="8" t="s">
        <v>1727</v>
      </c>
      <c r="AH65" s="47"/>
      <c r="AI65" s="47">
        <f>VLOOKUP(B65,'Components Usage'!A$2:C$603,3,FALSE)</f>
        <v>0</v>
      </c>
      <c r="AJ65" s="28" t="s">
        <v>2401</v>
      </c>
    </row>
    <row r="66" spans="1:36" hidden="1" x14ac:dyDescent="0.25">
      <c r="A66" s="16" t="str">
        <f>'Components Data Source'!A66</f>
        <v>DALI Master</v>
      </c>
      <c r="B66" s="8" t="str">
        <f>'Components Data Source'!B66</f>
        <v>5AEFAC05-EE5E-4D51-9F31-05281900A97E</v>
      </c>
      <c r="C66" s="41" t="str">
        <f>'Components Data Source'!C66</f>
        <v>DALIMaster.fcpx</v>
      </c>
      <c r="D66" s="8" t="str">
        <f>'Components Data Source'!D66</f>
        <v>Components\IO_Source\DALI Master.fcfx</v>
      </c>
      <c r="E66" s="8" t="str">
        <f>'Components Data Source'!E66</f>
        <v>COMMSC</v>
      </c>
      <c r="F66" s="8" t="str">
        <f>'Components Data Source'!F66</f>
        <v>COMMS: SYSTEM</v>
      </c>
      <c r="G66" s="8">
        <f>'Components Data Source'!G66</f>
        <v>0</v>
      </c>
      <c r="H66" s="8">
        <f>'Components Data Source'!H66</f>
        <v>0</v>
      </c>
      <c r="I66" s="8">
        <f>'Components Data Source'!I66</f>
        <v>0</v>
      </c>
      <c r="J66" s="8">
        <f>'Components Data Source'!J66</f>
        <v>1</v>
      </c>
      <c r="K66" s="8">
        <f>'Components Data Source'!K66</f>
        <v>1</v>
      </c>
      <c r="L66" s="8">
        <f>'Components Data Source'!L66</f>
        <v>0</v>
      </c>
      <c r="M66" s="8" t="s">
        <v>1727</v>
      </c>
      <c r="N66" s="17" t="str">
        <f>HYPERLINK('Components Data Source'!M66)</f>
        <v>https://www.flowcode.co.uk/wiki/index.php?title=Component:_ID_5aefac05_ee5e_4d51_9f31_05281900a97e</v>
      </c>
      <c r="O66" s="8" t="s">
        <v>1721</v>
      </c>
      <c r="P66" s="8"/>
      <c r="Q66" s="8" t="str">
        <f t="shared" si="2"/>
        <v/>
      </c>
      <c r="R66" s="1" t="s">
        <v>1721</v>
      </c>
      <c r="S66" s="1" t="s">
        <v>1721</v>
      </c>
      <c r="T66" s="1" t="s">
        <v>1721</v>
      </c>
      <c r="U66" s="1" t="s">
        <v>1721</v>
      </c>
      <c r="V66" s="1" t="s">
        <v>1731</v>
      </c>
      <c r="W66" s="1" t="s">
        <v>1731</v>
      </c>
      <c r="X66" s="1" t="s">
        <v>1727</v>
      </c>
      <c r="Y66" s="8" t="s">
        <v>1727</v>
      </c>
      <c r="Z66" s="18">
        <f t="shared" ref="Z66:Z129" si="3">IF(AND(R66="Y",Y66="Y"),1,IF(R66="N",2,IF(R66="",4,IF(Y66="A",3,0))))</f>
        <v>0</v>
      </c>
      <c r="AA66" s="8" t="s">
        <v>1727</v>
      </c>
      <c r="AB66" s="6" t="s">
        <v>2523</v>
      </c>
      <c r="AC66" s="7"/>
      <c r="AD66" s="8" t="s">
        <v>1721</v>
      </c>
      <c r="AE66" s="8" t="s">
        <v>1721</v>
      </c>
      <c r="AF66" s="8" t="s">
        <v>1727</v>
      </c>
      <c r="AG66" s="8" t="s">
        <v>1721</v>
      </c>
      <c r="AH66" s="47"/>
      <c r="AI66" s="47">
        <f>VLOOKUP(B66,'Components Usage'!A$2:C$603,3,FALSE)</f>
        <v>1</v>
      </c>
      <c r="AJ66" s="28" t="s">
        <v>2401</v>
      </c>
    </row>
    <row r="67" spans="1:36" hidden="1" x14ac:dyDescent="0.25">
      <c r="A67" s="16" t="str">
        <f>'Components Data Source'!A67</f>
        <v>DALI Slave</v>
      </c>
      <c r="B67" s="8" t="str">
        <f>'Components Data Source'!B67</f>
        <v>C714F39E-C8FB-413F-AFDA-2D169E655134</v>
      </c>
      <c r="C67" s="41" t="str">
        <f>'Components Data Source'!C67</f>
        <v>DALISlave.fcpx</v>
      </c>
      <c r="D67" s="8" t="str">
        <f>'Components Data Source'!D67</f>
        <v>Components\IO_Source\DALI Slave.fcfx</v>
      </c>
      <c r="E67" s="8" t="str">
        <f>'Components Data Source'!E67</f>
        <v>COMMSC</v>
      </c>
      <c r="F67" s="8" t="str">
        <f>'Components Data Source'!F67</f>
        <v>COMMS: SYSTEM</v>
      </c>
      <c r="G67" s="8">
        <f>'Components Data Source'!G67</f>
        <v>0</v>
      </c>
      <c r="H67" s="8">
        <f>'Components Data Source'!H67</f>
        <v>0</v>
      </c>
      <c r="I67" s="8">
        <f>'Components Data Source'!I67</f>
        <v>0</v>
      </c>
      <c r="J67" s="8">
        <f>'Components Data Source'!J67</f>
        <v>1</v>
      </c>
      <c r="K67" s="8">
        <f>'Components Data Source'!K67</f>
        <v>1</v>
      </c>
      <c r="L67" s="8">
        <f>'Components Data Source'!L67</f>
        <v>0</v>
      </c>
      <c r="M67" s="8" t="s">
        <v>1727</v>
      </c>
      <c r="N67" s="17" t="str">
        <f>HYPERLINK('Components Data Source'!M67)</f>
        <v>https://www.flowcode.co.uk/wiki/index.php?title=Component:_ID_c714f39e_c8fb_413f_afda_2d169e655134</v>
      </c>
      <c r="O67" s="8" t="s">
        <v>1721</v>
      </c>
      <c r="P67" s="8" t="s">
        <v>2775</v>
      </c>
      <c r="Q67" s="8" t="str">
        <f t="shared" si="2"/>
        <v/>
      </c>
      <c r="R67" s="1" t="s">
        <v>1721</v>
      </c>
      <c r="S67" s="1" t="s">
        <v>1721</v>
      </c>
      <c r="T67" s="1" t="s">
        <v>1721</v>
      </c>
      <c r="U67" s="1" t="s">
        <v>1721</v>
      </c>
      <c r="V67" s="1" t="s">
        <v>1731</v>
      </c>
      <c r="W67" s="1" t="s">
        <v>1731</v>
      </c>
      <c r="X67" s="1" t="s">
        <v>1727</v>
      </c>
      <c r="Y67" s="8" t="s">
        <v>1727</v>
      </c>
      <c r="Z67" s="18">
        <f t="shared" si="3"/>
        <v>0</v>
      </c>
      <c r="AA67" s="8" t="s">
        <v>1727</v>
      </c>
      <c r="AB67" s="6" t="s">
        <v>2523</v>
      </c>
      <c r="AC67" s="7"/>
      <c r="AD67" s="8" t="s">
        <v>1721</v>
      </c>
      <c r="AE67" s="8" t="s">
        <v>1721</v>
      </c>
      <c r="AF67" s="8" t="s">
        <v>1727</v>
      </c>
      <c r="AG67" s="8" t="s">
        <v>1721</v>
      </c>
      <c r="AH67" s="47"/>
      <c r="AI67" s="47">
        <f>VLOOKUP(B67,'Components Usage'!A$2:C$603,3,FALSE)</f>
        <v>0</v>
      </c>
      <c r="AJ67" s="28" t="s">
        <v>2401</v>
      </c>
    </row>
    <row r="68" spans="1:36" ht="30" hidden="1" x14ac:dyDescent="0.25">
      <c r="A68" s="16" t="str">
        <f>'Components Data Source'!A68</f>
        <v>DFPlayer (MP3 / WAV)</v>
      </c>
      <c r="B68" s="8" t="str">
        <f>'Components Data Source'!B68</f>
        <v>2061D38D-0CCA-440C-A842-F9C84CA55F90</v>
      </c>
      <c r="C68" s="41" t="str">
        <f>'Components Data Source'!C68</f>
        <v>DFPlayer.fcpx</v>
      </c>
      <c r="D68" s="8" t="str">
        <f>'Components Data Source'!D68</f>
        <v>Components\IO_Source\DFPlayer.fcfx</v>
      </c>
      <c r="E68" s="8" t="str">
        <f>'Components Data Source'!E68</f>
        <v>COMMSA</v>
      </c>
      <c r="F68" s="8" t="str">
        <f>'Components Data Source'!F68</f>
        <v>AUDIO OUTPUT</v>
      </c>
      <c r="G68" s="8" t="str">
        <f>'Components Data Source'!G68</f>
        <v xml:space="preserve">INDICATORS </v>
      </c>
      <c r="H68" s="8">
        <f>'Components Data Source'!H68</f>
        <v>0</v>
      </c>
      <c r="I68" s="8" t="str">
        <f>'Components Data Source'!I68</f>
        <v xml:space="preserve">UART </v>
      </c>
      <c r="J68" s="8">
        <f>'Components Data Source'!J68</f>
        <v>1</v>
      </c>
      <c r="K68" s="8">
        <f>'Components Data Source'!K68</f>
        <v>1</v>
      </c>
      <c r="L68" s="8">
        <f>'Components Data Source'!L68</f>
        <v>1</v>
      </c>
      <c r="M68" s="8" t="s">
        <v>1727</v>
      </c>
      <c r="N68" s="17" t="str">
        <f>HYPERLINK('Components Data Source'!M68)</f>
        <v>https://www.flowcode.co.uk/wiki/index.php?title=Component:_ID_2061d38d_0cca_440c_a842_f9c84ca55f90</v>
      </c>
      <c r="O68" s="8" t="s">
        <v>1721</v>
      </c>
      <c r="P68" s="8" t="s">
        <v>2592</v>
      </c>
      <c r="Q68" s="8" t="str">
        <f t="shared" si="2"/>
        <v/>
      </c>
      <c r="R68" s="8" t="s">
        <v>1721</v>
      </c>
      <c r="S68" s="8" t="s">
        <v>1721</v>
      </c>
      <c r="T68" s="8" t="s">
        <v>1721</v>
      </c>
      <c r="U68" s="8" t="s">
        <v>1721</v>
      </c>
      <c r="V68" s="8" t="s">
        <v>1731</v>
      </c>
      <c r="W68" s="8" t="s">
        <v>1183</v>
      </c>
      <c r="X68" s="8" t="s">
        <v>1721</v>
      </c>
      <c r="Y68" s="8" t="s">
        <v>1721</v>
      </c>
      <c r="Z68" s="18">
        <f t="shared" si="3"/>
        <v>1</v>
      </c>
      <c r="AA68" s="8"/>
      <c r="AB68" s="7" t="s">
        <v>1735</v>
      </c>
      <c r="AC68" s="7"/>
      <c r="AD68" s="8" t="s">
        <v>1727</v>
      </c>
      <c r="AE68" s="8" t="s">
        <v>1727</v>
      </c>
      <c r="AF68" s="8" t="s">
        <v>1727</v>
      </c>
      <c r="AG68" s="8" t="s">
        <v>1727</v>
      </c>
      <c r="AH68" s="47"/>
      <c r="AI68" s="47">
        <f>VLOOKUP(B68,'Components Usage'!A$2:C$603,3,FALSE)</f>
        <v>1</v>
      </c>
      <c r="AJ68" s="28"/>
    </row>
    <row r="69" spans="1:36" hidden="1" x14ac:dyDescent="0.25">
      <c r="A69" s="16" t="str">
        <f>'Components Data Source'!A69</f>
        <v>Temp / Humidity (DHT11)</v>
      </c>
      <c r="B69" s="8" t="str">
        <f>'Components Data Source'!B69</f>
        <v>40785D28-4FE3-4AEC-A5D9-BA30B2D58760</v>
      </c>
      <c r="C69" s="41" t="str">
        <f>'Components Data Source'!C69</f>
        <v>DHT11.fcpx</v>
      </c>
      <c r="D69" s="8" t="str">
        <f>'Components Data Source'!D69</f>
        <v>Components\IO_Source\Sensors\DHT11.fcfx</v>
      </c>
      <c r="E69" s="8" t="str">
        <f>'Components Data Source'!E69</f>
        <v>SENSORS</v>
      </c>
      <c r="F69" s="8" t="str">
        <f>'Components Data Source'!F69</f>
        <v>ENVIRONMENTAL</v>
      </c>
      <c r="G69" s="8">
        <f>'Components Data Source'!G69</f>
        <v>0</v>
      </c>
      <c r="H69" s="8">
        <f>'Components Data Source'!H69</f>
        <v>0</v>
      </c>
      <c r="I69" s="8">
        <f>'Components Data Source'!I69</f>
        <v>0</v>
      </c>
      <c r="J69" s="8">
        <f>'Components Data Source'!J69</f>
        <v>1</v>
      </c>
      <c r="K69" s="8">
        <f>'Components Data Source'!K69</f>
        <v>1</v>
      </c>
      <c r="L69" s="8">
        <f>'Components Data Source'!L69</f>
        <v>0</v>
      </c>
      <c r="M69" s="8" t="s">
        <v>1727</v>
      </c>
      <c r="N69" s="17" t="str">
        <f>HYPERLINK('Components Data Source'!M69)</f>
        <v>https://www.flowcode.co.uk/wiki/index.php?title=Component:_ID_40785d28_4fe3_4aec_a5d9_ba30b2d58760</v>
      </c>
      <c r="O69" s="8" t="s">
        <v>1721</v>
      </c>
      <c r="P69" s="8"/>
      <c r="Q69" s="8" t="str">
        <f t="shared" si="2"/>
        <v/>
      </c>
      <c r="R69" s="1" t="s">
        <v>1721</v>
      </c>
      <c r="S69" s="1" t="s">
        <v>1721</v>
      </c>
      <c r="T69" s="1" t="s">
        <v>1727</v>
      </c>
      <c r="U69" s="1" t="s">
        <v>1721</v>
      </c>
      <c r="V69" s="1" t="s">
        <v>1731</v>
      </c>
      <c r="W69" s="1" t="s">
        <v>1731</v>
      </c>
      <c r="X69" s="1" t="s">
        <v>1721</v>
      </c>
      <c r="Y69" s="8" t="s">
        <v>1721</v>
      </c>
      <c r="Z69" s="18">
        <f t="shared" si="3"/>
        <v>1</v>
      </c>
      <c r="AA69" s="8"/>
      <c r="AB69" s="6" t="s">
        <v>2476</v>
      </c>
      <c r="AC69" s="7"/>
      <c r="AD69" s="8" t="s">
        <v>1721</v>
      </c>
      <c r="AE69" s="8" t="s">
        <v>1721</v>
      </c>
      <c r="AF69" s="8" t="s">
        <v>1727</v>
      </c>
      <c r="AG69" s="8" t="s">
        <v>1721</v>
      </c>
      <c r="AH69" s="47"/>
      <c r="AI69" s="47">
        <f>VLOOKUP(B69,'Components Usage'!A$2:C$603,3,FALSE)</f>
        <v>5</v>
      </c>
      <c r="AJ69" s="28" t="s">
        <v>2401</v>
      </c>
    </row>
    <row r="70" spans="1:36" hidden="1" x14ac:dyDescent="0.25">
      <c r="A70" s="16" t="str">
        <f>'Components Data Source'!A70</f>
        <v>Temp / Humidity (DHT22)</v>
      </c>
      <c r="B70" s="8" t="str">
        <f>'Components Data Source'!B70</f>
        <v>95A1525B-7E03-4836-8C09-59BF174F603B</v>
      </c>
      <c r="C70" s="41" t="str">
        <f>'Components Data Source'!C70</f>
        <v>DHT22.fcpx</v>
      </c>
      <c r="D70" s="8" t="str">
        <f>'Components Data Source'!D70</f>
        <v>Components\IO_Source\Sensors\DHT22.fcfx</v>
      </c>
      <c r="E70" s="8" t="str">
        <f>'Components Data Source'!E70</f>
        <v>SENSORS</v>
      </c>
      <c r="F70" s="8" t="str">
        <f>'Components Data Source'!F70</f>
        <v>ENVIRONMENTAL</v>
      </c>
      <c r="G70" s="8">
        <f>'Components Data Source'!G70</f>
        <v>0</v>
      </c>
      <c r="H70" s="8">
        <f>'Components Data Source'!H70</f>
        <v>0</v>
      </c>
      <c r="I70" s="8">
        <f>'Components Data Source'!I70</f>
        <v>0</v>
      </c>
      <c r="J70" s="8">
        <f>'Components Data Source'!J70</f>
        <v>1</v>
      </c>
      <c r="K70" s="8">
        <f>'Components Data Source'!K70</f>
        <v>1</v>
      </c>
      <c r="L70" s="8">
        <f>'Components Data Source'!L70</f>
        <v>0</v>
      </c>
      <c r="M70" s="8" t="s">
        <v>1727</v>
      </c>
      <c r="N70" s="17" t="str">
        <f>HYPERLINK('Components Data Source'!M70)</f>
        <v>https://www.flowcode.co.uk/wiki/index.php?title=Component:_ID_95a1525b_7e03_4836_8c09_59bf174f603b</v>
      </c>
      <c r="O70" s="8" t="s">
        <v>1721</v>
      </c>
      <c r="P70" s="8"/>
      <c r="Q70" s="8" t="str">
        <f t="shared" si="2"/>
        <v/>
      </c>
      <c r="R70" s="1" t="s">
        <v>1721</v>
      </c>
      <c r="S70" s="1" t="s">
        <v>1721</v>
      </c>
      <c r="T70" s="8" t="s">
        <v>1727</v>
      </c>
      <c r="U70" s="8" t="s">
        <v>1721</v>
      </c>
      <c r="V70" s="1" t="s">
        <v>1731</v>
      </c>
      <c r="W70" s="1" t="s">
        <v>1731</v>
      </c>
      <c r="X70" s="8" t="s">
        <v>1721</v>
      </c>
      <c r="Y70" s="8" t="s">
        <v>1721</v>
      </c>
      <c r="Z70" s="18">
        <f t="shared" si="3"/>
        <v>1</v>
      </c>
      <c r="AA70" s="8"/>
      <c r="AB70" s="6" t="s">
        <v>2428</v>
      </c>
      <c r="AC70" s="7"/>
      <c r="AD70" s="8" t="s">
        <v>1721</v>
      </c>
      <c r="AE70" s="8" t="s">
        <v>1721</v>
      </c>
      <c r="AF70" s="8" t="s">
        <v>1727</v>
      </c>
      <c r="AG70" s="8" t="s">
        <v>1721</v>
      </c>
      <c r="AH70" s="47"/>
      <c r="AI70" s="47">
        <f>VLOOKUP(B70,'Components Usage'!A$2:C$603,3,FALSE)</f>
        <v>22</v>
      </c>
      <c r="AJ70" s="28" t="s">
        <v>2401</v>
      </c>
    </row>
    <row r="71" spans="1:36" hidden="1" x14ac:dyDescent="0.25">
      <c r="A71" s="16" t="str">
        <f>'Components Data Source'!A71</f>
        <v>DMX-512 Master</v>
      </c>
      <c r="B71" s="8" t="str">
        <f>'Components Data Source'!B71</f>
        <v>B4E10F9E-4EA9-4FBC-A584-A4D7D4D8FBA6</v>
      </c>
      <c r="C71" s="41" t="str">
        <f>'Components Data Source'!C71</f>
        <v>DMX512Master.fcpx</v>
      </c>
      <c r="D71" s="8" t="str">
        <f>'Components Data Source'!D71</f>
        <v>Components\IO_Source\DMX-512 Master.fcfx</v>
      </c>
      <c r="E71" s="8" t="str">
        <f>'Components Data Source'!E71</f>
        <v>COMMSC</v>
      </c>
      <c r="F71" s="8" t="str">
        <f>'Components Data Source'!F71</f>
        <v>COMMS: SYSTEM</v>
      </c>
      <c r="G71" s="8">
        <f>'Components Data Source'!G71</f>
        <v>0</v>
      </c>
      <c r="H71" s="8">
        <f>'Components Data Source'!H71</f>
        <v>0</v>
      </c>
      <c r="I71" s="8" t="str">
        <f>'Components Data Source'!I71</f>
        <v xml:space="preserve">UART </v>
      </c>
      <c r="J71" s="8">
        <f>'Components Data Source'!J71</f>
        <v>1</v>
      </c>
      <c r="K71" s="8">
        <f>'Components Data Source'!K71</f>
        <v>1</v>
      </c>
      <c r="L71" s="8">
        <f>'Components Data Source'!L71</f>
        <v>0</v>
      </c>
      <c r="M71" s="8" t="s">
        <v>1727</v>
      </c>
      <c r="N71" s="17" t="str">
        <f>HYPERLINK('Components Data Source'!M71)</f>
        <v>https://www.flowcode.co.uk/wiki/index.php?title=Component:_ID_b4e10f9e_4ea9_4fbc_a584_a4d7d4d8fba6</v>
      </c>
      <c r="O71" s="8" t="s">
        <v>1721</v>
      </c>
      <c r="P71" s="8" t="s">
        <v>2774</v>
      </c>
      <c r="Q71" s="8" t="str">
        <f t="shared" si="2"/>
        <v/>
      </c>
      <c r="R71" s="1" t="s">
        <v>1721</v>
      </c>
      <c r="S71" s="1" t="s">
        <v>1721</v>
      </c>
      <c r="T71" s="1" t="s">
        <v>1721</v>
      </c>
      <c r="U71" s="1"/>
      <c r="V71" s="1" t="s">
        <v>1731</v>
      </c>
      <c r="W71" s="1" t="s">
        <v>1183</v>
      </c>
      <c r="X71" s="1" t="s">
        <v>1721</v>
      </c>
      <c r="Y71" s="8" t="s">
        <v>1721</v>
      </c>
      <c r="Z71" s="18">
        <f t="shared" si="3"/>
        <v>1</v>
      </c>
      <c r="AA71" s="8"/>
      <c r="AB71" s="6" t="s">
        <v>2477</v>
      </c>
      <c r="AC71" s="7"/>
      <c r="AD71" s="8" t="s">
        <v>1721</v>
      </c>
      <c r="AE71" s="8" t="s">
        <v>1721</v>
      </c>
      <c r="AF71" s="8" t="s">
        <v>1727</v>
      </c>
      <c r="AG71" s="8" t="s">
        <v>1721</v>
      </c>
      <c r="AH71" s="47"/>
      <c r="AI71" s="47">
        <f>VLOOKUP(B71,'Components Usage'!A$2:C$603,3,FALSE)</f>
        <v>2</v>
      </c>
      <c r="AJ71" s="28" t="s">
        <v>2401</v>
      </c>
    </row>
    <row r="72" spans="1:36" hidden="1" x14ac:dyDescent="0.25">
      <c r="A72" s="16" t="str">
        <f>'Components Data Source'!A72</f>
        <v>DMX-512 Slave</v>
      </c>
      <c r="B72" s="8" t="str">
        <f>'Components Data Source'!B72</f>
        <v>1BE0AC44-3521-402E-A8B7-1FAF86C09560</v>
      </c>
      <c r="C72" s="41" t="str">
        <f>'Components Data Source'!C72</f>
        <v>DMX512Slave.fcpx</v>
      </c>
      <c r="D72" s="8" t="str">
        <f>'Components Data Source'!D72</f>
        <v>Components\IO_Source\DMX-512 Slave.fcfx</v>
      </c>
      <c r="E72" s="8" t="str">
        <f>'Components Data Source'!E72</f>
        <v>COMMSC</v>
      </c>
      <c r="F72" s="8" t="str">
        <f>'Components Data Source'!F72</f>
        <v>COMMS: SYSTEM</v>
      </c>
      <c r="G72" s="8">
        <f>'Components Data Source'!G72</f>
        <v>0</v>
      </c>
      <c r="H72" s="8">
        <f>'Components Data Source'!H72</f>
        <v>0</v>
      </c>
      <c r="I72" s="8" t="str">
        <f>'Components Data Source'!I72</f>
        <v xml:space="preserve">UART </v>
      </c>
      <c r="J72" s="8">
        <f>'Components Data Source'!J72</f>
        <v>1</v>
      </c>
      <c r="K72" s="8">
        <f>'Components Data Source'!K72</f>
        <v>1</v>
      </c>
      <c r="L72" s="8">
        <f>'Components Data Source'!L72</f>
        <v>0</v>
      </c>
      <c r="M72" s="8" t="s">
        <v>1727</v>
      </c>
      <c r="N72" s="17" t="str">
        <f>HYPERLINK('Components Data Source'!M72)</f>
        <v>https://www.flowcode.co.uk/wiki/index.php?title=Component:_ID_1be0ac44_3521_402e_a8b7_1faf86c09560</v>
      </c>
      <c r="O72" s="8" t="s">
        <v>1721</v>
      </c>
      <c r="P72" s="8" t="s">
        <v>2774</v>
      </c>
      <c r="Q72" s="8" t="str">
        <f t="shared" si="2"/>
        <v/>
      </c>
      <c r="R72" s="1" t="s">
        <v>1721</v>
      </c>
      <c r="S72" s="1" t="s">
        <v>1721</v>
      </c>
      <c r="T72" s="1" t="s">
        <v>1721</v>
      </c>
      <c r="U72" s="1"/>
      <c r="V72" s="1" t="s">
        <v>1731</v>
      </c>
      <c r="W72" s="1" t="s">
        <v>1183</v>
      </c>
      <c r="X72" s="1" t="s">
        <v>1721</v>
      </c>
      <c r="Y72" s="8" t="s">
        <v>1721</v>
      </c>
      <c r="Z72" s="18">
        <f t="shared" si="3"/>
        <v>1</v>
      </c>
      <c r="AA72" s="8"/>
      <c r="AB72" s="6"/>
      <c r="AC72" s="7"/>
      <c r="AD72" s="8" t="s">
        <v>1721</v>
      </c>
      <c r="AE72" s="8" t="s">
        <v>1721</v>
      </c>
      <c r="AF72" s="8" t="s">
        <v>1727</v>
      </c>
      <c r="AG72" s="8" t="s">
        <v>1721</v>
      </c>
      <c r="AH72" s="47"/>
      <c r="AI72" s="47">
        <f>VLOOKUP(B72,'Components Usage'!A$2:C$603,3,FALSE)</f>
        <v>12</v>
      </c>
      <c r="AJ72" s="28" t="s">
        <v>2401</v>
      </c>
    </row>
    <row r="73" spans="1:36" hidden="1" x14ac:dyDescent="0.25">
      <c r="A73" s="16" t="str">
        <f>'Components Data Source'!A73</f>
        <v>Input ADC</v>
      </c>
      <c r="B73" s="8" t="str">
        <f>'Components Data Source'!B73</f>
        <v>3420D1EA-BC10-4727-8419-746101B8DC13</v>
      </c>
      <c r="C73" s="41" t="str">
        <f>'Components Data Source'!C73</f>
        <v>DSPAnInput.fcpx</v>
      </c>
      <c r="D73" s="8" t="str">
        <f>'Components Data Source'!D73</f>
        <v>Components\IO_Source\DSP\DSP_ADCInput.fcfx</v>
      </c>
      <c r="E73" s="8" t="str">
        <f>'Components Data Source'!E73</f>
        <v>DSP</v>
      </c>
      <c r="F73" s="8" t="str">
        <f>'Components Data Source'!F73</f>
        <v>DSP</v>
      </c>
      <c r="G73" s="8">
        <f>'Components Data Source'!G73</f>
        <v>0</v>
      </c>
      <c r="H73" s="8">
        <f>'Components Data Source'!H73</f>
        <v>0</v>
      </c>
      <c r="I73" s="8">
        <f>'Components Data Source'!I73</f>
        <v>0</v>
      </c>
      <c r="J73" s="8">
        <f>'Components Data Source'!J73</f>
        <v>1</v>
      </c>
      <c r="K73" s="8">
        <f>'Components Data Source'!K73</f>
        <v>1</v>
      </c>
      <c r="L73" s="8">
        <f>'Components Data Source'!L73</f>
        <v>0</v>
      </c>
      <c r="M73" s="8" t="s">
        <v>1727</v>
      </c>
      <c r="N73" s="17" t="str">
        <f>HYPERLINK('Components Data Source'!M73)</f>
        <v>https://www.flowcode.co.uk/wiki/index.php?title=Component:_ID_3420d1ea_bc10_4727_8419_746101b8dc13</v>
      </c>
      <c r="O73" s="8" t="s">
        <v>1721</v>
      </c>
      <c r="P73" s="8" t="s">
        <v>2776</v>
      </c>
      <c r="Q73" s="8" t="str">
        <f t="shared" si="2"/>
        <v/>
      </c>
      <c r="R73" s="8" t="s">
        <v>1727</v>
      </c>
      <c r="S73" s="8"/>
      <c r="T73" s="8"/>
      <c r="U73" s="8"/>
      <c r="V73" s="8" t="s">
        <v>1730</v>
      </c>
      <c r="W73" s="8" t="s">
        <v>1730</v>
      </c>
      <c r="X73" s="8"/>
      <c r="Y73" s="8"/>
      <c r="Z73" s="18">
        <f t="shared" si="3"/>
        <v>2</v>
      </c>
      <c r="AA73" s="8"/>
      <c r="AB73" s="7"/>
      <c r="AC73" s="7"/>
      <c r="AD73" s="8" t="s">
        <v>1721</v>
      </c>
      <c r="AE73" s="8" t="s">
        <v>1721</v>
      </c>
      <c r="AF73" s="8" t="s">
        <v>2401</v>
      </c>
      <c r="AG73" s="8" t="s">
        <v>1727</v>
      </c>
      <c r="AH73" s="47"/>
      <c r="AI73" s="47">
        <f>VLOOKUP(B73,'Components Usage'!A$2:C$603,3,FALSE)</f>
        <v>6</v>
      </c>
      <c r="AJ73" s="28" t="s">
        <v>2401</v>
      </c>
    </row>
    <row r="74" spans="1:36" hidden="1" x14ac:dyDescent="0.25">
      <c r="A74" s="16" t="str">
        <f>'Components Data Source'!A74</f>
        <v>PID Control</v>
      </c>
      <c r="B74" s="8" t="str">
        <f>'Components Data Source'!B74</f>
        <v>E6DD1315-4ACF-4FB5-ABD9-5743D3715CBE</v>
      </c>
      <c r="C74" s="41" t="str">
        <f>'Components Data Source'!C74</f>
        <v>DSPControl.fcpx</v>
      </c>
      <c r="D74" s="8" t="str">
        <f>'Components Data Source'!D74</f>
        <v>Components\IO_Source\DSP\DSP_PIDControl.fcfx</v>
      </c>
      <c r="E74" s="8" t="str">
        <f>'Components Data Source'!E74</f>
        <v>DSP</v>
      </c>
      <c r="F74" s="8" t="str">
        <f>'Components Data Source'!F74</f>
        <v>DSP</v>
      </c>
      <c r="G74" s="8">
        <f>'Components Data Source'!G74</f>
        <v>0</v>
      </c>
      <c r="H74" s="8">
        <f>'Components Data Source'!H74</f>
        <v>0</v>
      </c>
      <c r="I74" s="8">
        <f>'Components Data Source'!I74</f>
        <v>0</v>
      </c>
      <c r="J74" s="8">
        <f>'Components Data Source'!J74</f>
        <v>1</v>
      </c>
      <c r="K74" s="8">
        <f>'Components Data Source'!K74</f>
        <v>1</v>
      </c>
      <c r="L74" s="8">
        <f>'Components Data Source'!L74</f>
        <v>1</v>
      </c>
      <c r="M74" s="8" t="s">
        <v>1727</v>
      </c>
      <c r="N74" s="17" t="str">
        <f>HYPERLINK('Components Data Source'!M74)</f>
        <v>https://www.flowcode.co.uk/wiki/index.php?title=Component:_ID_e6dd1315_4acf_4fb5_abd9_5743d3715cbe</v>
      </c>
      <c r="O74" s="8" t="s">
        <v>1721</v>
      </c>
      <c r="P74" s="8"/>
      <c r="Q74" s="8" t="str">
        <f t="shared" si="2"/>
        <v/>
      </c>
      <c r="R74" s="8" t="s">
        <v>1727</v>
      </c>
      <c r="S74" s="8"/>
      <c r="T74" s="8"/>
      <c r="U74" s="8"/>
      <c r="V74" s="8" t="s">
        <v>1730</v>
      </c>
      <c r="W74" s="8" t="s">
        <v>1730</v>
      </c>
      <c r="X74" s="8"/>
      <c r="Y74" s="8"/>
      <c r="Z74" s="18">
        <f t="shared" si="3"/>
        <v>2</v>
      </c>
      <c r="AA74" s="8"/>
      <c r="AB74" s="7"/>
      <c r="AC74" s="7"/>
      <c r="AD74" s="8" t="s">
        <v>1721</v>
      </c>
      <c r="AE74" s="8" t="s">
        <v>1721</v>
      </c>
      <c r="AF74" s="8" t="s">
        <v>2401</v>
      </c>
      <c r="AG74" s="8" t="s">
        <v>1721</v>
      </c>
      <c r="AH74" s="47"/>
      <c r="AI74" s="47">
        <f>VLOOKUP(B74,'Components Usage'!A$2:C$603,3,FALSE)</f>
        <v>19</v>
      </c>
      <c r="AJ74" s="28" t="s">
        <v>2401</v>
      </c>
    </row>
    <row r="75" spans="1:36" hidden="1" x14ac:dyDescent="0.25">
      <c r="A75" s="16" t="str">
        <f>'Components Data Source'!A75</f>
        <v>Output DAC</v>
      </c>
      <c r="B75" s="8" t="str">
        <f>'Components Data Source'!B75</f>
        <v>4483DA18-FA5A-4436-9EDB-0CFB55A4BCE1</v>
      </c>
      <c r="C75" s="41" t="str">
        <f>'Components Data Source'!C75</f>
        <v>DSPDAC.fcpx</v>
      </c>
      <c r="D75" s="8" t="str">
        <f>'Components Data Source'!D75</f>
        <v>Components\IO_Source\DSP\DSP_DAC.fcfx</v>
      </c>
      <c r="E75" s="8" t="str">
        <f>'Components Data Source'!E75</f>
        <v>DSP</v>
      </c>
      <c r="F75" s="8" t="str">
        <f>'Components Data Source'!F75</f>
        <v>DSP</v>
      </c>
      <c r="G75" s="8">
        <f>'Components Data Source'!G75</f>
        <v>0</v>
      </c>
      <c r="H75" s="8">
        <f>'Components Data Source'!H75</f>
        <v>0</v>
      </c>
      <c r="I75" s="8">
        <f>'Components Data Source'!I75</f>
        <v>0</v>
      </c>
      <c r="J75" s="8">
        <f>'Components Data Source'!J75</f>
        <v>1</v>
      </c>
      <c r="K75" s="8">
        <f>'Components Data Source'!K75</f>
        <v>1</v>
      </c>
      <c r="L75" s="8">
        <f>'Components Data Source'!L75</f>
        <v>0</v>
      </c>
      <c r="M75" s="8" t="s">
        <v>1727</v>
      </c>
      <c r="N75" s="17" t="str">
        <f>HYPERLINK('Components Data Source'!M75)</f>
        <v>https://www.flowcode.co.uk/wiki/index.php?title=Component:_ID_4483da18_fa5a_4436_9edb_0cfb55a4bce1</v>
      </c>
      <c r="O75" s="8" t="s">
        <v>1721</v>
      </c>
      <c r="P75" s="8"/>
      <c r="Q75" s="8" t="str">
        <f t="shared" si="2"/>
        <v/>
      </c>
      <c r="R75" s="8" t="s">
        <v>1727</v>
      </c>
      <c r="S75" s="8"/>
      <c r="T75" s="8"/>
      <c r="U75" s="8"/>
      <c r="V75" s="8" t="s">
        <v>1730</v>
      </c>
      <c r="W75" s="8" t="s">
        <v>1730</v>
      </c>
      <c r="X75" s="8"/>
      <c r="Y75" s="8"/>
      <c r="Z75" s="18">
        <f t="shared" si="3"/>
        <v>2</v>
      </c>
      <c r="AA75" s="8"/>
      <c r="AB75" s="7"/>
      <c r="AC75" s="7"/>
      <c r="AD75" s="8" t="s">
        <v>1721</v>
      </c>
      <c r="AE75" s="8" t="s">
        <v>1727</v>
      </c>
      <c r="AF75" s="8" t="s">
        <v>2401</v>
      </c>
      <c r="AG75" s="8" t="s">
        <v>1727</v>
      </c>
      <c r="AH75" s="47"/>
      <c r="AI75" s="47">
        <f>VLOOKUP(B75,'Components Usage'!A$2:C$603,3,FALSE)</f>
        <v>0</v>
      </c>
      <c r="AJ75" s="28" t="s">
        <v>2401</v>
      </c>
    </row>
    <row r="76" spans="1:36" hidden="1" x14ac:dyDescent="0.25">
      <c r="A76" s="16" t="str">
        <f>'Components Data Source'!A76</f>
        <v>Deinterlace</v>
      </c>
      <c r="B76" s="8" t="str">
        <f>'Components Data Source'!B76</f>
        <v>0B1D97C1-EE89-45A5-8C39-114CD6D552AD</v>
      </c>
      <c r="C76" s="41" t="str">
        <f>'Components Data Source'!C76</f>
        <v>DSPDeinterlace.fcpx</v>
      </c>
      <c r="D76" s="8" t="str">
        <f>'Components Data Source'!D76</f>
        <v>Components\IO_Source\DSP\DSP_Deinterlace.fcfx</v>
      </c>
      <c r="E76" s="8" t="str">
        <f>'Components Data Source'!E76</f>
        <v>DSP</v>
      </c>
      <c r="F76" s="8" t="str">
        <f>'Components Data Source'!F76</f>
        <v>DSP</v>
      </c>
      <c r="G76" s="8">
        <f>'Components Data Source'!G76</f>
        <v>0</v>
      </c>
      <c r="H76" s="8">
        <f>'Components Data Source'!H76</f>
        <v>0</v>
      </c>
      <c r="I76" s="8">
        <f>'Components Data Source'!I76</f>
        <v>0</v>
      </c>
      <c r="J76" s="8">
        <f>'Components Data Source'!J76</f>
        <v>1</v>
      </c>
      <c r="K76" s="8">
        <f>'Components Data Source'!K76</f>
        <v>1</v>
      </c>
      <c r="L76" s="8">
        <f>'Components Data Source'!L76</f>
        <v>1</v>
      </c>
      <c r="M76" s="8" t="s">
        <v>1727</v>
      </c>
      <c r="N76" s="17" t="str">
        <f>HYPERLINK('Components Data Source'!M76)</f>
        <v>https://www.flowcode.co.uk/wiki/index.php?title=Component:_ID_0b1d97c1_ee89_45a5_8c39_114cd6d552ad</v>
      </c>
      <c r="O76" s="8" t="s">
        <v>1721</v>
      </c>
      <c r="P76" s="8"/>
      <c r="Q76" s="8" t="str">
        <f t="shared" si="2"/>
        <v/>
      </c>
      <c r="R76" s="8" t="s">
        <v>1727</v>
      </c>
      <c r="S76" s="8"/>
      <c r="T76" s="8"/>
      <c r="U76" s="8"/>
      <c r="V76" s="8" t="s">
        <v>1730</v>
      </c>
      <c r="W76" s="8" t="s">
        <v>1730</v>
      </c>
      <c r="X76" s="8"/>
      <c r="Y76" s="8"/>
      <c r="Z76" s="18">
        <f t="shared" si="3"/>
        <v>2</v>
      </c>
      <c r="AA76" s="8"/>
      <c r="AB76" s="7"/>
      <c r="AC76" s="7"/>
      <c r="AD76" s="8" t="s">
        <v>1721</v>
      </c>
      <c r="AE76" s="8" t="s">
        <v>1727</v>
      </c>
      <c r="AF76" s="8" t="s">
        <v>2401</v>
      </c>
      <c r="AG76" s="8" t="s">
        <v>1727</v>
      </c>
      <c r="AH76" s="47"/>
      <c r="AI76" s="47">
        <f>VLOOKUP(B76,'Components Usage'!A$2:C$603,3,FALSE)</f>
        <v>0</v>
      </c>
      <c r="AJ76" s="28" t="s">
        <v>2401</v>
      </c>
    </row>
    <row r="77" spans="1:36" hidden="1" x14ac:dyDescent="0.25">
      <c r="A77" s="16" t="str">
        <f>'Components Data Source'!A77</f>
        <v>Delay</v>
      </c>
      <c r="B77" s="8" t="str">
        <f>'Components Data Source'!B77</f>
        <v>E0DDC704-6BAB-4D08-8F10-19A14C6683EF</v>
      </c>
      <c r="C77" s="41" t="str">
        <f>'Components Data Source'!C77</f>
        <v>DSPDelay.fcpx</v>
      </c>
      <c r="D77" s="8" t="str">
        <f>'Components Data Source'!D77</f>
        <v>Components\IO_Source\DSP\DSP_Delay.fcfx</v>
      </c>
      <c r="E77" s="8" t="str">
        <f>'Components Data Source'!E77</f>
        <v>DSP</v>
      </c>
      <c r="F77" s="8" t="str">
        <f>'Components Data Source'!F77</f>
        <v>DSP</v>
      </c>
      <c r="G77" s="8">
        <f>'Components Data Source'!G77</f>
        <v>0</v>
      </c>
      <c r="H77" s="8">
        <f>'Components Data Source'!H77</f>
        <v>0</v>
      </c>
      <c r="I77" s="8">
        <f>'Components Data Source'!I77</f>
        <v>0</v>
      </c>
      <c r="J77" s="8">
        <f>'Components Data Source'!J77</f>
        <v>1</v>
      </c>
      <c r="K77" s="8">
        <f>'Components Data Source'!K77</f>
        <v>1</v>
      </c>
      <c r="L77" s="8">
        <f>'Components Data Source'!L77</f>
        <v>1</v>
      </c>
      <c r="M77" s="8" t="s">
        <v>1727</v>
      </c>
      <c r="N77" s="17" t="str">
        <f>HYPERLINK('Components Data Source'!M77)</f>
        <v>https://www.flowcode.co.uk/wiki/index.php?title=Component:_ID_e0ddc704_6bab_4d08_8f10_19a14c6683ef</v>
      </c>
      <c r="O77" s="8" t="s">
        <v>1721</v>
      </c>
      <c r="P77" s="8"/>
      <c r="Q77" s="8" t="str">
        <f t="shared" si="2"/>
        <v/>
      </c>
      <c r="R77" s="8" t="s">
        <v>1727</v>
      </c>
      <c r="S77" s="8"/>
      <c r="T77" s="8"/>
      <c r="U77" s="8"/>
      <c r="V77" s="8" t="s">
        <v>1730</v>
      </c>
      <c r="W77" s="8" t="s">
        <v>1730</v>
      </c>
      <c r="X77" s="8"/>
      <c r="Y77" s="8"/>
      <c r="Z77" s="18">
        <f t="shared" si="3"/>
        <v>2</v>
      </c>
      <c r="AA77" s="8"/>
      <c r="AB77" s="7"/>
      <c r="AC77" s="7"/>
      <c r="AD77" s="8" t="s">
        <v>1721</v>
      </c>
      <c r="AE77" s="8" t="s">
        <v>1721</v>
      </c>
      <c r="AF77" s="8" t="s">
        <v>2401</v>
      </c>
      <c r="AG77" s="8" t="s">
        <v>1721</v>
      </c>
      <c r="AH77" s="47"/>
      <c r="AI77" s="47">
        <f>VLOOKUP(B77,'Components Usage'!A$2:C$603,3,FALSE)</f>
        <v>3</v>
      </c>
      <c r="AJ77" s="28" t="s">
        <v>2401</v>
      </c>
    </row>
    <row r="78" spans="1:36" hidden="1" x14ac:dyDescent="0.25">
      <c r="A78" s="16" t="str">
        <f>'Components Data Source'!A78</f>
        <v>Fast Fourier Transform (FFT)</v>
      </c>
      <c r="B78" s="8" t="str">
        <f>'Components Data Source'!B78</f>
        <v>F804A7BD-0280-4FF7-AB75-63BE77FB2AF3</v>
      </c>
      <c r="C78" s="41" t="str">
        <f>'Components Data Source'!C78</f>
        <v>DSPFFT.fcpx</v>
      </c>
      <c r="D78" s="8" t="str">
        <f>'Components Data Source'!D78</f>
        <v>Components\IO_Source\DSP\DSP_FFT.fcfx</v>
      </c>
      <c r="E78" s="8" t="str">
        <f>'Components Data Source'!E78</f>
        <v>DSP</v>
      </c>
      <c r="F78" s="8" t="str">
        <f>'Components Data Source'!F78</f>
        <v>DSP</v>
      </c>
      <c r="G78" s="8">
        <f>'Components Data Source'!G78</f>
        <v>0</v>
      </c>
      <c r="H78" s="8">
        <f>'Components Data Source'!H78</f>
        <v>0</v>
      </c>
      <c r="I78" s="8">
        <f>'Components Data Source'!I78</f>
        <v>0</v>
      </c>
      <c r="J78" s="8">
        <f>'Components Data Source'!J78</f>
        <v>1</v>
      </c>
      <c r="K78" s="8">
        <f>'Components Data Source'!K78</f>
        <v>1</v>
      </c>
      <c r="L78" s="8">
        <f>'Components Data Source'!L78</f>
        <v>1</v>
      </c>
      <c r="M78" s="8" t="s">
        <v>1727</v>
      </c>
      <c r="N78" s="17" t="str">
        <f>HYPERLINK('Components Data Source'!M78)</f>
        <v>https://www.flowcode.co.uk/wiki/index.php?title=Component:_ID_f804a7bd_0280_4ff7_ab75_63be77fb2af3</v>
      </c>
      <c r="O78" s="8" t="s">
        <v>1721</v>
      </c>
      <c r="P78" s="8"/>
      <c r="Q78" s="8" t="str">
        <f t="shared" si="2"/>
        <v/>
      </c>
      <c r="R78" s="8" t="s">
        <v>1727</v>
      </c>
      <c r="S78" s="8"/>
      <c r="T78" s="8"/>
      <c r="U78" s="8"/>
      <c r="V78" s="8" t="s">
        <v>1730</v>
      </c>
      <c r="W78" s="8" t="s">
        <v>1730</v>
      </c>
      <c r="X78" s="8"/>
      <c r="Y78" s="8"/>
      <c r="Z78" s="18">
        <f t="shared" si="3"/>
        <v>2</v>
      </c>
      <c r="AA78" s="8"/>
      <c r="AB78" s="7"/>
      <c r="AC78" s="7"/>
      <c r="AD78" s="8" t="s">
        <v>1721</v>
      </c>
      <c r="AE78" s="8" t="s">
        <v>1721</v>
      </c>
      <c r="AF78" s="8" t="s">
        <v>2401</v>
      </c>
      <c r="AG78" s="8" t="s">
        <v>1721</v>
      </c>
      <c r="AH78" s="47"/>
      <c r="AI78" s="47">
        <f>VLOOKUP(B78,'Components Usage'!A$2:C$603,3,FALSE)</f>
        <v>5</v>
      </c>
      <c r="AJ78" s="28" t="s">
        <v>2401</v>
      </c>
    </row>
    <row r="79" spans="1:36" hidden="1" x14ac:dyDescent="0.25">
      <c r="A79" s="16" t="str">
        <f>'Components Data Source'!A79</f>
        <v>Filter</v>
      </c>
      <c r="B79" s="8" t="str">
        <f>'Components Data Source'!B79</f>
        <v>317EFB6A-2BAD-4F83-A0BC-4ADA0F4CD51E</v>
      </c>
      <c r="C79" s="41" t="str">
        <f>'Components Data Source'!C79</f>
        <v>DSPFilter.fcpx</v>
      </c>
      <c r="D79" s="8" t="str">
        <f>'Components Data Source'!D79</f>
        <v>Components\IO_Source\DSP\DSP_Filter.fcfx</v>
      </c>
      <c r="E79" s="8" t="str">
        <f>'Components Data Source'!E79</f>
        <v>DSP</v>
      </c>
      <c r="F79" s="8" t="str">
        <f>'Components Data Source'!F79</f>
        <v>DSP</v>
      </c>
      <c r="G79" s="8">
        <f>'Components Data Source'!G79</f>
        <v>0</v>
      </c>
      <c r="H79" s="8">
        <f>'Components Data Source'!H79</f>
        <v>0</v>
      </c>
      <c r="I79" s="8">
        <f>'Components Data Source'!I79</f>
        <v>0</v>
      </c>
      <c r="J79" s="8">
        <f>'Components Data Source'!J79</f>
        <v>1</v>
      </c>
      <c r="K79" s="8">
        <f>'Components Data Source'!K79</f>
        <v>1</v>
      </c>
      <c r="L79" s="8">
        <f>'Components Data Source'!L79</f>
        <v>1</v>
      </c>
      <c r="M79" s="8" t="s">
        <v>1727</v>
      </c>
      <c r="N79" s="17" t="str">
        <f>HYPERLINK('Components Data Source'!M79)</f>
        <v>https://www.flowcode.co.uk/wiki/index.php?title=Component:_ID_317efb6a_2bad_4f83_a0bc_4ada0f4cd51e</v>
      </c>
      <c r="O79" s="8" t="s">
        <v>1721</v>
      </c>
      <c r="P79" s="8"/>
      <c r="Q79" s="8" t="str">
        <f t="shared" ref="Q79:Q142" si="4">IF(L79=1,IF(K79=1,"",1),"")</f>
        <v/>
      </c>
      <c r="R79" s="8" t="s">
        <v>1727</v>
      </c>
      <c r="S79" s="8"/>
      <c r="T79" s="8"/>
      <c r="U79" s="8"/>
      <c r="V79" s="8" t="s">
        <v>1730</v>
      </c>
      <c r="W79" s="8" t="s">
        <v>1730</v>
      </c>
      <c r="X79" s="8"/>
      <c r="Y79" s="8"/>
      <c r="Z79" s="18">
        <f t="shared" si="3"/>
        <v>2</v>
      </c>
      <c r="AA79" s="8"/>
      <c r="AB79" s="7"/>
      <c r="AC79" s="7"/>
      <c r="AD79" s="8" t="s">
        <v>1721</v>
      </c>
      <c r="AE79" s="8" t="s">
        <v>1721</v>
      </c>
      <c r="AF79" s="8" t="s">
        <v>2401</v>
      </c>
      <c r="AG79" s="8" t="s">
        <v>1721</v>
      </c>
      <c r="AH79" s="47"/>
      <c r="AI79" s="47">
        <f>VLOOKUP(B79,'Components Usage'!A$2:C$603,3,FALSE)</f>
        <v>13</v>
      </c>
      <c r="AJ79" s="28" t="s">
        <v>2401</v>
      </c>
    </row>
    <row r="80" spans="1:36" hidden="1" x14ac:dyDescent="0.25">
      <c r="A80" s="16" t="str">
        <f>'Components Data Source'!A80</f>
        <v>Waveform Generator</v>
      </c>
      <c r="B80" s="8" t="str">
        <f>'Components Data Source'!B80</f>
        <v>CBE42ABC-5955-44DA-A6D0-03E7CBCDCACA</v>
      </c>
      <c r="C80" s="41" t="str">
        <f>'Components Data Source'!C80</f>
        <v>DSPFreqGen.fcpx</v>
      </c>
      <c r="D80" s="8" t="str">
        <f>'Components Data Source'!D80</f>
        <v>Components\IO_Source\DSP\DSP_Wave_Gen.fcfx</v>
      </c>
      <c r="E80" s="8" t="str">
        <f>'Components Data Source'!E80</f>
        <v>DSP</v>
      </c>
      <c r="F80" s="8" t="str">
        <f>'Components Data Source'!F80</f>
        <v>DSP</v>
      </c>
      <c r="G80" s="8">
        <f>'Components Data Source'!G80</f>
        <v>0</v>
      </c>
      <c r="H80" s="8">
        <f>'Components Data Source'!H80</f>
        <v>0</v>
      </c>
      <c r="I80" s="8">
        <f>'Components Data Source'!I80</f>
        <v>0</v>
      </c>
      <c r="J80" s="8">
        <f>'Components Data Source'!J80</f>
        <v>1</v>
      </c>
      <c r="K80" s="8">
        <f>'Components Data Source'!K80</f>
        <v>1</v>
      </c>
      <c r="L80" s="8">
        <f>'Components Data Source'!L80</f>
        <v>1</v>
      </c>
      <c r="M80" s="8" t="s">
        <v>1727</v>
      </c>
      <c r="N80" s="17" t="str">
        <f>HYPERLINK('Components Data Source'!M80)</f>
        <v>https://www.flowcode.co.uk/wiki/index.php?title=Component:_ID_cbe42abc_5955_44da_a6d0_03e7cbcdcaca</v>
      </c>
      <c r="O80" s="8" t="s">
        <v>1721</v>
      </c>
      <c r="P80" s="8"/>
      <c r="Q80" s="8" t="str">
        <f t="shared" si="4"/>
        <v/>
      </c>
      <c r="R80" s="8" t="s">
        <v>1727</v>
      </c>
      <c r="S80" s="8"/>
      <c r="T80" s="8"/>
      <c r="U80" s="8"/>
      <c r="V80" s="8" t="s">
        <v>1730</v>
      </c>
      <c r="W80" s="8" t="s">
        <v>1730</v>
      </c>
      <c r="X80" s="8"/>
      <c r="Y80" s="8"/>
      <c r="Z80" s="18">
        <f t="shared" si="3"/>
        <v>2</v>
      </c>
      <c r="AA80" s="8"/>
      <c r="AB80" s="7"/>
      <c r="AC80" s="7"/>
      <c r="AD80" s="8" t="s">
        <v>1721</v>
      </c>
      <c r="AE80" s="8" t="s">
        <v>1721</v>
      </c>
      <c r="AF80" s="8" t="s">
        <v>2401</v>
      </c>
      <c r="AG80" s="8" t="s">
        <v>1721</v>
      </c>
      <c r="AH80" s="47"/>
      <c r="AI80" s="47">
        <f>VLOOKUP(B80,'Components Usage'!A$2:C$603,3,FALSE)</f>
        <v>29</v>
      </c>
      <c r="AJ80" s="28" t="s">
        <v>2401</v>
      </c>
    </row>
    <row r="81" spans="1:36" hidden="1" x14ac:dyDescent="0.25">
      <c r="A81" s="16" t="str">
        <f>'Components Data Source'!A81</f>
        <v>Input Digital</v>
      </c>
      <c r="B81" s="8" t="str">
        <f>'Components Data Source'!B81</f>
        <v>C73D493A-B6A0-4DBE-B4B5-79648F67D11E</v>
      </c>
      <c r="C81" s="41" t="str">
        <f>'Components Data Source'!C81</f>
        <v>DSPInput.fcpx</v>
      </c>
      <c r="D81" s="8" t="str">
        <f>'Components Data Source'!D81</f>
        <v>Components\IO_Source\DSP\DSP_Input.fcfx</v>
      </c>
      <c r="E81" s="8" t="str">
        <f>'Components Data Source'!E81</f>
        <v>DSP</v>
      </c>
      <c r="F81" s="8" t="str">
        <f>'Components Data Source'!F81</f>
        <v>DSP</v>
      </c>
      <c r="G81" s="8">
        <f>'Components Data Source'!G81</f>
        <v>0</v>
      </c>
      <c r="H81" s="8">
        <f>'Components Data Source'!H81</f>
        <v>0</v>
      </c>
      <c r="I81" s="8">
        <f>'Components Data Source'!I81</f>
        <v>0</v>
      </c>
      <c r="J81" s="8">
        <f>'Components Data Source'!J81</f>
        <v>1</v>
      </c>
      <c r="K81" s="8">
        <f>'Components Data Source'!K81</f>
        <v>1</v>
      </c>
      <c r="L81" s="8">
        <f>'Components Data Source'!L81</f>
        <v>1</v>
      </c>
      <c r="M81" s="8" t="s">
        <v>1727</v>
      </c>
      <c r="N81" s="17" t="str">
        <f>HYPERLINK('Components Data Source'!M81)</f>
        <v>https://www.flowcode.co.uk/wiki/index.php?title=Component:_ID_c73d493a_b6a0_4dbe_b4b5_79648f67d11e</v>
      </c>
      <c r="O81" s="8" t="s">
        <v>1721</v>
      </c>
      <c r="P81" s="8"/>
      <c r="Q81" s="8" t="str">
        <f t="shared" si="4"/>
        <v/>
      </c>
      <c r="R81" s="8" t="s">
        <v>1727</v>
      </c>
      <c r="S81" s="8"/>
      <c r="T81" s="8"/>
      <c r="U81" s="8"/>
      <c r="V81" s="8" t="s">
        <v>1730</v>
      </c>
      <c r="W81" s="8" t="s">
        <v>1730</v>
      </c>
      <c r="X81" s="8"/>
      <c r="Y81" s="8"/>
      <c r="Z81" s="18">
        <f t="shared" si="3"/>
        <v>2</v>
      </c>
      <c r="AA81" s="8"/>
      <c r="AB81" s="7"/>
      <c r="AC81" s="7"/>
      <c r="AD81" s="8" t="s">
        <v>1721</v>
      </c>
      <c r="AE81" s="8" t="s">
        <v>1721</v>
      </c>
      <c r="AF81" s="8" t="s">
        <v>2401</v>
      </c>
      <c r="AG81" s="8" t="s">
        <v>1721</v>
      </c>
      <c r="AH81" s="47"/>
      <c r="AI81" s="47">
        <f>VLOOKUP(B81,'Components Usage'!A$2:C$603,3,FALSE)</f>
        <v>36</v>
      </c>
      <c r="AJ81" s="28" t="s">
        <v>2401</v>
      </c>
    </row>
    <row r="82" spans="1:36" hidden="1" x14ac:dyDescent="0.25">
      <c r="A82" s="16" t="str">
        <f>'Components Data Source'!A82</f>
        <v>Input CSV</v>
      </c>
      <c r="B82" s="8" t="str">
        <f>'Components Data Source'!B82</f>
        <v>73C1C565-8D04-44DD-AB78-1997D5E3C641</v>
      </c>
      <c r="C82" s="41" t="str">
        <f>'Components Data Source'!C82</f>
        <v>DSPInputCSV.fcpx</v>
      </c>
      <c r="D82" s="8" t="str">
        <f>'Components Data Source'!D82</f>
        <v>Components\IO_Source\DSP\DSP_FileInput.fcfx</v>
      </c>
      <c r="E82" s="8" t="str">
        <f>'Components Data Source'!E82</f>
        <v>DSP</v>
      </c>
      <c r="F82" s="8" t="str">
        <f>'Components Data Source'!F82</f>
        <v>DSP</v>
      </c>
      <c r="G82" s="8">
        <f>'Components Data Source'!G82</f>
        <v>0</v>
      </c>
      <c r="H82" s="8">
        <f>'Components Data Source'!H82</f>
        <v>0</v>
      </c>
      <c r="I82" s="8">
        <f>'Components Data Source'!I82</f>
        <v>0</v>
      </c>
      <c r="J82" s="8">
        <f>'Components Data Source'!J82</f>
        <v>1</v>
      </c>
      <c r="K82" s="8">
        <f>'Components Data Source'!K82</f>
        <v>1</v>
      </c>
      <c r="L82" s="8">
        <f>'Components Data Source'!L82</f>
        <v>1</v>
      </c>
      <c r="M82" s="8" t="s">
        <v>1727</v>
      </c>
      <c r="N82" s="17" t="str">
        <f>HYPERLINK('Components Data Source'!M82)</f>
        <v>https://www.flowcode.co.uk/wiki/index.php?title=Component:_ID_73c1c565_8d04_44dd_ab78_1997d5e3c641</v>
      </c>
      <c r="O82" s="8" t="s">
        <v>1721</v>
      </c>
      <c r="P82" s="8"/>
      <c r="Q82" s="8" t="str">
        <f t="shared" si="4"/>
        <v/>
      </c>
      <c r="R82" s="8" t="s">
        <v>1727</v>
      </c>
      <c r="S82" s="8"/>
      <c r="T82" s="8"/>
      <c r="U82" s="8"/>
      <c r="V82" s="8" t="s">
        <v>1730</v>
      </c>
      <c r="W82" s="8" t="s">
        <v>1730</v>
      </c>
      <c r="X82" s="8"/>
      <c r="Y82" s="8"/>
      <c r="Z82" s="18">
        <f t="shared" si="3"/>
        <v>2</v>
      </c>
      <c r="AA82" s="8"/>
      <c r="AB82" s="7"/>
      <c r="AC82" s="7"/>
      <c r="AD82" s="8" t="s">
        <v>1721</v>
      </c>
      <c r="AE82" s="8" t="s">
        <v>1727</v>
      </c>
      <c r="AF82" s="8" t="s">
        <v>2401</v>
      </c>
      <c r="AG82" s="8" t="s">
        <v>1727</v>
      </c>
      <c r="AH82" s="47"/>
      <c r="AI82" s="47">
        <f>VLOOKUP(B82,'Components Usage'!A$2:C$603,3,FALSE)</f>
        <v>3</v>
      </c>
      <c r="AJ82" s="28" t="s">
        <v>2401</v>
      </c>
    </row>
    <row r="83" spans="1:36" hidden="1" x14ac:dyDescent="0.25">
      <c r="A83" s="16" t="str">
        <f>'Components Data Source'!A83</f>
        <v>Input Digital Pin</v>
      </c>
      <c r="B83" s="8" t="str">
        <f>'Components Data Source'!B83</f>
        <v>8D6FFD33-4087-46B5-8DFD-F43513748755</v>
      </c>
      <c r="C83" s="41" t="str">
        <f>'Components Data Source'!C83</f>
        <v>DSPInputPin.fcpx</v>
      </c>
      <c r="D83" s="8" t="str">
        <f>'Components Data Source'!D83</f>
        <v>Components\IO_Source\DSP\DSP_InputPin.fcfx</v>
      </c>
      <c r="E83" s="8" t="str">
        <f>'Components Data Source'!E83</f>
        <v>DSP</v>
      </c>
      <c r="F83" s="8" t="str">
        <f>'Components Data Source'!F83</f>
        <v>DSP</v>
      </c>
      <c r="G83" s="8">
        <f>'Components Data Source'!G83</f>
        <v>0</v>
      </c>
      <c r="H83" s="8">
        <f>'Components Data Source'!H83</f>
        <v>0</v>
      </c>
      <c r="I83" s="8">
        <f>'Components Data Source'!I83</f>
        <v>0</v>
      </c>
      <c r="J83" s="8">
        <f>'Components Data Source'!J83</f>
        <v>1</v>
      </c>
      <c r="K83" s="8">
        <f>'Components Data Source'!K83</f>
        <v>1</v>
      </c>
      <c r="L83" s="8">
        <f>'Components Data Source'!L83</f>
        <v>0</v>
      </c>
      <c r="M83" s="8" t="s">
        <v>1727</v>
      </c>
      <c r="N83" s="17" t="str">
        <f>HYPERLINK('Components Data Source'!M83)</f>
        <v>https://www.flowcode.co.uk/wiki/index.php?title=Component:_ID_8d6ffd33_4087_46b5_8dfd_f43513748755</v>
      </c>
      <c r="O83" s="8" t="s">
        <v>1721</v>
      </c>
      <c r="P83" s="8"/>
      <c r="Q83" s="8" t="str">
        <f t="shared" si="4"/>
        <v/>
      </c>
      <c r="R83" s="8" t="s">
        <v>1727</v>
      </c>
      <c r="S83" s="8"/>
      <c r="T83" s="8"/>
      <c r="U83" s="8"/>
      <c r="V83" s="8" t="s">
        <v>1730</v>
      </c>
      <c r="W83" s="8" t="s">
        <v>1730</v>
      </c>
      <c r="X83" s="8"/>
      <c r="Y83" s="8"/>
      <c r="Z83" s="18">
        <f t="shared" si="3"/>
        <v>2</v>
      </c>
      <c r="AA83" s="8"/>
      <c r="AB83" s="7"/>
      <c r="AC83" s="7"/>
      <c r="AD83" s="8" t="s">
        <v>1721</v>
      </c>
      <c r="AE83" s="8" t="s">
        <v>1727</v>
      </c>
      <c r="AF83" s="8" t="s">
        <v>2401</v>
      </c>
      <c r="AG83" s="8" t="s">
        <v>1727</v>
      </c>
      <c r="AH83" s="47"/>
      <c r="AI83" s="47">
        <f>VLOOKUP(B83,'Components Usage'!A$2:C$603,3,FALSE)</f>
        <v>1</v>
      </c>
      <c r="AJ83" s="28" t="s">
        <v>2401</v>
      </c>
    </row>
    <row r="84" spans="1:36" hidden="1" x14ac:dyDescent="0.25">
      <c r="A84" s="16" t="str">
        <f>'Components Data Source'!A84</f>
        <v>Interlace</v>
      </c>
      <c r="B84" s="8" t="str">
        <f>'Components Data Source'!B84</f>
        <v>23B8DE7F-5214-4F77-9BAC-4982123B8D4B</v>
      </c>
      <c r="C84" s="41" t="str">
        <f>'Components Data Source'!C84</f>
        <v>DSPInterlace.fcpx</v>
      </c>
      <c r="D84" s="8" t="str">
        <f>'Components Data Source'!D84</f>
        <v>Components\IO_Source\DSP\DSP_Interlace.fcfx</v>
      </c>
      <c r="E84" s="8" t="str">
        <f>'Components Data Source'!E84</f>
        <v>DSP</v>
      </c>
      <c r="F84" s="8" t="str">
        <f>'Components Data Source'!F84</f>
        <v>DSP</v>
      </c>
      <c r="G84" s="8">
        <f>'Components Data Source'!G84</f>
        <v>0</v>
      </c>
      <c r="H84" s="8">
        <f>'Components Data Source'!H84</f>
        <v>0</v>
      </c>
      <c r="I84" s="8">
        <f>'Components Data Source'!I84</f>
        <v>0</v>
      </c>
      <c r="J84" s="8">
        <f>'Components Data Source'!J84</f>
        <v>1</v>
      </c>
      <c r="K84" s="8">
        <f>'Components Data Source'!K84</f>
        <v>1</v>
      </c>
      <c r="L84" s="8">
        <f>'Components Data Source'!L84</f>
        <v>1</v>
      </c>
      <c r="M84" s="8" t="s">
        <v>1727</v>
      </c>
      <c r="N84" s="17" t="str">
        <f>HYPERLINK('Components Data Source'!M84)</f>
        <v>https://www.flowcode.co.uk/wiki/index.php?title=Component:_ID_23b8de7f_5214_4f77_9bac_4982123b8d4b</v>
      </c>
      <c r="O84" s="8" t="s">
        <v>1721</v>
      </c>
      <c r="P84" s="8"/>
      <c r="Q84" s="8" t="str">
        <f t="shared" si="4"/>
        <v/>
      </c>
      <c r="R84" s="8" t="s">
        <v>1727</v>
      </c>
      <c r="S84" s="8"/>
      <c r="T84" s="8"/>
      <c r="U84" s="8"/>
      <c r="V84" s="8" t="s">
        <v>1730</v>
      </c>
      <c r="W84" s="8" t="s">
        <v>1730</v>
      </c>
      <c r="X84" s="8"/>
      <c r="Y84" s="8"/>
      <c r="Z84" s="18">
        <f t="shared" si="3"/>
        <v>2</v>
      </c>
      <c r="AA84" s="8"/>
      <c r="AB84" s="7"/>
      <c r="AC84" s="7"/>
      <c r="AD84" s="8" t="s">
        <v>1721</v>
      </c>
      <c r="AE84" s="8" t="s">
        <v>1727</v>
      </c>
      <c r="AF84" s="8" t="s">
        <v>2401</v>
      </c>
      <c r="AG84" s="8" t="s">
        <v>1727</v>
      </c>
      <c r="AH84" s="47"/>
      <c r="AI84" s="47">
        <f>VLOOKUP(B84,'Components Usage'!A$2:C$603,3,FALSE)</f>
        <v>1</v>
      </c>
      <c r="AJ84" s="28" t="s">
        <v>2401</v>
      </c>
    </row>
    <row r="85" spans="1:36" hidden="1" x14ac:dyDescent="0.25">
      <c r="A85" s="16" t="str">
        <f>'Components Data Source'!A85</f>
        <v>Kalman Filter</v>
      </c>
      <c r="B85" s="8" t="str">
        <f>'Components Data Source'!B85</f>
        <v>83FAC7AC-B7B5-4CC4-890A-394CBF16CF71</v>
      </c>
      <c r="C85" s="41" t="str">
        <f>'Components Data Source'!C85</f>
        <v>DSPKalman.fcpx</v>
      </c>
      <c r="D85" s="8" t="str">
        <f>'Components Data Source'!D85</f>
        <v>Components\IO_Source\DSP\DSP_Kalman.fcfx</v>
      </c>
      <c r="E85" s="8" t="str">
        <f>'Components Data Source'!E85</f>
        <v>DSP</v>
      </c>
      <c r="F85" s="8" t="str">
        <f>'Components Data Source'!F85</f>
        <v>DSP</v>
      </c>
      <c r="G85" s="8">
        <f>'Components Data Source'!G85</f>
        <v>0</v>
      </c>
      <c r="H85" s="8">
        <f>'Components Data Source'!H85</f>
        <v>0</v>
      </c>
      <c r="I85" s="8">
        <f>'Components Data Source'!I85</f>
        <v>0</v>
      </c>
      <c r="J85" s="8">
        <f>'Components Data Source'!J85</f>
        <v>1</v>
      </c>
      <c r="K85" s="8">
        <f>'Components Data Source'!K85</f>
        <v>1</v>
      </c>
      <c r="L85" s="8">
        <f>'Components Data Source'!L85</f>
        <v>1</v>
      </c>
      <c r="M85" s="8" t="s">
        <v>1727</v>
      </c>
      <c r="N85" s="17" t="str">
        <f>HYPERLINK('Components Data Source'!M85)</f>
        <v>https://www.flowcode.co.uk/wiki/index.php?title=Component:_ID_83fac7ac_b7b5_4cc4_890a_394cbf16cf71</v>
      </c>
      <c r="O85" s="8" t="s">
        <v>1721</v>
      </c>
      <c r="P85" s="8"/>
      <c r="Q85" s="8" t="str">
        <f t="shared" si="4"/>
        <v/>
      </c>
      <c r="R85" s="8" t="s">
        <v>1727</v>
      </c>
      <c r="S85" s="8"/>
      <c r="T85" s="8"/>
      <c r="U85" s="8"/>
      <c r="V85" s="8" t="s">
        <v>1730</v>
      </c>
      <c r="W85" s="8" t="s">
        <v>1730</v>
      </c>
      <c r="X85" s="8"/>
      <c r="Y85" s="8"/>
      <c r="Z85" s="18">
        <f t="shared" si="3"/>
        <v>2</v>
      </c>
      <c r="AA85" s="8"/>
      <c r="AB85" s="7"/>
      <c r="AC85" s="7"/>
      <c r="AD85" s="8" t="s">
        <v>1721</v>
      </c>
      <c r="AE85" s="8" t="s">
        <v>1727</v>
      </c>
      <c r="AF85" s="8" t="s">
        <v>2401</v>
      </c>
      <c r="AG85" s="8" t="s">
        <v>1727</v>
      </c>
      <c r="AH85" s="47"/>
      <c r="AI85" s="47">
        <f>VLOOKUP(B85,'Components Usage'!A$2:C$603,3,FALSE)</f>
        <v>0</v>
      </c>
      <c r="AJ85" s="28" t="s">
        <v>2401</v>
      </c>
    </row>
    <row r="86" spans="1:36" hidden="1" x14ac:dyDescent="0.25">
      <c r="A86" s="16" t="str">
        <f>'Components Data Source'!A86</f>
        <v>Level</v>
      </c>
      <c r="B86" s="8" t="str">
        <f>'Components Data Source'!B86</f>
        <v>E648C3DE-EC39-4A3F-BBD9-46E45CCE4A63</v>
      </c>
      <c r="C86" s="41" t="str">
        <f>'Components Data Source'!C86</f>
        <v>DSPLevel.fcpx</v>
      </c>
      <c r="D86" s="8" t="str">
        <f>'Components Data Source'!D86</f>
        <v>Components\IO_Source\DSP\DSP_Level.fcfx</v>
      </c>
      <c r="E86" s="8" t="str">
        <f>'Components Data Source'!E86</f>
        <v>DSP</v>
      </c>
      <c r="F86" s="8" t="str">
        <f>'Components Data Source'!F86</f>
        <v>DSP</v>
      </c>
      <c r="G86" s="8">
        <f>'Components Data Source'!G86</f>
        <v>0</v>
      </c>
      <c r="H86" s="8">
        <f>'Components Data Source'!H86</f>
        <v>0</v>
      </c>
      <c r="I86" s="8">
        <f>'Components Data Source'!I86</f>
        <v>0</v>
      </c>
      <c r="J86" s="8">
        <f>'Components Data Source'!J86</f>
        <v>1</v>
      </c>
      <c r="K86" s="8">
        <f>'Components Data Source'!K86</f>
        <v>1</v>
      </c>
      <c r="L86" s="8">
        <f>'Components Data Source'!L86</f>
        <v>1</v>
      </c>
      <c r="M86" s="8" t="s">
        <v>1727</v>
      </c>
      <c r="N86" s="17" t="str">
        <f>HYPERLINK('Components Data Source'!M86)</f>
        <v>https://www.flowcode.co.uk/wiki/index.php?title=Component:_ID_e648c3de_ec39_4a3f_bbd9_46e45cce4a63</v>
      </c>
      <c r="O86" s="8" t="s">
        <v>1721</v>
      </c>
      <c r="P86" s="8"/>
      <c r="Q86" s="8" t="str">
        <f t="shared" si="4"/>
        <v/>
      </c>
      <c r="R86" s="8" t="s">
        <v>1727</v>
      </c>
      <c r="S86" s="8"/>
      <c r="T86" s="8"/>
      <c r="U86" s="8"/>
      <c r="V86" s="8" t="s">
        <v>1730</v>
      </c>
      <c r="W86" s="8" t="s">
        <v>1730</v>
      </c>
      <c r="X86" s="8"/>
      <c r="Y86" s="8"/>
      <c r="Z86" s="18">
        <f t="shared" si="3"/>
        <v>2</v>
      </c>
      <c r="AA86" s="8"/>
      <c r="AB86" s="7"/>
      <c r="AC86" s="7"/>
      <c r="AD86" s="8" t="s">
        <v>1721</v>
      </c>
      <c r="AE86" s="8" t="s">
        <v>1721</v>
      </c>
      <c r="AF86" s="8" t="s">
        <v>2401</v>
      </c>
      <c r="AG86" s="8" t="s">
        <v>1721</v>
      </c>
      <c r="AH86" s="47"/>
      <c r="AI86" s="47">
        <f>VLOOKUP(B86,'Components Usage'!A$2:C$603,3,FALSE)</f>
        <v>8</v>
      </c>
      <c r="AJ86" s="28" t="s">
        <v>2401</v>
      </c>
    </row>
    <row r="87" spans="1:36" hidden="1" x14ac:dyDescent="0.25">
      <c r="A87" s="16" t="str">
        <f>'Components Data Source'!A87</f>
        <v>Math</v>
      </c>
      <c r="B87" s="8" t="str">
        <f>'Components Data Source'!B87</f>
        <v>82872714-F0F0-4758-91EC-BD39D2CDDDC8</v>
      </c>
      <c r="C87" s="41" t="str">
        <f>'Components Data Source'!C87</f>
        <v>DSPMath.fcpx</v>
      </c>
      <c r="D87" s="8" t="str">
        <f>'Components Data Source'!D87</f>
        <v>Components\IO_Source\DSP\DSP_Math.fcfx</v>
      </c>
      <c r="E87" s="8" t="str">
        <f>'Components Data Source'!E87</f>
        <v>DSP</v>
      </c>
      <c r="F87" s="8" t="str">
        <f>'Components Data Source'!F87</f>
        <v>DSP</v>
      </c>
      <c r="G87" s="8">
        <f>'Components Data Source'!G87</f>
        <v>0</v>
      </c>
      <c r="H87" s="8">
        <f>'Components Data Source'!H87</f>
        <v>0</v>
      </c>
      <c r="I87" s="8">
        <f>'Components Data Source'!I87</f>
        <v>0</v>
      </c>
      <c r="J87" s="8">
        <f>'Components Data Source'!J87</f>
        <v>1</v>
      </c>
      <c r="K87" s="8">
        <f>'Components Data Source'!K87</f>
        <v>1</v>
      </c>
      <c r="L87" s="8">
        <f>'Components Data Source'!L87</f>
        <v>1</v>
      </c>
      <c r="M87" s="8" t="s">
        <v>1727</v>
      </c>
      <c r="N87" s="17" t="str">
        <f>HYPERLINK('Components Data Source'!M87)</f>
        <v>https://www.flowcode.co.uk/wiki/index.php?title=Component:_ID_82872714_f0f0_4758_91ec_bd39d2cdddc8</v>
      </c>
      <c r="O87" s="8" t="s">
        <v>1721</v>
      </c>
      <c r="P87" s="8"/>
      <c r="Q87" s="8" t="str">
        <f t="shared" si="4"/>
        <v/>
      </c>
      <c r="R87" s="8" t="s">
        <v>1727</v>
      </c>
      <c r="S87" s="8"/>
      <c r="T87" s="8"/>
      <c r="U87" s="8"/>
      <c r="V87" s="8" t="s">
        <v>1730</v>
      </c>
      <c r="W87" s="8" t="s">
        <v>1730</v>
      </c>
      <c r="X87" s="8"/>
      <c r="Y87" s="8"/>
      <c r="Z87" s="18">
        <f t="shared" si="3"/>
        <v>2</v>
      </c>
      <c r="AA87" s="8"/>
      <c r="AB87" s="7" t="s">
        <v>2478</v>
      </c>
      <c r="AC87" s="7"/>
      <c r="AD87" s="8" t="s">
        <v>1721</v>
      </c>
      <c r="AE87" s="8" t="s">
        <v>1721</v>
      </c>
      <c r="AF87" s="8" t="s">
        <v>2401</v>
      </c>
      <c r="AG87" s="8" t="s">
        <v>1721</v>
      </c>
      <c r="AH87" s="47"/>
      <c r="AI87" s="47">
        <f>VLOOKUP(B87,'Components Usage'!A$2:C$603,3,FALSE)</f>
        <v>8</v>
      </c>
      <c r="AJ87" s="28" t="s">
        <v>2401</v>
      </c>
    </row>
    <row r="88" spans="1:36" hidden="1" x14ac:dyDescent="0.25">
      <c r="A88" s="16" t="str">
        <f>'Components Data Source'!A88</f>
        <v>Median</v>
      </c>
      <c r="B88" s="8" t="str">
        <f>'Components Data Source'!B88</f>
        <v>FACC8C89-963A-408E-985E-ED768A52B01A</v>
      </c>
      <c r="C88" s="41" t="str">
        <f>'Components Data Source'!C88</f>
        <v>DSPMedian.fcpx</v>
      </c>
      <c r="D88" s="8" t="str">
        <f>'Components Data Source'!D88</f>
        <v>Components\IO_Source\DSP\DSP_Median.fcfx</v>
      </c>
      <c r="E88" s="8" t="str">
        <f>'Components Data Source'!E88</f>
        <v>DSP</v>
      </c>
      <c r="F88" s="8" t="str">
        <f>'Components Data Source'!F88</f>
        <v>DSP</v>
      </c>
      <c r="G88" s="8">
        <f>'Components Data Source'!G88</f>
        <v>0</v>
      </c>
      <c r="H88" s="8">
        <f>'Components Data Source'!H88</f>
        <v>0</v>
      </c>
      <c r="I88" s="8">
        <f>'Components Data Source'!I88</f>
        <v>0</v>
      </c>
      <c r="J88" s="8">
        <f>'Components Data Source'!J88</f>
        <v>1</v>
      </c>
      <c r="K88" s="8">
        <f>'Components Data Source'!K88</f>
        <v>1</v>
      </c>
      <c r="L88" s="8">
        <f>'Components Data Source'!L88</f>
        <v>1</v>
      </c>
      <c r="M88" s="8" t="s">
        <v>1727</v>
      </c>
      <c r="N88" s="17" t="str">
        <f>HYPERLINK('Components Data Source'!M88)</f>
        <v>https://www.flowcode.co.uk/wiki/index.php?title=Component:_ID_facc8c89_963a_408e_985e_ed768a52b01a</v>
      </c>
      <c r="O88" s="8" t="s">
        <v>1721</v>
      </c>
      <c r="P88" s="8"/>
      <c r="Q88" s="8" t="str">
        <f t="shared" si="4"/>
        <v/>
      </c>
      <c r="R88" s="8" t="s">
        <v>1727</v>
      </c>
      <c r="S88" s="8"/>
      <c r="T88" s="8"/>
      <c r="U88" s="8"/>
      <c r="V88" s="8" t="s">
        <v>1730</v>
      </c>
      <c r="W88" s="8" t="s">
        <v>1730</v>
      </c>
      <c r="X88" s="8"/>
      <c r="Y88" s="8"/>
      <c r="Z88" s="18">
        <f t="shared" si="3"/>
        <v>2</v>
      </c>
      <c r="AA88" s="8"/>
      <c r="AB88" s="7"/>
      <c r="AC88" s="7"/>
      <c r="AD88" s="8" t="s">
        <v>1721</v>
      </c>
      <c r="AE88" s="8" t="s">
        <v>1727</v>
      </c>
      <c r="AF88" s="8" t="s">
        <v>2401</v>
      </c>
      <c r="AG88" s="8" t="s">
        <v>1727</v>
      </c>
      <c r="AH88" s="47"/>
      <c r="AI88" s="47">
        <f>VLOOKUP(B88,'Components Usage'!A$2:C$603,3,FALSE)</f>
        <v>0</v>
      </c>
      <c r="AJ88" s="28" t="s">
        <v>2401</v>
      </c>
    </row>
    <row r="89" spans="1:36" hidden="1" x14ac:dyDescent="0.25">
      <c r="A89" s="16" t="str">
        <f>'Components Data Source'!A89</f>
        <v>Multiplex</v>
      </c>
      <c r="B89" s="8" t="str">
        <f>'Components Data Source'!B89</f>
        <v>A9E01AA0-F224-4902-A558-6A199FC039C5</v>
      </c>
      <c r="C89" s="41" t="str">
        <f>'Components Data Source'!C89</f>
        <v>DSPMultiplex.fcpx</v>
      </c>
      <c r="D89" s="8" t="str">
        <f>'Components Data Source'!D89</f>
        <v>Components\IO_Source\DSP\DSP_Mpx.fcfx</v>
      </c>
      <c r="E89" s="8" t="str">
        <f>'Components Data Source'!E89</f>
        <v>DSP</v>
      </c>
      <c r="F89" s="8" t="str">
        <f>'Components Data Source'!F89</f>
        <v>DSP</v>
      </c>
      <c r="G89" s="8">
        <f>'Components Data Source'!G89</f>
        <v>0</v>
      </c>
      <c r="H89" s="8">
        <f>'Components Data Source'!H89</f>
        <v>0</v>
      </c>
      <c r="I89" s="8">
        <f>'Components Data Source'!I89</f>
        <v>0</v>
      </c>
      <c r="J89" s="8">
        <f>'Components Data Source'!J89</f>
        <v>1</v>
      </c>
      <c r="K89" s="8">
        <f>'Components Data Source'!K89</f>
        <v>1</v>
      </c>
      <c r="L89" s="8">
        <f>'Components Data Source'!L89</f>
        <v>1</v>
      </c>
      <c r="M89" s="8" t="s">
        <v>1727</v>
      </c>
      <c r="N89" s="17" t="str">
        <f>HYPERLINK('Components Data Source'!M89)</f>
        <v>https://www.flowcode.co.uk/wiki/index.php?title=Component:_ID_a9e01aa0_f224_4902_a558_6a199fc039c5</v>
      </c>
      <c r="O89" s="8" t="s">
        <v>1721</v>
      </c>
      <c r="P89" s="8"/>
      <c r="Q89" s="8" t="str">
        <f t="shared" si="4"/>
        <v/>
      </c>
      <c r="R89" s="8" t="s">
        <v>1727</v>
      </c>
      <c r="S89" s="8"/>
      <c r="T89" s="8"/>
      <c r="U89" s="8"/>
      <c r="V89" s="8" t="s">
        <v>1730</v>
      </c>
      <c r="W89" s="8" t="s">
        <v>1730</v>
      </c>
      <c r="X89" s="8"/>
      <c r="Y89" s="8"/>
      <c r="Z89" s="18">
        <f t="shared" si="3"/>
        <v>2</v>
      </c>
      <c r="AA89" s="8"/>
      <c r="AB89" s="7"/>
      <c r="AC89" s="7"/>
      <c r="AD89" s="8" t="s">
        <v>1721</v>
      </c>
      <c r="AE89" s="8" t="s">
        <v>1727</v>
      </c>
      <c r="AF89" s="8" t="s">
        <v>2401</v>
      </c>
      <c r="AG89" s="8" t="s">
        <v>1727</v>
      </c>
      <c r="AH89" s="47"/>
      <c r="AI89" s="47">
        <f>VLOOKUP(B89,'Components Usage'!A$2:C$603,3,FALSE)</f>
        <v>4</v>
      </c>
      <c r="AJ89" s="28" t="s">
        <v>2401</v>
      </c>
    </row>
    <row r="90" spans="1:36" hidden="1" x14ac:dyDescent="0.25">
      <c r="A90" s="16" t="str">
        <f>'Components Data Source'!A90</f>
        <v>Offset</v>
      </c>
      <c r="B90" s="8" t="str">
        <f>'Components Data Source'!B90</f>
        <v>88A7DBC4-AF92-4205-8943-ABAA77504462</v>
      </c>
      <c r="C90" s="41" t="str">
        <f>'Components Data Source'!C90</f>
        <v>DSPOffset.fcpx</v>
      </c>
      <c r="D90" s="8" t="str">
        <f>'Components Data Source'!D90</f>
        <v>Components\IO_Source\DSP\DSP_Offset.fcfx</v>
      </c>
      <c r="E90" s="8" t="str">
        <f>'Components Data Source'!E90</f>
        <v>DSP</v>
      </c>
      <c r="F90" s="8" t="str">
        <f>'Components Data Source'!F90</f>
        <v>DSP</v>
      </c>
      <c r="G90" s="8">
        <f>'Components Data Source'!G90</f>
        <v>0</v>
      </c>
      <c r="H90" s="8">
        <f>'Components Data Source'!H90</f>
        <v>0</v>
      </c>
      <c r="I90" s="8">
        <f>'Components Data Source'!I90</f>
        <v>0</v>
      </c>
      <c r="J90" s="8">
        <f>'Components Data Source'!J90</f>
        <v>1</v>
      </c>
      <c r="K90" s="8">
        <f>'Components Data Source'!K90</f>
        <v>1</v>
      </c>
      <c r="L90" s="8">
        <f>'Components Data Source'!L90</f>
        <v>1</v>
      </c>
      <c r="M90" s="8" t="s">
        <v>1727</v>
      </c>
      <c r="N90" s="17" t="str">
        <f>HYPERLINK('Components Data Source'!M90)</f>
        <v>https://www.flowcode.co.uk/wiki/index.php?title=Component:_ID_88a7dbc4_af92_4205_8943_abaa77504462</v>
      </c>
      <c r="O90" s="8" t="s">
        <v>1721</v>
      </c>
      <c r="P90" s="8"/>
      <c r="Q90" s="8" t="str">
        <f t="shared" si="4"/>
        <v/>
      </c>
      <c r="R90" s="8" t="s">
        <v>1727</v>
      </c>
      <c r="S90" s="8"/>
      <c r="T90" s="8"/>
      <c r="U90" s="8"/>
      <c r="V90" s="8" t="s">
        <v>1730</v>
      </c>
      <c r="W90" s="8" t="s">
        <v>1730</v>
      </c>
      <c r="X90" s="8"/>
      <c r="Y90" s="8"/>
      <c r="Z90" s="18">
        <f t="shared" si="3"/>
        <v>2</v>
      </c>
      <c r="AA90" s="8"/>
      <c r="AB90" s="7"/>
      <c r="AC90" s="7"/>
      <c r="AD90" s="8" t="s">
        <v>1721</v>
      </c>
      <c r="AE90" s="8" t="s">
        <v>1727</v>
      </c>
      <c r="AF90" s="8" t="s">
        <v>2401</v>
      </c>
      <c r="AG90" s="8" t="s">
        <v>1727</v>
      </c>
      <c r="AH90" s="47"/>
      <c r="AI90" s="47">
        <f>VLOOKUP(B90,'Components Usage'!A$2:C$603,3,FALSE)</f>
        <v>0</v>
      </c>
      <c r="AJ90" s="28" t="s">
        <v>2401</v>
      </c>
    </row>
    <row r="91" spans="1:36" hidden="1" x14ac:dyDescent="0.25">
      <c r="A91" s="16" t="str">
        <f>'Components Data Source'!A91</f>
        <v>On/Off Control</v>
      </c>
      <c r="B91" s="8" t="str">
        <f>'Components Data Source'!B91</f>
        <v>34B6F31B-7E33-4BEB-891E-DEFACBEE8587</v>
      </c>
      <c r="C91" s="41" t="str">
        <f>'Components Data Source'!C91</f>
        <v>DSPOnOffControl.fcpx</v>
      </c>
      <c r="D91" s="8" t="str">
        <f>'Components Data Source'!D91</f>
        <v>Components\IO_Source\DSP\DSP_OnOffControl.fcfx</v>
      </c>
      <c r="E91" s="8" t="str">
        <f>'Components Data Source'!E91</f>
        <v>DSP</v>
      </c>
      <c r="F91" s="8" t="str">
        <f>'Components Data Source'!F91</f>
        <v>DSP</v>
      </c>
      <c r="G91" s="8">
        <f>'Components Data Source'!G91</f>
        <v>0</v>
      </c>
      <c r="H91" s="8">
        <f>'Components Data Source'!H91</f>
        <v>0</v>
      </c>
      <c r="I91" s="8">
        <f>'Components Data Source'!I91</f>
        <v>0</v>
      </c>
      <c r="J91" s="8">
        <f>'Components Data Source'!J91</f>
        <v>1</v>
      </c>
      <c r="K91" s="8">
        <f>'Components Data Source'!K91</f>
        <v>1</v>
      </c>
      <c r="L91" s="8">
        <f>'Components Data Source'!L91</f>
        <v>1</v>
      </c>
      <c r="M91" s="8" t="s">
        <v>1727</v>
      </c>
      <c r="N91" s="17" t="str">
        <f>HYPERLINK('Components Data Source'!M91)</f>
        <v>https://www.flowcode.co.uk/wiki/index.php?title=Component:_ID_34b6f31b_7e33_4beb_891e_defacbee8587</v>
      </c>
      <c r="O91" s="8" t="s">
        <v>1721</v>
      </c>
      <c r="P91" s="8"/>
      <c r="Q91" s="8" t="str">
        <f t="shared" si="4"/>
        <v/>
      </c>
      <c r="R91" s="8" t="s">
        <v>1727</v>
      </c>
      <c r="S91" s="8"/>
      <c r="T91" s="8"/>
      <c r="U91" s="8"/>
      <c r="V91" s="8" t="s">
        <v>1730</v>
      </c>
      <c r="W91" s="8" t="s">
        <v>1730</v>
      </c>
      <c r="X91" s="8"/>
      <c r="Y91" s="8"/>
      <c r="Z91" s="18">
        <f t="shared" si="3"/>
        <v>2</v>
      </c>
      <c r="AA91" s="8"/>
      <c r="AB91" s="7"/>
      <c r="AC91" s="7"/>
      <c r="AD91" s="8" t="s">
        <v>1721</v>
      </c>
      <c r="AE91" s="8" t="s">
        <v>1721</v>
      </c>
      <c r="AF91" s="8" t="s">
        <v>2401</v>
      </c>
      <c r="AG91" s="8" t="s">
        <v>1721</v>
      </c>
      <c r="AH91" s="47"/>
      <c r="AI91" s="47">
        <f>VLOOKUP(B91,'Components Usage'!A$2:C$603,3,FALSE)</f>
        <v>0</v>
      </c>
      <c r="AJ91" s="28" t="s">
        <v>2401</v>
      </c>
    </row>
    <row r="92" spans="1:36" hidden="1" x14ac:dyDescent="0.25">
      <c r="A92" s="16" t="str">
        <f>'Components Data Source'!A92</f>
        <v>Output Digital</v>
      </c>
      <c r="B92" s="8" t="str">
        <f>'Components Data Source'!B92</f>
        <v>1392D5C3-35BA-4C7F-A539-7F30A09758E4</v>
      </c>
      <c r="C92" s="41" t="str">
        <f>'Components Data Source'!C92</f>
        <v>DSPOutput.fcpx</v>
      </c>
      <c r="D92" s="8" t="str">
        <f>'Components Data Source'!D92</f>
        <v>Components\IO_Source\DSP\DSP_Output.fcfx</v>
      </c>
      <c r="E92" s="8" t="str">
        <f>'Components Data Source'!E92</f>
        <v>DSP</v>
      </c>
      <c r="F92" s="8" t="str">
        <f>'Components Data Source'!F92</f>
        <v>DSP</v>
      </c>
      <c r="G92" s="8">
        <f>'Components Data Source'!G92</f>
        <v>0</v>
      </c>
      <c r="H92" s="8">
        <f>'Components Data Source'!H92</f>
        <v>0</v>
      </c>
      <c r="I92" s="8">
        <f>'Components Data Source'!I92</f>
        <v>0</v>
      </c>
      <c r="J92" s="8">
        <f>'Components Data Source'!J92</f>
        <v>1</v>
      </c>
      <c r="K92" s="8">
        <f>'Components Data Source'!K92</f>
        <v>1</v>
      </c>
      <c r="L92" s="8">
        <f>'Components Data Source'!L92</f>
        <v>1</v>
      </c>
      <c r="M92" s="8" t="s">
        <v>1727</v>
      </c>
      <c r="N92" s="17" t="str">
        <f>HYPERLINK('Components Data Source'!M92)</f>
        <v>https://www.flowcode.co.uk/wiki/index.php?title=Component:_ID_1392d5c3_35ba_4c7f_a539_7f30a09758e4</v>
      </c>
      <c r="O92" s="8" t="s">
        <v>1721</v>
      </c>
      <c r="P92" s="8"/>
      <c r="Q92" s="8" t="str">
        <f t="shared" si="4"/>
        <v/>
      </c>
      <c r="R92" s="8" t="s">
        <v>1727</v>
      </c>
      <c r="S92" s="8"/>
      <c r="T92" s="8"/>
      <c r="U92" s="8"/>
      <c r="V92" s="8" t="s">
        <v>1730</v>
      </c>
      <c r="W92" s="8" t="s">
        <v>1730</v>
      </c>
      <c r="X92" s="8"/>
      <c r="Y92" s="8"/>
      <c r="Z92" s="18">
        <f t="shared" si="3"/>
        <v>2</v>
      </c>
      <c r="AA92" s="8"/>
      <c r="AB92" s="7"/>
      <c r="AC92" s="7"/>
      <c r="AD92" s="8" t="s">
        <v>1721</v>
      </c>
      <c r="AE92" s="8" t="s">
        <v>1727</v>
      </c>
      <c r="AF92" s="8" t="s">
        <v>2401</v>
      </c>
      <c r="AG92" s="8" t="s">
        <v>1727</v>
      </c>
      <c r="AH92" s="47"/>
      <c r="AI92" s="47">
        <f>VLOOKUP(B92,'Components Usage'!A$2:C$603,3,FALSE)</f>
        <v>46</v>
      </c>
      <c r="AJ92" s="28" t="s">
        <v>2401</v>
      </c>
    </row>
    <row r="93" spans="1:36" hidden="1" x14ac:dyDescent="0.25">
      <c r="A93" s="16" t="str">
        <f>'Components Data Source'!A93</f>
        <v>Output CSV</v>
      </c>
      <c r="B93" s="8" t="str">
        <f>'Components Data Source'!B93</f>
        <v>5142BD81-ABAD-444B-B6DB-36A87DCE5835</v>
      </c>
      <c r="C93" s="41" t="str">
        <f>'Components Data Source'!C93</f>
        <v>DSPOutputCSV.fcpx</v>
      </c>
      <c r="D93" s="8" t="str">
        <f>'Components Data Source'!D93</f>
        <v>Components\IO_Source\DSP\DSP_FileOutput.fcfx</v>
      </c>
      <c r="E93" s="8" t="str">
        <f>'Components Data Source'!E93</f>
        <v>DSP</v>
      </c>
      <c r="F93" s="8" t="str">
        <f>'Components Data Source'!F93</f>
        <v>DSP</v>
      </c>
      <c r="G93" s="8">
        <f>'Components Data Source'!G93</f>
        <v>0</v>
      </c>
      <c r="H93" s="8">
        <f>'Components Data Source'!H93</f>
        <v>0</v>
      </c>
      <c r="I93" s="8">
        <f>'Components Data Source'!I93</f>
        <v>0</v>
      </c>
      <c r="J93" s="8">
        <f>'Components Data Source'!J93</f>
        <v>1</v>
      </c>
      <c r="K93" s="8">
        <f>'Components Data Source'!K93</f>
        <v>1</v>
      </c>
      <c r="L93" s="8">
        <f>'Components Data Source'!L93</f>
        <v>1</v>
      </c>
      <c r="M93" s="8" t="s">
        <v>1727</v>
      </c>
      <c r="N93" s="17" t="str">
        <f>HYPERLINK('Components Data Source'!M93)</f>
        <v>https://www.flowcode.co.uk/wiki/index.php?title=Component:_ID_5142bd81_abad_444b_b6db_36a87dce5835</v>
      </c>
      <c r="O93" s="8" t="s">
        <v>1721</v>
      </c>
      <c r="P93" s="8"/>
      <c r="Q93" s="8" t="str">
        <f t="shared" si="4"/>
        <v/>
      </c>
      <c r="R93" s="8" t="s">
        <v>1727</v>
      </c>
      <c r="S93" s="8"/>
      <c r="T93" s="8"/>
      <c r="U93" s="8"/>
      <c r="V93" s="8" t="s">
        <v>1730</v>
      </c>
      <c r="W93" s="8" t="s">
        <v>1730</v>
      </c>
      <c r="X93" s="8"/>
      <c r="Y93" s="8"/>
      <c r="Z93" s="18">
        <f t="shared" si="3"/>
        <v>2</v>
      </c>
      <c r="AA93" s="8"/>
      <c r="AB93" s="7"/>
      <c r="AC93" s="7"/>
      <c r="AD93" s="8" t="s">
        <v>1721</v>
      </c>
      <c r="AE93" s="8" t="s">
        <v>1727</v>
      </c>
      <c r="AF93" s="8" t="s">
        <v>2401</v>
      </c>
      <c r="AG93" s="8" t="s">
        <v>1727</v>
      </c>
      <c r="AH93" s="47"/>
      <c r="AI93" s="47">
        <f>VLOOKUP(B93,'Components Usage'!A$2:C$603,3,FALSE)</f>
        <v>0</v>
      </c>
      <c r="AJ93" s="28" t="s">
        <v>2401</v>
      </c>
    </row>
    <row r="94" spans="1:36" hidden="1" x14ac:dyDescent="0.25">
      <c r="A94" s="16" t="str">
        <f>'Components Data Source'!A94</f>
        <v>Output Digital Pin</v>
      </c>
      <c r="B94" s="8" t="str">
        <f>'Components Data Source'!B94</f>
        <v>0D048C7D-18D5-4BCE-83F1-7E429C0D86B6</v>
      </c>
      <c r="C94" s="41" t="str">
        <f>'Components Data Source'!C94</f>
        <v>DSPOutputPin.fcpx</v>
      </c>
      <c r="D94" s="8" t="str">
        <f>'Components Data Source'!D94</f>
        <v>Components\IO_Source\DSP\DSP_OutputPin.fcfx</v>
      </c>
      <c r="E94" s="8" t="str">
        <f>'Components Data Source'!E94</f>
        <v>DSP</v>
      </c>
      <c r="F94" s="8" t="str">
        <f>'Components Data Source'!F94</f>
        <v>DSP</v>
      </c>
      <c r="G94" s="8">
        <f>'Components Data Source'!G94</f>
        <v>0</v>
      </c>
      <c r="H94" s="8">
        <f>'Components Data Source'!H94</f>
        <v>0</v>
      </c>
      <c r="I94" s="8">
        <f>'Components Data Source'!I94</f>
        <v>0</v>
      </c>
      <c r="J94" s="8">
        <f>'Components Data Source'!J94</f>
        <v>1</v>
      </c>
      <c r="K94" s="8">
        <f>'Components Data Source'!K94</f>
        <v>1</v>
      </c>
      <c r="L94" s="8">
        <f>'Components Data Source'!L94</f>
        <v>0</v>
      </c>
      <c r="M94" s="8" t="s">
        <v>1727</v>
      </c>
      <c r="N94" s="17" t="str">
        <f>HYPERLINK('Components Data Source'!M94)</f>
        <v>https://www.flowcode.co.uk/wiki/index.php?title=Component:_ID_0d048c7d_18d5_4bce_83f1_7e429c0d86b6</v>
      </c>
      <c r="O94" s="8" t="s">
        <v>1721</v>
      </c>
      <c r="P94" s="8"/>
      <c r="Q94" s="8" t="str">
        <f t="shared" si="4"/>
        <v/>
      </c>
      <c r="R94" s="8" t="s">
        <v>1727</v>
      </c>
      <c r="S94" s="8"/>
      <c r="T94" s="8"/>
      <c r="U94" s="8"/>
      <c r="V94" s="8" t="s">
        <v>1730</v>
      </c>
      <c r="W94" s="8" t="s">
        <v>1730</v>
      </c>
      <c r="X94" s="8"/>
      <c r="Y94" s="8"/>
      <c r="Z94" s="18">
        <f t="shared" si="3"/>
        <v>2</v>
      </c>
      <c r="AA94" s="8"/>
      <c r="AB94" s="7"/>
      <c r="AC94" s="7"/>
      <c r="AD94" s="8" t="s">
        <v>1721</v>
      </c>
      <c r="AE94" s="8" t="s">
        <v>1727</v>
      </c>
      <c r="AF94" s="8" t="s">
        <v>2401</v>
      </c>
      <c r="AG94" s="8" t="s">
        <v>1727</v>
      </c>
      <c r="AH94" s="47"/>
      <c r="AI94" s="47">
        <f>VLOOKUP(B94,'Components Usage'!A$2:C$603,3,FALSE)</f>
        <v>0</v>
      </c>
      <c r="AJ94" s="28" t="s">
        <v>2401</v>
      </c>
    </row>
    <row r="95" spans="1:36" hidden="1" x14ac:dyDescent="0.25">
      <c r="A95" s="16" t="str">
        <f>'Components Data Source'!A95</f>
        <v>Output PWM</v>
      </c>
      <c r="B95" s="8" t="str">
        <f>'Components Data Source'!B95</f>
        <v>649F4BC2-1360-4629-82AA-62E2FC32D4E4</v>
      </c>
      <c r="C95" s="41" t="str">
        <f>'Components Data Source'!C95</f>
        <v>DSPPWM.fcpx</v>
      </c>
      <c r="D95" s="8" t="str">
        <f>'Components Data Source'!D95</f>
        <v>Components\IO_Source\DSP\DSP_PWM.fcfx</v>
      </c>
      <c r="E95" s="8" t="str">
        <f>'Components Data Source'!E95</f>
        <v>DSP</v>
      </c>
      <c r="F95" s="8" t="str">
        <f>'Components Data Source'!F95</f>
        <v>DSP</v>
      </c>
      <c r="G95" s="8">
        <f>'Components Data Source'!G95</f>
        <v>0</v>
      </c>
      <c r="H95" s="8">
        <f>'Components Data Source'!H95</f>
        <v>0</v>
      </c>
      <c r="I95" s="8" t="str">
        <f>'Components Data Source'!I95</f>
        <v xml:space="preserve">PWM </v>
      </c>
      <c r="J95" s="8">
        <f>'Components Data Source'!J95</f>
        <v>1</v>
      </c>
      <c r="K95" s="8">
        <f>'Components Data Source'!K95</f>
        <v>1</v>
      </c>
      <c r="L95" s="8">
        <f>'Components Data Source'!L95</f>
        <v>0</v>
      </c>
      <c r="M95" s="8" t="s">
        <v>1727</v>
      </c>
      <c r="N95" s="17" t="str">
        <f>HYPERLINK('Components Data Source'!M95)</f>
        <v>https://www.flowcode.co.uk/wiki/index.php?title=Component:_ID_649f4bc2_1360_4629_82aa_62e2fc32d4e4</v>
      </c>
      <c r="O95" s="8" t="s">
        <v>1721</v>
      </c>
      <c r="P95" s="8"/>
      <c r="Q95" s="8" t="str">
        <f t="shared" si="4"/>
        <v/>
      </c>
      <c r="R95" s="8" t="s">
        <v>1727</v>
      </c>
      <c r="S95" s="8"/>
      <c r="T95" s="8"/>
      <c r="U95" s="8"/>
      <c r="V95" s="8" t="s">
        <v>1730</v>
      </c>
      <c r="W95" s="8" t="s">
        <v>1730</v>
      </c>
      <c r="X95" s="8"/>
      <c r="Y95" s="8"/>
      <c r="Z95" s="18">
        <f t="shared" si="3"/>
        <v>2</v>
      </c>
      <c r="AA95" s="8"/>
      <c r="AB95" s="7"/>
      <c r="AC95" s="7"/>
      <c r="AD95" s="8" t="s">
        <v>1721</v>
      </c>
      <c r="AE95" s="8" t="s">
        <v>1727</v>
      </c>
      <c r="AF95" s="8" t="s">
        <v>2401</v>
      </c>
      <c r="AG95" s="8" t="s">
        <v>1727</v>
      </c>
      <c r="AH95" s="47"/>
      <c r="AI95" s="47">
        <f>VLOOKUP(B95,'Components Usage'!A$2:C$603,3,FALSE)</f>
        <v>4</v>
      </c>
      <c r="AJ95" s="28" t="s">
        <v>2401</v>
      </c>
    </row>
    <row r="96" spans="1:36" hidden="1" x14ac:dyDescent="0.25">
      <c r="A96" s="16" t="str">
        <f>'Components Data Source'!A96</f>
        <v>Rectifier</v>
      </c>
      <c r="B96" s="8" t="str">
        <f>'Components Data Source'!B96</f>
        <v>939A5D54-28C7-488D-AF39-46F7C5D2C429</v>
      </c>
      <c r="C96" s="41" t="str">
        <f>'Components Data Source'!C96</f>
        <v>DSPRectifier.fcpx</v>
      </c>
      <c r="D96" s="8" t="str">
        <f>'Components Data Source'!D96</f>
        <v>Components\IO_Source\DSP\DSP_Rectifier.fcfx</v>
      </c>
      <c r="E96" s="8" t="str">
        <f>'Components Data Source'!E96</f>
        <v>DSP</v>
      </c>
      <c r="F96" s="8" t="str">
        <f>'Components Data Source'!F96</f>
        <v>DSP</v>
      </c>
      <c r="G96" s="8">
        <f>'Components Data Source'!G96</f>
        <v>0</v>
      </c>
      <c r="H96" s="8">
        <f>'Components Data Source'!H96</f>
        <v>0</v>
      </c>
      <c r="I96" s="8">
        <f>'Components Data Source'!I96</f>
        <v>0</v>
      </c>
      <c r="J96" s="8">
        <f>'Components Data Source'!J96</f>
        <v>1</v>
      </c>
      <c r="K96" s="8">
        <f>'Components Data Source'!K96</f>
        <v>1</v>
      </c>
      <c r="L96" s="8">
        <f>'Components Data Source'!L96</f>
        <v>1</v>
      </c>
      <c r="M96" s="8" t="s">
        <v>1727</v>
      </c>
      <c r="N96" s="17" t="str">
        <f>HYPERLINK('Components Data Source'!M96)</f>
        <v>https://www.flowcode.co.uk/wiki/index.php?title=Component:_ID_939a5d54_28c7_488d_af39_46f7c5d2c429</v>
      </c>
      <c r="O96" s="8" t="s">
        <v>1721</v>
      </c>
      <c r="P96" s="8"/>
      <c r="Q96" s="8" t="str">
        <f t="shared" si="4"/>
        <v/>
      </c>
      <c r="R96" s="8" t="s">
        <v>1727</v>
      </c>
      <c r="S96" s="8"/>
      <c r="T96" s="8"/>
      <c r="U96" s="8"/>
      <c r="V96" s="8" t="s">
        <v>1730</v>
      </c>
      <c r="W96" s="8" t="s">
        <v>1730</v>
      </c>
      <c r="X96" s="8"/>
      <c r="Y96" s="8"/>
      <c r="Z96" s="18">
        <f t="shared" si="3"/>
        <v>2</v>
      </c>
      <c r="AA96" s="8"/>
      <c r="AB96" s="7"/>
      <c r="AC96" s="7"/>
      <c r="AD96" s="8" t="s">
        <v>1721</v>
      </c>
      <c r="AE96" s="8" t="s">
        <v>1727</v>
      </c>
      <c r="AF96" s="8" t="s">
        <v>2401</v>
      </c>
      <c r="AG96" s="8" t="s">
        <v>1727</v>
      </c>
      <c r="AH96" s="47"/>
      <c r="AI96" s="47">
        <f>VLOOKUP(B96,'Components Usage'!A$2:C$603,3,FALSE)</f>
        <v>0</v>
      </c>
      <c r="AJ96" s="28" t="s">
        <v>2401</v>
      </c>
    </row>
    <row r="97" spans="1:36" hidden="1" x14ac:dyDescent="0.25">
      <c r="A97" s="16" t="str">
        <f>'Components Data Source'!A97</f>
        <v>Scale</v>
      </c>
      <c r="B97" s="8" t="str">
        <f>'Components Data Source'!B97</f>
        <v>F1AF5256-1DEE-491C-B43F-FDC8F33279FB</v>
      </c>
      <c r="C97" s="41" t="str">
        <f>'Components Data Source'!C97</f>
        <v>DSPScale.fcpx</v>
      </c>
      <c r="D97" s="8" t="str">
        <f>'Components Data Source'!D97</f>
        <v>Components\IO_Source\DSP\DSP_Scale.fcfx</v>
      </c>
      <c r="E97" s="8" t="str">
        <f>'Components Data Source'!E97</f>
        <v>DSP</v>
      </c>
      <c r="F97" s="8" t="str">
        <f>'Components Data Source'!F97</f>
        <v>DSP</v>
      </c>
      <c r="G97" s="8">
        <f>'Components Data Source'!G97</f>
        <v>0</v>
      </c>
      <c r="H97" s="8">
        <f>'Components Data Source'!H97</f>
        <v>0</v>
      </c>
      <c r="I97" s="8">
        <f>'Components Data Source'!I97</f>
        <v>0</v>
      </c>
      <c r="J97" s="8">
        <f>'Components Data Source'!J97</f>
        <v>1</v>
      </c>
      <c r="K97" s="8">
        <f>'Components Data Source'!K97</f>
        <v>1</v>
      </c>
      <c r="L97" s="8">
        <f>'Components Data Source'!L97</f>
        <v>1</v>
      </c>
      <c r="M97" s="8" t="s">
        <v>1727</v>
      </c>
      <c r="N97" s="17" t="str">
        <f>HYPERLINK('Components Data Source'!M97)</f>
        <v>https://www.flowcode.co.uk/wiki/index.php?title=Component:_ID_f1af5256_1dee_491c_b43f_fdc8f33279fb</v>
      </c>
      <c r="O97" s="8" t="s">
        <v>1721</v>
      </c>
      <c r="P97" s="8"/>
      <c r="Q97" s="8" t="str">
        <f t="shared" si="4"/>
        <v/>
      </c>
      <c r="R97" s="8" t="s">
        <v>1727</v>
      </c>
      <c r="S97" s="8"/>
      <c r="T97" s="8"/>
      <c r="U97" s="8"/>
      <c r="V97" s="8" t="s">
        <v>1730</v>
      </c>
      <c r="W97" s="8" t="s">
        <v>1730</v>
      </c>
      <c r="X97" s="8"/>
      <c r="Y97" s="8"/>
      <c r="Z97" s="18">
        <f t="shared" si="3"/>
        <v>2</v>
      </c>
      <c r="AA97" s="8"/>
      <c r="AB97" s="7"/>
      <c r="AC97" s="7"/>
      <c r="AD97" s="8" t="s">
        <v>1721</v>
      </c>
      <c r="AE97" s="8" t="s">
        <v>1721</v>
      </c>
      <c r="AF97" s="8" t="s">
        <v>2401</v>
      </c>
      <c r="AG97" s="8" t="s">
        <v>1721</v>
      </c>
      <c r="AH97" s="47"/>
      <c r="AI97" s="47">
        <f>VLOOKUP(B97,'Components Usage'!A$2:C$603,3,FALSE)</f>
        <v>7</v>
      </c>
      <c r="AJ97" s="28" t="s">
        <v>2401</v>
      </c>
    </row>
    <row r="98" spans="1:36" hidden="1" x14ac:dyDescent="0.25">
      <c r="A98" s="16" t="str">
        <f>'Components Data Source'!A98</f>
        <v>Simulated Control Load</v>
      </c>
      <c r="B98" s="8" t="str">
        <f>'Components Data Source'!B98</f>
        <v>907F24E9-A8A3-46EA-942D-67DC55F7EB44</v>
      </c>
      <c r="C98" s="41" t="str">
        <f>'Components Data Source'!C98</f>
        <v>DSPSimLoad.fcpx</v>
      </c>
      <c r="D98" s="8" t="str">
        <f>'Components Data Source'!D98</f>
        <v>Components\IO_Source\DSP\DSP_SimLoad.fcfx</v>
      </c>
      <c r="E98" s="8" t="str">
        <f>'Components Data Source'!E98</f>
        <v>DSP</v>
      </c>
      <c r="F98" s="8" t="str">
        <f>'Components Data Source'!F98</f>
        <v>DSP</v>
      </c>
      <c r="G98" s="8">
        <f>'Components Data Source'!G98</f>
        <v>0</v>
      </c>
      <c r="H98" s="8">
        <f>'Components Data Source'!H98</f>
        <v>0</v>
      </c>
      <c r="I98" s="8">
        <f>'Components Data Source'!I98</f>
        <v>0</v>
      </c>
      <c r="J98" s="8">
        <f>'Components Data Source'!J98</f>
        <v>1</v>
      </c>
      <c r="K98" s="8">
        <f>'Components Data Source'!K98</f>
        <v>1</v>
      </c>
      <c r="L98" s="8">
        <f>'Components Data Source'!L98</f>
        <v>1</v>
      </c>
      <c r="M98" s="8" t="s">
        <v>1727</v>
      </c>
      <c r="N98" s="17" t="str">
        <f>HYPERLINK('Components Data Source'!M98)</f>
        <v>https://www.flowcode.co.uk/wiki/index.php?title=Component:_ID_907f24e9_a8a3_46ea_942d_67dc55f7eb44</v>
      </c>
      <c r="O98" s="8" t="s">
        <v>1721</v>
      </c>
      <c r="P98" s="8"/>
      <c r="Q98" s="8" t="str">
        <f t="shared" si="4"/>
        <v/>
      </c>
      <c r="R98" s="8" t="s">
        <v>1727</v>
      </c>
      <c r="S98" s="8"/>
      <c r="T98" s="8"/>
      <c r="U98" s="8"/>
      <c r="V98" s="8" t="s">
        <v>1730</v>
      </c>
      <c r="W98" s="8" t="s">
        <v>1730</v>
      </c>
      <c r="X98" s="8"/>
      <c r="Y98" s="8"/>
      <c r="Z98" s="18">
        <f t="shared" si="3"/>
        <v>2</v>
      </c>
      <c r="AA98" s="8"/>
      <c r="AB98" s="7"/>
      <c r="AC98" s="7"/>
      <c r="AD98" s="8" t="s">
        <v>1721</v>
      </c>
      <c r="AE98" s="8" t="s">
        <v>1727</v>
      </c>
      <c r="AF98" s="8" t="s">
        <v>2401</v>
      </c>
      <c r="AG98" s="8" t="s">
        <v>1727</v>
      </c>
      <c r="AH98" s="47"/>
      <c r="AI98" s="47">
        <f>VLOOKUP(B98,'Components Usage'!A$2:C$603,3,FALSE)</f>
        <v>0</v>
      </c>
      <c r="AJ98" s="28" t="s">
        <v>2401</v>
      </c>
    </row>
    <row r="99" spans="1:36" x14ac:dyDescent="0.25">
      <c r="A99" s="16" t="str">
        <f>'Components Data Source'!A99</f>
        <v>Data Sheet</v>
      </c>
      <c r="B99" s="8" t="str">
        <f>'Components Data Source'!B99</f>
        <v>A3A84355-5D1C-4437-900D-FDF3FE6EE6FB</v>
      </c>
      <c r="C99" s="41" t="str">
        <f>'Components Data Source'!C99</f>
        <v>DataSheet.fcpx</v>
      </c>
      <c r="D99" s="8" t="str">
        <f>'Components Data Source'!D99</f>
        <v>Components\IO_Source\2dGDI\ChartSpreadsheet.fcfx</v>
      </c>
      <c r="E99" s="8" t="str">
        <f>'Components Data Source'!E99</f>
        <v>FREE</v>
      </c>
      <c r="F99" s="8" t="str">
        <f>'Components Data Source'!F99</f>
        <v>CHARTS</v>
      </c>
      <c r="G99" s="8" t="str">
        <f>'Components Data Source'!G99</f>
        <v xml:space="preserve">CHARTS </v>
      </c>
      <c r="H99" s="8">
        <f>'Components Data Source'!H99</f>
        <v>0</v>
      </c>
      <c r="I99" s="8">
        <f>'Components Data Source'!I99</f>
        <v>0</v>
      </c>
      <c r="J99" s="8">
        <f>'Components Data Source'!J99</f>
        <v>1</v>
      </c>
      <c r="K99" s="8">
        <f>'Components Data Source'!K99</f>
        <v>1</v>
      </c>
      <c r="L99" s="8">
        <f>'Components Data Source'!L99</f>
        <v>1</v>
      </c>
      <c r="M99" s="8" t="s">
        <v>1727</v>
      </c>
      <c r="N99" s="17" t="str">
        <f>HYPERLINK('Components Data Source'!M99)</f>
        <v>https://www.flowcode.co.uk/wiki/index.php?title=Component:_ID_a3a84355_5d1c_4437_900d_fdf3fe6ee6fb</v>
      </c>
      <c r="O99" s="8" t="s">
        <v>1721</v>
      </c>
      <c r="P99" s="8"/>
      <c r="Q99" s="8" t="str">
        <f t="shared" si="4"/>
        <v/>
      </c>
      <c r="R99" s="8" t="s">
        <v>1727</v>
      </c>
      <c r="S99" s="8" t="s">
        <v>1727</v>
      </c>
      <c r="T99" s="8"/>
      <c r="U99" s="8"/>
      <c r="V99" s="8" t="s">
        <v>1731</v>
      </c>
      <c r="W99" s="8" t="s">
        <v>1731</v>
      </c>
      <c r="X99" s="8" t="s">
        <v>1727</v>
      </c>
      <c r="Y99" s="8" t="s">
        <v>1727</v>
      </c>
      <c r="Z99" s="18">
        <f t="shared" si="3"/>
        <v>2</v>
      </c>
      <c r="AA99" s="8"/>
      <c r="AB99" s="7"/>
      <c r="AC99" s="7"/>
      <c r="AD99" s="8" t="s">
        <v>1727</v>
      </c>
      <c r="AE99" s="8"/>
      <c r="AF99" s="8" t="s">
        <v>2401</v>
      </c>
      <c r="AG99" s="8" t="s">
        <v>1727</v>
      </c>
      <c r="AH99" s="47"/>
      <c r="AI99" s="47">
        <f>VLOOKUP(B99,'Components Usage'!A$2:C$603,3,FALSE)</f>
        <v>7</v>
      </c>
      <c r="AJ99" s="28"/>
    </row>
    <row r="100" spans="1:36" x14ac:dyDescent="0.25">
      <c r="A100" s="16" t="str">
        <f>'Components Data Source'!A100</f>
        <v>Data Sheet B</v>
      </c>
      <c r="B100" s="8" t="str">
        <f>'Components Data Source'!B100</f>
        <v>265D450B-0719-4B6B-8F66-1AEFCE666E3F</v>
      </c>
      <c r="C100" s="41" t="str">
        <f>'Components Data Source'!C100</f>
        <v>DataSheetB.fcpx</v>
      </c>
      <c r="D100" s="8" t="str">
        <f>'Components Data Source'!D100</f>
        <v>Components\IO_Source\2dGDI\ChartSpreadsheetB.fcfx</v>
      </c>
      <c r="E100" s="8" t="str">
        <f>'Components Data Source'!E100</f>
        <v>FREE</v>
      </c>
      <c r="F100" s="8" t="str">
        <f>'Components Data Source'!F100</f>
        <v>CHARTS</v>
      </c>
      <c r="G100" s="8" t="str">
        <f>'Components Data Source'!G100</f>
        <v xml:space="preserve">CHARTS </v>
      </c>
      <c r="H100" s="8">
        <f>'Components Data Source'!H100</f>
        <v>0</v>
      </c>
      <c r="I100" s="8">
        <f>'Components Data Source'!I100</f>
        <v>0</v>
      </c>
      <c r="J100" s="8">
        <f>'Components Data Source'!J100</f>
        <v>1</v>
      </c>
      <c r="K100" s="8">
        <f>'Components Data Source'!K100</f>
        <v>1</v>
      </c>
      <c r="L100" s="8">
        <f>'Components Data Source'!L100</f>
        <v>1</v>
      </c>
      <c r="M100" s="8" t="s">
        <v>1727</v>
      </c>
      <c r="N100" s="17" t="str">
        <f>HYPERLINK('Components Data Source'!M100)</f>
        <v>https://www.flowcode.co.uk/wiki/index.php?title=Component:_ID_265d450b_0719_4b6b_8f66_1aefce666e3f</v>
      </c>
      <c r="O100" s="8" t="s">
        <v>1721</v>
      </c>
      <c r="P100" s="8"/>
      <c r="Q100" s="8" t="str">
        <f t="shared" si="4"/>
        <v/>
      </c>
      <c r="R100" s="8" t="s">
        <v>1727</v>
      </c>
      <c r="S100" s="8" t="s">
        <v>1727</v>
      </c>
      <c r="T100" s="8"/>
      <c r="U100" s="8"/>
      <c r="V100" s="8" t="s">
        <v>1731</v>
      </c>
      <c r="W100" s="8" t="s">
        <v>1731</v>
      </c>
      <c r="X100" s="8" t="s">
        <v>1727</v>
      </c>
      <c r="Y100" s="8" t="s">
        <v>1727</v>
      </c>
      <c r="Z100" s="18">
        <f t="shared" si="3"/>
        <v>2</v>
      </c>
      <c r="AA100" s="8"/>
      <c r="AB100" s="7"/>
      <c r="AC100" s="7"/>
      <c r="AD100" s="8" t="s">
        <v>1727</v>
      </c>
      <c r="AE100" s="8"/>
      <c r="AF100" s="8" t="s">
        <v>2401</v>
      </c>
      <c r="AG100" s="8" t="s">
        <v>1727</v>
      </c>
      <c r="AH100" s="47"/>
      <c r="AI100" s="47">
        <f>VLOOKUP(B100,'Components Usage'!A$2:C$603,3,FALSE)</f>
        <v>0</v>
      </c>
      <c r="AJ100" s="28"/>
    </row>
    <row r="101" spans="1:36" x14ac:dyDescent="0.25">
      <c r="A101" s="16" t="str">
        <f>'Components Data Source'!A101</f>
        <v>Console Debugger(Raspberry Pi)</v>
      </c>
      <c r="B101" s="8" t="str">
        <f>'Components Data Source'!B101</f>
        <v>A1DA060C-E74A-4E12-BB90-3DDB43265592</v>
      </c>
      <c r="C101" s="41" t="str">
        <f>'Components Data Source'!C101</f>
        <v>DebugPrint.fcpx</v>
      </c>
      <c r="D101" s="8" t="str">
        <f>'Components Data Source'!D101</f>
        <v>Components\IO_Source\DebugPrint.fcfx</v>
      </c>
      <c r="E101" s="8" t="str">
        <f>'Components Data Source'!E101</f>
        <v>FREE</v>
      </c>
      <c r="F101" s="8" t="str">
        <f>'Components Data Source'!F101</f>
        <v>RUNTIME TOOLS</v>
      </c>
      <c r="G101" s="8">
        <f>'Components Data Source'!G101</f>
        <v>0</v>
      </c>
      <c r="H101" s="8">
        <f>'Components Data Source'!H101</f>
        <v>0</v>
      </c>
      <c r="I101" s="8">
        <f>'Components Data Source'!I101</f>
        <v>0</v>
      </c>
      <c r="J101" s="8">
        <f>'Components Data Source'!J101</f>
        <v>1</v>
      </c>
      <c r="K101" s="8">
        <f>'Components Data Source'!K101</f>
        <v>1</v>
      </c>
      <c r="L101" s="8">
        <f>'Components Data Source'!L101</f>
        <v>0</v>
      </c>
      <c r="M101" s="8" t="s">
        <v>1727</v>
      </c>
      <c r="N101" s="17" t="str">
        <f>HYPERLINK('Components Data Source'!M101)</f>
        <v>https://www.flowcode.co.uk/wiki/index.php?title=Component:_ID_a1da060c_e74a_4e12_bb90_3ddb43265592</v>
      </c>
      <c r="O101" s="8" t="s">
        <v>1721</v>
      </c>
      <c r="P101" s="8"/>
      <c r="Q101" s="8" t="str">
        <f t="shared" si="4"/>
        <v/>
      </c>
      <c r="R101" s="8" t="s">
        <v>1721</v>
      </c>
      <c r="S101" s="8" t="s">
        <v>1721</v>
      </c>
      <c r="T101" s="8" t="s">
        <v>1721</v>
      </c>
      <c r="U101" s="8" t="s">
        <v>1727</v>
      </c>
      <c r="V101" s="8" t="s">
        <v>1731</v>
      </c>
      <c r="W101" s="8" t="s">
        <v>1731</v>
      </c>
      <c r="X101" s="8"/>
      <c r="Y101" s="8"/>
      <c r="Z101" s="18">
        <f t="shared" si="3"/>
        <v>0</v>
      </c>
      <c r="AA101" s="8" t="s">
        <v>1721</v>
      </c>
      <c r="AB101" s="7" t="s">
        <v>2571</v>
      </c>
      <c r="AC101" s="7"/>
      <c r="AD101" s="8" t="s">
        <v>1721</v>
      </c>
      <c r="AE101" s="8" t="s">
        <v>1727</v>
      </c>
      <c r="AF101" s="8" t="s">
        <v>2401</v>
      </c>
      <c r="AG101" s="8" t="s">
        <v>1727</v>
      </c>
      <c r="AH101" s="47"/>
      <c r="AI101" s="47">
        <f>VLOOKUP(B101,'Components Usage'!A$2:C$603,3,FALSE)</f>
        <v>4</v>
      </c>
      <c r="AJ101" s="28" t="s">
        <v>2401</v>
      </c>
    </row>
    <row r="102" spans="1:36" x14ac:dyDescent="0.25">
      <c r="A102" s="16" t="str">
        <f>'Components Data Source'!A102</f>
        <v>Device Helper</v>
      </c>
      <c r="B102" s="8" t="str">
        <f>'Components Data Source'!B102</f>
        <v>E2ED1829-6967-4339-98E1-3806650297C5</v>
      </c>
      <c r="C102" s="41" t="str">
        <f>'Components Data Source'!C102</f>
        <v>DeviceHelper.fcpx</v>
      </c>
      <c r="D102" s="8" t="str">
        <f>'Components Data Source'!D102</f>
        <v>Components\Ctrl_Source\Device Helper.fcfx</v>
      </c>
      <c r="E102" s="8" t="str">
        <f>'Components Data Source'!E102</f>
        <v>FREE</v>
      </c>
      <c r="F102" s="8" t="str">
        <f>'Components Data Source'!F102</f>
        <v>MATRIX TOOLS</v>
      </c>
      <c r="G102" s="8">
        <f>'Components Data Source'!G102</f>
        <v>0</v>
      </c>
      <c r="H102" s="8">
        <f>'Components Data Source'!H102</f>
        <v>0</v>
      </c>
      <c r="I102" s="8">
        <f>'Components Data Source'!I102</f>
        <v>0</v>
      </c>
      <c r="J102" s="8">
        <f>'Components Data Source'!J102</f>
        <v>1</v>
      </c>
      <c r="K102" s="8">
        <f>'Components Data Source'!K102</f>
        <v>1</v>
      </c>
      <c r="L102" s="8">
        <f>'Components Data Source'!L102</f>
        <v>0</v>
      </c>
      <c r="M102" s="8" t="s">
        <v>1727</v>
      </c>
      <c r="N102" s="17" t="str">
        <f>HYPERLINK('Components Data Source'!M102)</f>
        <v>https://www.flowcode.co.uk/wiki/index.php?title=Component:_ID_e2ed1829_6967_4339_98e1_3806650297c5</v>
      </c>
      <c r="O102" s="8" t="s">
        <v>1721</v>
      </c>
      <c r="P102" s="8"/>
      <c r="Q102" s="8" t="str">
        <f t="shared" si="4"/>
        <v/>
      </c>
      <c r="R102" s="8" t="s">
        <v>1721</v>
      </c>
      <c r="S102" s="8" t="s">
        <v>1721</v>
      </c>
      <c r="T102" s="8" t="s">
        <v>1727</v>
      </c>
      <c r="U102" s="8" t="s">
        <v>1727</v>
      </c>
      <c r="V102" s="8" t="s">
        <v>1731</v>
      </c>
      <c r="W102" s="8" t="s">
        <v>1731</v>
      </c>
      <c r="X102" s="8" t="s">
        <v>1721</v>
      </c>
      <c r="Y102" s="8" t="s">
        <v>2504</v>
      </c>
      <c r="Z102" s="18">
        <f t="shared" si="3"/>
        <v>1</v>
      </c>
      <c r="AA102" s="8"/>
      <c r="AB102" s="7"/>
      <c r="AC102" s="7"/>
      <c r="AD102" s="8" t="s">
        <v>1721</v>
      </c>
      <c r="AE102" s="8" t="s">
        <v>1721</v>
      </c>
      <c r="AF102" s="8" t="s">
        <v>2401</v>
      </c>
      <c r="AG102" s="8" t="s">
        <v>2401</v>
      </c>
      <c r="AH102" s="47"/>
      <c r="AI102" s="47">
        <f>VLOOKUP(B102,'Components Usage'!A$2:C$603,3,FALSE)</f>
        <v>30</v>
      </c>
      <c r="AJ102" s="28" t="s">
        <v>2401</v>
      </c>
    </row>
    <row r="103" spans="1:36" x14ac:dyDescent="0.25">
      <c r="A103" s="16" t="str">
        <f>'Components Data Source'!A103</f>
        <v>Message Box</v>
      </c>
      <c r="B103" s="8" t="str">
        <f>'Components Data Source'!B103</f>
        <v>D2A7FE23-7DD2-43CA-AD55-185EEC92FDD8</v>
      </c>
      <c r="C103" s="41" t="str">
        <f>'Components Data Source'!C103</f>
        <v>Dialogue.fcpx</v>
      </c>
      <c r="D103" s="8" t="str">
        <f>'Components Data Source'!D103</f>
        <v>Components\IO_Source\SCADA\Dialogues.fcsx</v>
      </c>
      <c r="E103" s="8" t="str">
        <f>'Components Data Source'!E103</f>
        <v>FREE</v>
      </c>
      <c r="F103" s="8" t="str">
        <f>'Components Data Source'!F103</f>
        <v xml:space="preserve">INDICATORS </v>
      </c>
      <c r="G103" s="8" t="str">
        <f>'Components Data Source'!G103</f>
        <v>RUNTIME TOOLS</v>
      </c>
      <c r="H103" s="8">
        <f>'Components Data Source'!H103</f>
        <v>0</v>
      </c>
      <c r="I103" s="8">
        <f>'Components Data Source'!I103</f>
        <v>0</v>
      </c>
      <c r="J103" s="8">
        <f>'Components Data Source'!J103</f>
        <v>1</v>
      </c>
      <c r="K103" s="8">
        <f>'Components Data Source'!K103</f>
        <v>1</v>
      </c>
      <c r="L103" s="8">
        <f>'Components Data Source'!L103</f>
        <v>1</v>
      </c>
      <c r="M103" s="8" t="s">
        <v>1727</v>
      </c>
      <c r="N103" s="17" t="str">
        <f>HYPERLINK('Components Data Source'!M103)</f>
        <v>https://www.flowcode.co.uk/wiki/index.php?title=Component:_ID_d2a7fe23_7dd2_43ca_ad55_185eec92fdd8</v>
      </c>
      <c r="O103" s="8" t="s">
        <v>1721</v>
      </c>
      <c r="P103" s="8"/>
      <c r="Q103" s="8" t="str">
        <f t="shared" si="4"/>
        <v/>
      </c>
      <c r="R103" s="8" t="s">
        <v>1721</v>
      </c>
      <c r="S103" s="8" t="s">
        <v>1721</v>
      </c>
      <c r="T103" s="8" t="s">
        <v>1727</v>
      </c>
      <c r="U103" s="8" t="s">
        <v>1727</v>
      </c>
      <c r="V103" s="8" t="s">
        <v>1731</v>
      </c>
      <c r="W103" s="8" t="s">
        <v>1731</v>
      </c>
      <c r="X103" s="8" t="s">
        <v>1721</v>
      </c>
      <c r="Y103" s="8" t="s">
        <v>1721</v>
      </c>
      <c r="Z103" s="18">
        <f t="shared" si="3"/>
        <v>1</v>
      </c>
      <c r="AA103" s="8"/>
      <c r="AB103" s="7"/>
      <c r="AC103" s="7"/>
      <c r="AD103" s="8" t="s">
        <v>1721</v>
      </c>
      <c r="AE103" s="8" t="s">
        <v>1727</v>
      </c>
      <c r="AF103" s="8" t="s">
        <v>2401</v>
      </c>
      <c r="AG103" s="8" t="s">
        <v>1727</v>
      </c>
      <c r="AH103" s="47"/>
      <c r="AI103" s="47">
        <f>VLOOKUP(B103,'Components Usage'!A$2:C$603,3,FALSE)</f>
        <v>13</v>
      </c>
      <c r="AJ103" s="28" t="s">
        <v>2401</v>
      </c>
    </row>
    <row r="104" spans="1:36" hidden="1" x14ac:dyDescent="0.25">
      <c r="A104" s="16" t="str">
        <f>'Components Data Source'!A104</f>
        <v>4-Digit Display (Grove 104030003)</v>
      </c>
      <c r="B104" s="8" t="str">
        <f>'Components Data Source'!B104</f>
        <v>D9E86781-7FA0-4E64-9F82-EF49152611B0</v>
      </c>
      <c r="C104" s="41" t="str">
        <f>'Components Data Source'!C104</f>
        <v>DigitDisplay.fcpx</v>
      </c>
      <c r="D104" s="8" t="str">
        <f>'Components Data Source'!D104</f>
        <v>Components\IO_Source\outputs\Grove 4_Digit_Display.fcfx</v>
      </c>
      <c r="E104" s="8" t="str">
        <f>'Components Data Source'!E104</f>
        <v>BASICIO</v>
      </c>
      <c r="F104" s="8" t="str">
        <f>'Components Data Source'!F104</f>
        <v>SEGMENT</v>
      </c>
      <c r="G104" s="8">
        <f>'Components Data Source'!G104</f>
        <v>0</v>
      </c>
      <c r="H104" s="8">
        <f>'Components Data Source'!H104</f>
        <v>0</v>
      </c>
      <c r="I104" s="8">
        <f>'Components Data Source'!I104</f>
        <v>0</v>
      </c>
      <c r="J104" s="8">
        <f>'Components Data Source'!J104</f>
        <v>1</v>
      </c>
      <c r="K104" s="8">
        <f>'Components Data Source'!K104</f>
        <v>1</v>
      </c>
      <c r="L104" s="8">
        <f>'Components Data Source'!L104</f>
        <v>0</v>
      </c>
      <c r="M104" s="8" t="s">
        <v>1727</v>
      </c>
      <c r="N104" s="17" t="str">
        <f>HYPERLINK('Components Data Source'!M104)</f>
        <v>https://www.flowcode.co.uk/wiki/index.php?title=Component:_ID_d9e86781_7fa0_4e64_9f82_ef49152611b0</v>
      </c>
      <c r="O104" s="8" t="s">
        <v>1721</v>
      </c>
      <c r="P104" s="8"/>
      <c r="Q104" s="8" t="str">
        <f t="shared" si="4"/>
        <v/>
      </c>
      <c r="R104" s="8" t="s">
        <v>1727</v>
      </c>
      <c r="S104" s="8"/>
      <c r="T104" s="8"/>
      <c r="U104" s="8"/>
      <c r="V104" s="8" t="s">
        <v>1730</v>
      </c>
      <c r="W104" s="8" t="s">
        <v>1730</v>
      </c>
      <c r="X104" s="8"/>
      <c r="Y104" s="8"/>
      <c r="Z104" s="18">
        <f t="shared" si="3"/>
        <v>2</v>
      </c>
      <c r="AA104" s="8"/>
      <c r="AB104" s="7"/>
      <c r="AC104" s="7"/>
      <c r="AD104" s="8" t="s">
        <v>1721</v>
      </c>
      <c r="AE104" s="8" t="s">
        <v>1727</v>
      </c>
      <c r="AF104" s="8" t="s">
        <v>1727</v>
      </c>
      <c r="AG104" s="8" t="s">
        <v>1727</v>
      </c>
      <c r="AH104" s="47"/>
      <c r="AI104" s="47">
        <f>VLOOKUP(B104,'Components Usage'!A$2:C$603,3,FALSE)</f>
        <v>4</v>
      </c>
      <c r="AJ104" s="28" t="s">
        <v>2401</v>
      </c>
    </row>
    <row r="105" spans="1:36" hidden="1" x14ac:dyDescent="0.25">
      <c r="A105" s="16" t="str">
        <f>'Components Data Source'!A105</f>
        <v>Digital Valve</v>
      </c>
      <c r="B105" s="8" t="str">
        <f>'Components Data Source'!B105</f>
        <v>9415F6CA-F29A-46CC-B3E8-F047CF0C598A</v>
      </c>
      <c r="C105" s="41" t="str">
        <f>'Components Data Source'!C105</f>
        <v>DigitalValve.fcpx</v>
      </c>
      <c r="D105" s="8" t="str">
        <f>'Components Data Source'!D105</f>
        <v>Components\IO_Source\SCADA\Valve.fcfx</v>
      </c>
      <c r="E105" s="8" t="str">
        <f>'Components Data Source'!E105</f>
        <v>SCADA</v>
      </c>
      <c r="F105" s="8" t="str">
        <f>'Components Data Source'!F105</f>
        <v>INDUSTRIAL</v>
      </c>
      <c r="G105" s="8">
        <f>'Components Data Source'!G105</f>
        <v>0</v>
      </c>
      <c r="H105" s="8">
        <f>'Components Data Source'!H105</f>
        <v>0</v>
      </c>
      <c r="I105" s="8">
        <f>'Components Data Source'!I105</f>
        <v>0</v>
      </c>
      <c r="J105" s="8">
        <f>'Components Data Source'!J105</f>
        <v>1</v>
      </c>
      <c r="K105" s="8">
        <f>'Components Data Source'!K105</f>
        <v>1</v>
      </c>
      <c r="L105" s="8">
        <f>'Components Data Source'!L105</f>
        <v>1</v>
      </c>
      <c r="M105" s="8" t="s">
        <v>1727</v>
      </c>
      <c r="N105" s="17" t="str">
        <f>HYPERLINK('Components Data Source'!M105)</f>
        <v>https://www.flowcode.co.uk/wiki/index.php?title=Component:_ID_9415f6ca_f29a_46cc_b3e8_f047cf0c598a</v>
      </c>
      <c r="O105" s="8" t="s">
        <v>1721</v>
      </c>
      <c r="P105" s="8"/>
      <c r="Q105" s="8" t="str">
        <f t="shared" si="4"/>
        <v/>
      </c>
      <c r="R105" s="8" t="s">
        <v>1727</v>
      </c>
      <c r="S105" s="8"/>
      <c r="T105" s="8"/>
      <c r="U105" s="8"/>
      <c r="V105" s="8" t="s">
        <v>1730</v>
      </c>
      <c r="W105" s="8" t="s">
        <v>1730</v>
      </c>
      <c r="X105" s="8"/>
      <c r="Y105" s="8"/>
      <c r="Z105" s="18">
        <f t="shared" si="3"/>
        <v>2</v>
      </c>
      <c r="AA105" s="8"/>
      <c r="AB105" s="7"/>
      <c r="AC105" s="7"/>
      <c r="AD105" s="8" t="s">
        <v>1721</v>
      </c>
      <c r="AE105" s="8" t="s">
        <v>1721</v>
      </c>
      <c r="AF105" s="8" t="s">
        <v>2401</v>
      </c>
      <c r="AG105" s="8" t="s">
        <v>1721</v>
      </c>
      <c r="AH105" s="47"/>
      <c r="AI105" s="47">
        <f>VLOOKUP(B105,'Components Usage'!A$2:C$603,3,FALSE)</f>
        <v>7</v>
      </c>
      <c r="AJ105" s="28" t="s">
        <v>2401</v>
      </c>
    </row>
    <row r="106" spans="1:36" x14ac:dyDescent="0.25">
      <c r="A106" s="16" t="str">
        <f>'Components Data Source'!A106</f>
        <v>Display Manager</v>
      </c>
      <c r="B106" s="8" t="str">
        <f>'Components Data Source'!B106</f>
        <v>CBFB3C21-F13D-488D-9B90-400C8D4FC605</v>
      </c>
      <c r="C106" s="41" t="str">
        <f>'Components Data Source'!C106</f>
        <v>DisplayManager.fcpx</v>
      </c>
      <c r="D106" s="8" t="str">
        <f>'Components Data Source'!D106</f>
        <v>Components\IO_Source\displays\DisplayManager.fcfx</v>
      </c>
      <c r="E106" s="8" t="str">
        <f>'Components Data Source'!E106</f>
        <v>FREE</v>
      </c>
      <c r="F106" s="8" t="str">
        <f>'Components Data Source'!F106</f>
        <v>GRAPHICAL LIBRARY</v>
      </c>
      <c r="G106" s="8">
        <f>'Components Data Source'!G106</f>
        <v>0</v>
      </c>
      <c r="H106" s="8">
        <f>'Components Data Source'!H106</f>
        <v>0</v>
      </c>
      <c r="I106" s="8">
        <f>'Components Data Source'!I106</f>
        <v>0</v>
      </c>
      <c r="J106" s="8">
        <f>'Components Data Source'!J106</f>
        <v>1</v>
      </c>
      <c r="K106" s="8">
        <f>'Components Data Source'!K106</f>
        <v>1</v>
      </c>
      <c r="L106" s="8">
        <f>'Components Data Source'!L106</f>
        <v>0</v>
      </c>
      <c r="M106" s="8" t="s">
        <v>1727</v>
      </c>
      <c r="N106" s="17" t="str">
        <f>HYPERLINK('Components Data Source'!M106)</f>
        <v>https://www.flowcode.co.uk/wiki/index.php?title=Component:_ID_cbfb3c21_f13d_488d_9b90_400c8d4fc605</v>
      </c>
      <c r="O106" s="8" t="s">
        <v>1721</v>
      </c>
      <c r="P106" s="8"/>
      <c r="Q106" s="8" t="str">
        <f t="shared" si="4"/>
        <v/>
      </c>
      <c r="R106" s="8" t="s">
        <v>1721</v>
      </c>
      <c r="S106" s="8" t="s">
        <v>1721</v>
      </c>
      <c r="T106" s="8" t="s">
        <v>1727</v>
      </c>
      <c r="U106" s="8" t="s">
        <v>1727</v>
      </c>
      <c r="V106" s="8" t="s">
        <v>1730</v>
      </c>
      <c r="W106" s="8" t="s">
        <v>1261</v>
      </c>
      <c r="X106" s="8" t="s">
        <v>1727</v>
      </c>
      <c r="Y106" s="8" t="s">
        <v>1727</v>
      </c>
      <c r="Z106" s="18">
        <f t="shared" si="3"/>
        <v>0</v>
      </c>
      <c r="AA106" s="8" t="s">
        <v>1721</v>
      </c>
      <c r="AB106" s="7" t="s">
        <v>2572</v>
      </c>
      <c r="AC106" s="7"/>
      <c r="AD106" s="8" t="s">
        <v>1721</v>
      </c>
      <c r="AE106" s="8" t="s">
        <v>1727</v>
      </c>
      <c r="AF106" s="8" t="s">
        <v>2401</v>
      </c>
      <c r="AG106" s="8" t="s">
        <v>1727</v>
      </c>
      <c r="AH106" s="47"/>
      <c r="AI106" s="47">
        <f>VLOOKUP(B106,'Components Usage'!A$2:C$603,3,FALSE)</f>
        <v>3</v>
      </c>
      <c r="AJ106" s="28" t="s">
        <v>2401</v>
      </c>
    </row>
    <row r="107" spans="1:36" hidden="1" x14ac:dyDescent="0.25">
      <c r="A107" s="16" t="str">
        <f>'Components Data Source'!A107</f>
        <v>Panel Console Viewer</v>
      </c>
      <c r="B107" s="8" t="str">
        <f>'Components Data Source'!B107</f>
        <v>8E91085E-F978-404F-9DE9-56424C4B56DD</v>
      </c>
      <c r="C107" s="41" t="str">
        <f>'Components Data Source'!C107</f>
        <v>DynamicTextField.fcpx</v>
      </c>
      <c r="D107" s="8" t="str">
        <f>'Components Data Source'!D107</f>
        <v>Components\Ctrl_Source\DynamicTextField.fcfx</v>
      </c>
      <c r="E107" s="8" t="str">
        <f>'Components Data Source'!E107</f>
        <v>MODELS</v>
      </c>
      <c r="F107" s="8" t="str">
        <f>'Components Data Source'!F107</f>
        <v>RUNTIME TOOLS</v>
      </c>
      <c r="G107" s="8">
        <f>'Components Data Source'!G107</f>
        <v>0</v>
      </c>
      <c r="H107" s="8">
        <f>'Components Data Source'!H107</f>
        <v>0</v>
      </c>
      <c r="I107" s="8">
        <f>'Components Data Source'!I107</f>
        <v>0</v>
      </c>
      <c r="J107" s="8">
        <f>'Components Data Source'!J107</f>
        <v>1</v>
      </c>
      <c r="K107" s="8">
        <f>'Components Data Source'!K107</f>
        <v>1</v>
      </c>
      <c r="L107" s="8">
        <f>'Components Data Source'!L107</f>
        <v>1</v>
      </c>
      <c r="M107" s="8" t="s">
        <v>1727</v>
      </c>
      <c r="N107" s="17" t="str">
        <f>HYPERLINK('Components Data Source'!M107)</f>
        <v>https://www.flowcode.co.uk/wiki/index.php?title=Component:_ID_8e91085e_f978_404f_9de9_56424c4b56dd</v>
      </c>
      <c r="O107" s="8" t="s">
        <v>1721</v>
      </c>
      <c r="P107" s="8"/>
      <c r="Q107" s="8" t="str">
        <f t="shared" si="4"/>
        <v/>
      </c>
      <c r="R107" s="8" t="s">
        <v>1727</v>
      </c>
      <c r="S107" s="8"/>
      <c r="T107" s="8"/>
      <c r="U107" s="8"/>
      <c r="V107" s="8" t="s">
        <v>1730</v>
      </c>
      <c r="W107" s="8" t="s">
        <v>1730</v>
      </c>
      <c r="X107" s="8"/>
      <c r="Y107" s="8"/>
      <c r="Z107" s="18">
        <f t="shared" si="3"/>
        <v>2</v>
      </c>
      <c r="AA107" s="8"/>
      <c r="AB107" s="7" t="s">
        <v>2473</v>
      </c>
      <c r="AC107" s="7"/>
      <c r="AD107" s="8" t="s">
        <v>1721</v>
      </c>
      <c r="AE107" s="8" t="s">
        <v>1727</v>
      </c>
      <c r="AF107" s="8" t="s">
        <v>2401</v>
      </c>
      <c r="AG107" s="8" t="s">
        <v>1727</v>
      </c>
      <c r="AH107" s="47"/>
      <c r="AI107" s="47">
        <f>VLOOKUP(B107,'Components Usage'!A$2:C$603,3,FALSE)</f>
        <v>1</v>
      </c>
      <c r="AJ107" s="28" t="s">
        <v>2401</v>
      </c>
    </row>
    <row r="108" spans="1:36" hidden="1" x14ac:dyDescent="0.25">
      <c r="A108" s="16" t="str">
        <f>'Components Data Source'!A108</f>
        <v>Touch Pads(EB088)</v>
      </c>
      <c r="B108" s="8" t="str">
        <f>'Components Data Source'!B108</f>
        <v>CBB357FA-5252-415D-80F5-01E4AB85CB4A</v>
      </c>
      <c r="C108" s="41" t="str">
        <f>'Components Data Source'!C108</f>
        <v>EB088_CapTouch.fcpx</v>
      </c>
      <c r="D108" s="8" t="str">
        <f>'Components Data Source'!D108</f>
        <v>Components\IO_Source\CapTouchEB088.fcfx</v>
      </c>
      <c r="E108" s="8" t="str">
        <f>'Components Data Source'!E108</f>
        <v>BASICIO</v>
      </c>
      <c r="F108" s="8" t="str">
        <f>'Components Data Source'!F108</f>
        <v>E-BLOCKS 1</v>
      </c>
      <c r="G108" s="8">
        <f>'Components Data Source'!G108</f>
        <v>0</v>
      </c>
      <c r="H108" s="8">
        <f>'Components Data Source'!H108</f>
        <v>0</v>
      </c>
      <c r="I108" s="8">
        <f>'Components Data Source'!I108</f>
        <v>0</v>
      </c>
      <c r="J108" s="8">
        <f>'Components Data Source'!J108</f>
        <v>1</v>
      </c>
      <c r="K108" s="8">
        <f>'Components Data Source'!K108</f>
        <v>1</v>
      </c>
      <c r="L108" s="8">
        <f>'Components Data Source'!L108</f>
        <v>0</v>
      </c>
      <c r="M108" s="8" t="s">
        <v>1727</v>
      </c>
      <c r="N108" s="17" t="str">
        <f>HYPERLINK('Components Data Source'!M108)</f>
        <v>https://www.flowcode.co.uk/wiki/index.php?title=Component:_ID_cbb357fa_5252_415d_80f5_01e4ab85cb4a</v>
      </c>
      <c r="O108" s="8" t="s">
        <v>1721</v>
      </c>
      <c r="P108" s="8"/>
      <c r="Q108" s="8" t="str">
        <f t="shared" si="4"/>
        <v/>
      </c>
      <c r="R108" s="8" t="s">
        <v>1727</v>
      </c>
      <c r="S108" s="8"/>
      <c r="T108" s="8"/>
      <c r="U108" s="8"/>
      <c r="V108" s="8" t="s">
        <v>1730</v>
      </c>
      <c r="W108" s="8" t="s">
        <v>1730</v>
      </c>
      <c r="X108" s="8"/>
      <c r="Y108" s="8"/>
      <c r="Z108" s="18">
        <f t="shared" si="3"/>
        <v>2</v>
      </c>
      <c r="AA108" s="8"/>
      <c r="AB108" s="7"/>
      <c r="AC108" s="7"/>
      <c r="AD108" s="8" t="s">
        <v>1721</v>
      </c>
      <c r="AE108" s="8" t="s">
        <v>1727</v>
      </c>
      <c r="AF108" s="8" t="s">
        <v>1727</v>
      </c>
      <c r="AG108" s="8" t="s">
        <v>1727</v>
      </c>
      <c r="AH108" s="47"/>
      <c r="AI108" s="47">
        <f>VLOOKUP(B108,'Components Usage'!A$2:C$603,3,FALSE)</f>
        <v>2</v>
      </c>
      <c r="AJ108" s="28" t="s">
        <v>2401</v>
      </c>
    </row>
    <row r="109" spans="1:36" x14ac:dyDescent="0.25">
      <c r="A109" s="16" t="str">
        <f>'Components Data Source'!A109</f>
        <v>E-block 2 Helper</v>
      </c>
      <c r="B109" s="8" t="str">
        <f>'Components Data Source'!B109</f>
        <v>7AE74A71-A424-452F-8D71-618CF50CFF98</v>
      </c>
      <c r="C109" s="41" t="str">
        <f>'Components Data Source'!C109</f>
        <v>EB2Helper.fcpx</v>
      </c>
      <c r="D109" s="8" t="str">
        <f>'Components Data Source'!D109</f>
        <v>Components\Ctrl_Source\E-block2 Helper.fcfx</v>
      </c>
      <c r="E109" s="8" t="str">
        <f>'Components Data Source'!E109</f>
        <v>FREE</v>
      </c>
      <c r="F109" s="8" t="str">
        <f>'Components Data Source'!F109</f>
        <v>E-BLOCKS 2</v>
      </c>
      <c r="G109" s="8">
        <f>'Components Data Source'!G109</f>
        <v>0</v>
      </c>
      <c r="H109" s="8">
        <f>'Components Data Source'!H109</f>
        <v>0</v>
      </c>
      <c r="I109" s="8">
        <f>'Components Data Source'!I109</f>
        <v>0</v>
      </c>
      <c r="J109" s="8">
        <f>'Components Data Source'!J109</f>
        <v>1</v>
      </c>
      <c r="K109" s="8">
        <f>'Components Data Source'!K109</f>
        <v>1</v>
      </c>
      <c r="L109" s="8">
        <f>'Components Data Source'!L109</f>
        <v>0</v>
      </c>
      <c r="M109" s="8" t="s">
        <v>1727</v>
      </c>
      <c r="N109" s="17" t="str">
        <f>HYPERLINK('Components Data Source'!M109)</f>
        <v>https://www.flowcode.co.uk/wiki/index.php?title=Component:_ID_7ae74a71_a424_452f_8d71_618cf50cff98</v>
      </c>
      <c r="O109" s="8" t="s">
        <v>1721</v>
      </c>
      <c r="P109" s="8" t="s">
        <v>2774</v>
      </c>
      <c r="Q109" s="8" t="str">
        <f t="shared" si="4"/>
        <v/>
      </c>
      <c r="R109" s="8" t="s">
        <v>1721</v>
      </c>
      <c r="S109" s="8" t="s">
        <v>1721</v>
      </c>
      <c r="T109" s="8" t="s">
        <v>1727</v>
      </c>
      <c r="U109" s="8" t="s">
        <v>1727</v>
      </c>
      <c r="V109" s="8" t="s">
        <v>1731</v>
      </c>
      <c r="W109" s="8" t="s">
        <v>1731</v>
      </c>
      <c r="X109" s="8" t="s">
        <v>1721</v>
      </c>
      <c r="Y109" s="8" t="s">
        <v>1721</v>
      </c>
      <c r="Z109" s="18">
        <f t="shared" si="3"/>
        <v>1</v>
      </c>
      <c r="AA109" s="8"/>
      <c r="AB109" s="7"/>
      <c r="AC109" s="7"/>
      <c r="AD109" s="8" t="s">
        <v>1721</v>
      </c>
      <c r="AE109" s="8" t="s">
        <v>1727</v>
      </c>
      <c r="AF109" s="8" t="s">
        <v>2401</v>
      </c>
      <c r="AG109" s="8" t="s">
        <v>1727</v>
      </c>
      <c r="AH109" s="47"/>
      <c r="AI109" s="47">
        <f>VLOOKUP(B109,'Components Usage'!A$2:C$603,3,FALSE)</f>
        <v>20</v>
      </c>
      <c r="AJ109" s="28"/>
    </row>
    <row r="110" spans="1:36" x14ac:dyDescent="0.25">
      <c r="A110" s="16" t="str">
        <f>'Components Data Source'!A110</f>
        <v>E-block Helper</v>
      </c>
      <c r="B110" s="8" t="str">
        <f>'Components Data Source'!B110</f>
        <v>A5320E5B-75C1-4E67-9ED4-E933F40EFC9A</v>
      </c>
      <c r="C110" s="41" t="str">
        <f>'Components Data Source'!C110</f>
        <v>EBHelper.fcpx</v>
      </c>
      <c r="D110" s="8" t="str">
        <f>'Components Data Source'!D110</f>
        <v>Components\Ctrl_Source\E-block Helper.fcfx</v>
      </c>
      <c r="E110" s="8" t="str">
        <f>'Components Data Source'!E110</f>
        <v>FREE</v>
      </c>
      <c r="F110" s="8" t="str">
        <f>'Components Data Source'!F110</f>
        <v>E-BLOCKS 1</v>
      </c>
      <c r="G110" s="8">
        <f>'Components Data Source'!G110</f>
        <v>0</v>
      </c>
      <c r="H110" s="8">
        <f>'Components Data Source'!H110</f>
        <v>0</v>
      </c>
      <c r="I110" s="8">
        <f>'Components Data Source'!I110</f>
        <v>0</v>
      </c>
      <c r="J110" s="8">
        <f>'Components Data Source'!J110</f>
        <v>1</v>
      </c>
      <c r="K110" s="8">
        <f>'Components Data Source'!K110</f>
        <v>1</v>
      </c>
      <c r="L110" s="8">
        <f>'Components Data Source'!L110</f>
        <v>0</v>
      </c>
      <c r="M110" s="8" t="s">
        <v>1727</v>
      </c>
      <c r="N110" s="17" t="str">
        <f>HYPERLINK('Components Data Source'!M110)</f>
        <v>https://www.flowcode.co.uk/wiki/index.php?title=Component:_ID_a5320e5b_75c1_4e67_9ed4_e933f40efc9a</v>
      </c>
      <c r="O110" s="8" t="s">
        <v>1721</v>
      </c>
      <c r="P110" s="8" t="s">
        <v>2774</v>
      </c>
      <c r="Q110" s="8" t="str">
        <f t="shared" si="4"/>
        <v/>
      </c>
      <c r="R110" s="8" t="s">
        <v>1721</v>
      </c>
      <c r="S110" s="8" t="s">
        <v>1721</v>
      </c>
      <c r="T110" s="8" t="s">
        <v>1727</v>
      </c>
      <c r="U110" s="8" t="s">
        <v>1727</v>
      </c>
      <c r="V110" s="8" t="s">
        <v>1731</v>
      </c>
      <c r="W110" s="8" t="s">
        <v>1731</v>
      </c>
      <c r="X110" s="8" t="s">
        <v>1721</v>
      </c>
      <c r="Y110" s="8" t="s">
        <v>1721</v>
      </c>
      <c r="Z110" s="18">
        <f t="shared" si="3"/>
        <v>1</v>
      </c>
      <c r="AA110" s="8"/>
      <c r="AB110" s="7"/>
      <c r="AC110" s="7"/>
      <c r="AD110" s="8" t="s">
        <v>1721</v>
      </c>
      <c r="AE110" s="8" t="s">
        <v>1721</v>
      </c>
      <c r="AF110" s="8" t="s">
        <v>2401</v>
      </c>
      <c r="AG110" s="8" t="s">
        <v>2401</v>
      </c>
      <c r="AH110" s="47"/>
      <c r="AI110" s="47">
        <f>VLOOKUP(B110,'Components Usage'!A$2:C$603,3,FALSE)</f>
        <v>6</v>
      </c>
      <c r="AJ110" s="28"/>
    </row>
    <row r="111" spans="1:36" hidden="1" x14ac:dyDescent="0.25">
      <c r="A111" s="16" t="str">
        <f>'Components Data Source'!A111</f>
        <v>Potentiometer(EBM002)</v>
      </c>
      <c r="B111" s="8" t="str">
        <f>'Components Data Source'!B111</f>
        <v>9A0503FF-2954-445E-9032-3465A05F8F82</v>
      </c>
      <c r="C111" s="41" t="str">
        <f>'Components Data Source'!C111</f>
        <v>EBM002_Potentiometer.fcpx</v>
      </c>
      <c r="D111" s="8" t="str">
        <f>'Components Data Source'!D111</f>
        <v>Components\IO_Source\Sensors\EBM002v1.fcfx</v>
      </c>
      <c r="E111" s="8" t="str">
        <f>'Components Data Source'!E111</f>
        <v>SENSORS</v>
      </c>
      <c r="F111" s="8" t="str">
        <f>'Components Data Source'!F111</f>
        <v>EBM MODULES</v>
      </c>
      <c r="G111" s="8">
        <f>'Components Data Source'!G111</f>
        <v>0</v>
      </c>
      <c r="H111" s="8">
        <f>'Components Data Source'!H111</f>
        <v>0</v>
      </c>
      <c r="I111" s="8">
        <f>'Components Data Source'!I111</f>
        <v>0</v>
      </c>
      <c r="J111" s="8">
        <f>'Components Data Source'!J111</f>
        <v>1</v>
      </c>
      <c r="K111" s="8">
        <f>'Components Data Source'!K111</f>
        <v>1</v>
      </c>
      <c r="L111" s="8">
        <f>'Components Data Source'!L111</f>
        <v>0</v>
      </c>
      <c r="M111" s="8" t="s">
        <v>1727</v>
      </c>
      <c r="N111" s="17" t="str">
        <f>HYPERLINK('Components Data Source'!M111)</f>
        <v>https://www.flowcode.co.uk/wiki/index.php?title=Component:_ID_9a0503ff_2954_445e_9032_3465a05f8f82</v>
      </c>
      <c r="O111" s="8" t="s">
        <v>1721</v>
      </c>
      <c r="P111" s="8"/>
      <c r="Q111" s="8" t="str">
        <f t="shared" si="4"/>
        <v/>
      </c>
      <c r="R111" s="1" t="s">
        <v>1721</v>
      </c>
      <c r="S111" s="1" t="s">
        <v>1721</v>
      </c>
      <c r="T111" s="1" t="s">
        <v>1727</v>
      </c>
      <c r="U111" s="1" t="s">
        <v>1727</v>
      </c>
      <c r="V111" s="1" t="s">
        <v>1731</v>
      </c>
      <c r="W111" s="1" t="s">
        <v>1731</v>
      </c>
      <c r="X111" s="1" t="s">
        <v>1721</v>
      </c>
      <c r="Y111" s="8" t="s">
        <v>1721</v>
      </c>
      <c r="Z111" s="18">
        <f t="shared" si="3"/>
        <v>1</v>
      </c>
      <c r="AA111" s="8"/>
      <c r="AB111" s="6" t="s">
        <v>2429</v>
      </c>
      <c r="AC111" s="7"/>
      <c r="AD111" s="8" t="s">
        <v>1721</v>
      </c>
      <c r="AE111" s="8" t="s">
        <v>1721</v>
      </c>
      <c r="AF111" s="8" t="s">
        <v>1727</v>
      </c>
      <c r="AG111" s="8" t="s">
        <v>1721</v>
      </c>
      <c r="AH111" s="47"/>
      <c r="AI111" s="47">
        <f>VLOOKUP(B111,'Components Usage'!A$2:C$603,3,FALSE)</f>
        <v>6</v>
      </c>
      <c r="AJ111" s="28" t="s">
        <v>2401</v>
      </c>
    </row>
    <row r="112" spans="1:36" hidden="1" x14ac:dyDescent="0.25">
      <c r="A112" s="16" t="str">
        <f>'Components Data Source'!A112</f>
        <v>Thermistor(EBM003)</v>
      </c>
      <c r="B112" s="8" t="str">
        <f>'Components Data Source'!B112</f>
        <v>2F3DD5E3-B652-4045-9AB9-10D49440E5CD</v>
      </c>
      <c r="C112" s="41" t="str">
        <f>'Components Data Source'!C112</f>
        <v>EBM003_Thermistor.fcpx</v>
      </c>
      <c r="D112" s="8" t="str">
        <f>'Components Data Source'!D112</f>
        <v>Components\IO_Source\Sensors\EBM003v1.fcfx</v>
      </c>
      <c r="E112" s="8" t="str">
        <f>'Components Data Source'!E112</f>
        <v>SENSORS</v>
      </c>
      <c r="F112" s="8" t="str">
        <f>'Components Data Source'!F112</f>
        <v>EBM MODULES</v>
      </c>
      <c r="G112" s="8">
        <f>'Components Data Source'!G112</f>
        <v>0</v>
      </c>
      <c r="H112" s="8">
        <f>'Components Data Source'!H112</f>
        <v>0</v>
      </c>
      <c r="I112" s="8">
        <f>'Components Data Source'!I112</f>
        <v>0</v>
      </c>
      <c r="J112" s="8">
        <f>'Components Data Source'!J112</f>
        <v>1</v>
      </c>
      <c r="K112" s="8">
        <f>'Components Data Source'!K112</f>
        <v>1</v>
      </c>
      <c r="L112" s="8">
        <f>'Components Data Source'!L112</f>
        <v>0</v>
      </c>
      <c r="M112" s="8" t="s">
        <v>1727</v>
      </c>
      <c r="N112" s="17" t="str">
        <f>HYPERLINK('Components Data Source'!M112)</f>
        <v>https://www.flowcode.co.uk/wiki/index.php?title=Component:_ID_2f3dd5e3_b652_4045_9ab9_10d49440e5cd</v>
      </c>
      <c r="O112" s="8" t="s">
        <v>1721</v>
      </c>
      <c r="P112" s="8"/>
      <c r="Q112" s="8" t="str">
        <f t="shared" si="4"/>
        <v/>
      </c>
      <c r="R112" s="1" t="s">
        <v>1721</v>
      </c>
      <c r="S112" s="1" t="s">
        <v>1721</v>
      </c>
      <c r="T112" s="1" t="s">
        <v>1727</v>
      </c>
      <c r="U112" s="1" t="s">
        <v>1727</v>
      </c>
      <c r="V112" s="1" t="s">
        <v>1731</v>
      </c>
      <c r="W112" s="1" t="s">
        <v>1731</v>
      </c>
      <c r="X112" s="1" t="s">
        <v>1721</v>
      </c>
      <c r="Y112" s="8" t="s">
        <v>1721</v>
      </c>
      <c r="Z112" s="18">
        <f t="shared" si="3"/>
        <v>1</v>
      </c>
      <c r="AA112" s="8"/>
      <c r="AB112" s="9"/>
      <c r="AC112" s="7"/>
      <c r="AD112" s="8" t="s">
        <v>1721</v>
      </c>
      <c r="AE112" s="8" t="s">
        <v>1727</v>
      </c>
      <c r="AF112" s="8" t="s">
        <v>1727</v>
      </c>
      <c r="AG112" s="8" t="s">
        <v>1727</v>
      </c>
      <c r="AH112" s="47"/>
      <c r="AI112" s="47">
        <f>VLOOKUP(B112,'Components Usage'!A$2:C$603,3,FALSE)</f>
        <v>2</v>
      </c>
      <c r="AJ112" s="28" t="s">
        <v>2401</v>
      </c>
    </row>
    <row r="113" spans="1:36" ht="30" hidden="1" x14ac:dyDescent="0.25">
      <c r="A113" s="16" t="str">
        <f>'Components Data Source'!A113</f>
        <v>Digital Temperature(EBM004)</v>
      </c>
      <c r="B113" s="8" t="str">
        <f>'Components Data Source'!B113</f>
        <v>E3FDCCA6-1408-4389-8E2D-E741B06B3463</v>
      </c>
      <c r="C113" s="41" t="str">
        <f>'Components Data Source'!C113</f>
        <v>EBM004_DigitalTemperature.fcpx</v>
      </c>
      <c r="D113" s="8" t="str">
        <f>'Components Data Source'!D113</f>
        <v>Components\IO_Source\Sensors\EBM004v1.fcfx</v>
      </c>
      <c r="E113" s="8" t="str">
        <f>'Components Data Source'!E113</f>
        <v>SENSORS</v>
      </c>
      <c r="F113" s="8" t="str">
        <f>'Components Data Source'!F113</f>
        <v>EBM MODULES</v>
      </c>
      <c r="G113" s="8">
        <f>'Components Data Source'!G113</f>
        <v>0</v>
      </c>
      <c r="H113" s="8">
        <f>'Components Data Source'!H113</f>
        <v>0</v>
      </c>
      <c r="I113" s="8" t="str">
        <f>'Components Data Source'!I113</f>
        <v xml:space="preserve">I2C </v>
      </c>
      <c r="J113" s="8">
        <f>'Components Data Source'!J113</f>
        <v>1</v>
      </c>
      <c r="K113" s="8">
        <f>'Components Data Source'!K113</f>
        <v>1</v>
      </c>
      <c r="L113" s="8">
        <f>'Components Data Source'!L113</f>
        <v>0</v>
      </c>
      <c r="M113" s="8" t="s">
        <v>1727</v>
      </c>
      <c r="N113" s="17" t="str">
        <f>HYPERLINK('Components Data Source'!M113)</f>
        <v>https://www.flowcode.co.uk/wiki/index.php?title=Component:_ID_e3fdcca6_1408_4389_8e2d_e741b06b3463</v>
      </c>
      <c r="O113" s="8" t="s">
        <v>1721</v>
      </c>
      <c r="P113" s="8"/>
      <c r="Q113" s="8" t="str">
        <f t="shared" si="4"/>
        <v/>
      </c>
      <c r="R113" s="1" t="s">
        <v>1721</v>
      </c>
      <c r="S113" s="1" t="s">
        <v>1721</v>
      </c>
      <c r="T113" s="1" t="s">
        <v>1721</v>
      </c>
      <c r="U113" s="1" t="s">
        <v>1721</v>
      </c>
      <c r="V113" s="1" t="s">
        <v>1731</v>
      </c>
      <c r="W113" s="1" t="s">
        <v>1175</v>
      </c>
      <c r="X113" s="1" t="s">
        <v>1721</v>
      </c>
      <c r="Y113" s="8" t="s">
        <v>1721</v>
      </c>
      <c r="Z113" s="18">
        <f t="shared" si="3"/>
        <v>1</v>
      </c>
      <c r="AA113" s="8"/>
      <c r="AB113" s="9" t="s">
        <v>2573</v>
      </c>
      <c r="AC113" s="7"/>
      <c r="AD113" s="8" t="s">
        <v>1721</v>
      </c>
      <c r="AE113" s="8" t="s">
        <v>1721</v>
      </c>
      <c r="AF113" s="8" t="s">
        <v>1727</v>
      </c>
      <c r="AG113" s="8" t="s">
        <v>1721</v>
      </c>
      <c r="AH113" s="47"/>
      <c r="AI113" s="47">
        <f>VLOOKUP(B113,'Components Usage'!A$2:C$603,3,FALSE)</f>
        <v>2</v>
      </c>
      <c r="AJ113" s="28" t="s">
        <v>2401</v>
      </c>
    </row>
    <row r="114" spans="1:36" hidden="1" x14ac:dyDescent="0.25">
      <c r="A114" s="16" t="str">
        <f>'Components Data Source'!A114</f>
        <v>Dual Potentiometer - Trimmer(EBM006)</v>
      </c>
      <c r="B114" s="8" t="str">
        <f>'Components Data Source'!B114</f>
        <v>245B0876-A350-4546-BB71-B427FF6EC9EF</v>
      </c>
      <c r="C114" s="41" t="str">
        <f>'Components Data Source'!C114</f>
        <v>EBM006_DualTrimmer.fcpx</v>
      </c>
      <c r="D114" s="8" t="str">
        <f>'Components Data Source'!D114</f>
        <v>Components\IO_Source\Sensors\EBM006v1.fcfx</v>
      </c>
      <c r="E114" s="8" t="str">
        <f>'Components Data Source'!E114</f>
        <v>SENSORS</v>
      </c>
      <c r="F114" s="8" t="str">
        <f>'Components Data Source'!F114</f>
        <v>EBM MODULES</v>
      </c>
      <c r="G114" s="8">
        <f>'Components Data Source'!G114</f>
        <v>0</v>
      </c>
      <c r="H114" s="8">
        <f>'Components Data Source'!H114</f>
        <v>0</v>
      </c>
      <c r="I114" s="8">
        <f>'Components Data Source'!I114</f>
        <v>0</v>
      </c>
      <c r="J114" s="8">
        <f>'Components Data Source'!J114</f>
        <v>1</v>
      </c>
      <c r="K114" s="8">
        <f>'Components Data Source'!K114</f>
        <v>1</v>
      </c>
      <c r="L114" s="8">
        <f>'Components Data Source'!L114</f>
        <v>0</v>
      </c>
      <c r="M114" s="8" t="s">
        <v>1727</v>
      </c>
      <c r="N114" s="17" t="str">
        <f>HYPERLINK('Components Data Source'!M114)</f>
        <v>https://www.flowcode.co.uk/wiki/index.php?title=Component:_ID_245b0876_a350_4546_bb71_b427ff6ec9ef</v>
      </c>
      <c r="O114" s="8" t="s">
        <v>1721</v>
      </c>
      <c r="P114" s="8" t="s">
        <v>2774</v>
      </c>
      <c r="Q114" s="8" t="str">
        <f t="shared" si="4"/>
        <v/>
      </c>
      <c r="R114" s="1" t="s">
        <v>1721</v>
      </c>
      <c r="S114" s="1" t="s">
        <v>1721</v>
      </c>
      <c r="T114" s="1" t="s">
        <v>1727</v>
      </c>
      <c r="U114" s="1" t="s">
        <v>1727</v>
      </c>
      <c r="V114" s="1" t="s">
        <v>1731</v>
      </c>
      <c r="W114" s="1" t="s">
        <v>1731</v>
      </c>
      <c r="X114" s="1" t="s">
        <v>1721</v>
      </c>
      <c r="Y114" s="8" t="s">
        <v>1721</v>
      </c>
      <c r="Z114" s="18">
        <f t="shared" si="3"/>
        <v>1</v>
      </c>
      <c r="AA114" s="8"/>
      <c r="AB114" s="6" t="s">
        <v>2430</v>
      </c>
      <c r="AC114" s="7"/>
      <c r="AD114" s="8" t="s">
        <v>1721</v>
      </c>
      <c r="AE114" s="8" t="s">
        <v>1727</v>
      </c>
      <c r="AF114" s="8" t="s">
        <v>1727</v>
      </c>
      <c r="AG114" s="8" t="s">
        <v>1727</v>
      </c>
      <c r="AH114" s="47"/>
      <c r="AI114" s="47">
        <f>VLOOKUP(B114,'Components Usage'!A$2:C$603,3,FALSE)</f>
        <v>1</v>
      </c>
      <c r="AJ114" s="28" t="s">
        <v>2401</v>
      </c>
    </row>
    <row r="115" spans="1:36" hidden="1" x14ac:dyDescent="0.25">
      <c r="A115" s="16" t="str">
        <f>'Components Data Source'!A115</f>
        <v>Quadrature Encoder(EBM007)</v>
      </c>
      <c r="B115" s="8" t="str">
        <f>'Components Data Source'!B115</f>
        <v>0C8229B3-03EA-415C-824B-A5C9A8394751</v>
      </c>
      <c r="C115" s="41" t="str">
        <f>'Components Data Source'!C115</f>
        <v>EBM007_RotaryEncoder.fcpx</v>
      </c>
      <c r="D115" s="8" t="str">
        <f>'Components Data Source'!D115</f>
        <v>Components\IO_Source\Sensors\EBM007v2.fcfx</v>
      </c>
      <c r="E115" s="8" t="str">
        <f>'Components Data Source'!E115</f>
        <v>SENSORS</v>
      </c>
      <c r="F115" s="8" t="str">
        <f>'Components Data Source'!F115</f>
        <v>EBM MODULES</v>
      </c>
      <c r="G115" s="8">
        <f>'Components Data Source'!G115</f>
        <v>0</v>
      </c>
      <c r="H115" s="8">
        <f>'Components Data Source'!H115</f>
        <v>0</v>
      </c>
      <c r="I115" s="8">
        <f>'Components Data Source'!I115</f>
        <v>0</v>
      </c>
      <c r="J115" s="8">
        <f>'Components Data Source'!J115</f>
        <v>1</v>
      </c>
      <c r="K115" s="8">
        <f>'Components Data Source'!K115</f>
        <v>1</v>
      </c>
      <c r="L115" s="8">
        <f>'Components Data Source'!L115</f>
        <v>0</v>
      </c>
      <c r="M115" s="8" t="s">
        <v>1727</v>
      </c>
      <c r="N115" s="17" t="str">
        <f>HYPERLINK('Components Data Source'!M115)</f>
        <v>https://www.flowcode.co.uk/wiki/index.php?title=Component:_ID_0c8229b3_03ea_415c_824b_a5c9a8394751</v>
      </c>
      <c r="O115" s="8" t="s">
        <v>1721</v>
      </c>
      <c r="P115" s="8"/>
      <c r="Q115" s="8" t="str">
        <f t="shared" si="4"/>
        <v/>
      </c>
      <c r="R115" s="1" t="s">
        <v>1727</v>
      </c>
      <c r="S115" s="1"/>
      <c r="T115" s="1"/>
      <c r="U115" s="1"/>
      <c r="V115" s="1" t="s">
        <v>1730</v>
      </c>
      <c r="W115" s="1" t="s">
        <v>1730</v>
      </c>
      <c r="X115" s="1"/>
      <c r="Y115" s="8"/>
      <c r="Z115" s="18">
        <f t="shared" si="3"/>
        <v>2</v>
      </c>
      <c r="AA115" s="8"/>
      <c r="AB115" s="6" t="s">
        <v>2431</v>
      </c>
      <c r="AC115" s="7"/>
      <c r="AD115" s="8" t="s">
        <v>1721</v>
      </c>
      <c r="AE115" s="8" t="s">
        <v>1721</v>
      </c>
      <c r="AF115" s="8" t="s">
        <v>1727</v>
      </c>
      <c r="AG115" s="8" t="s">
        <v>1721</v>
      </c>
      <c r="AH115" s="47"/>
      <c r="AI115" s="47">
        <f>VLOOKUP(B115,'Components Usage'!A$2:C$603,3,FALSE)</f>
        <v>5</v>
      </c>
      <c r="AJ115" s="28" t="s">
        <v>2401</v>
      </c>
    </row>
    <row r="116" spans="1:36" hidden="1" x14ac:dyDescent="0.25">
      <c r="A116" s="16" t="str">
        <f>'Components Data Source'!A116</f>
        <v>Thermocouple TypeK(EBM008)</v>
      </c>
      <c r="B116" s="8" t="str">
        <f>'Components Data Source'!B116</f>
        <v>D5C30CEA-62DE-4A55-9783-9BF9D104E3EC</v>
      </c>
      <c r="C116" s="41" t="str">
        <f>'Components Data Source'!C116</f>
        <v>EBM008_Thermocouple.fcpx</v>
      </c>
      <c r="D116" s="8" t="str">
        <f>'Components Data Source'!D116</f>
        <v>Components\IO_Source\Sensors\EBM008v1.fcfx</v>
      </c>
      <c r="E116" s="8" t="str">
        <f>'Components Data Source'!E116</f>
        <v>SENSORS</v>
      </c>
      <c r="F116" s="8" t="str">
        <f>'Components Data Source'!F116</f>
        <v>EBM MODULES</v>
      </c>
      <c r="G116" s="8">
        <f>'Components Data Source'!G116</f>
        <v>0</v>
      </c>
      <c r="H116" s="8">
        <f>'Components Data Source'!H116</f>
        <v>0</v>
      </c>
      <c r="I116" s="8">
        <f>'Components Data Source'!I116</f>
        <v>0</v>
      </c>
      <c r="J116" s="8">
        <f>'Components Data Source'!J116</f>
        <v>1</v>
      </c>
      <c r="K116" s="8">
        <f>'Components Data Source'!K116</f>
        <v>1</v>
      </c>
      <c r="L116" s="8">
        <f>'Components Data Source'!L116</f>
        <v>0</v>
      </c>
      <c r="M116" s="8" t="s">
        <v>1727</v>
      </c>
      <c r="N116" s="17" t="str">
        <f>HYPERLINK('Components Data Source'!M116)</f>
        <v>https://www.flowcode.co.uk/wiki/index.php?title=Component:_ID_d5c30cea_62de_4a55_9783_9bf9d104e3ec</v>
      </c>
      <c r="O116" s="8" t="s">
        <v>1721</v>
      </c>
      <c r="P116" s="8"/>
      <c r="Q116" s="8" t="str">
        <f t="shared" si="4"/>
        <v/>
      </c>
      <c r="R116" s="1" t="s">
        <v>1727</v>
      </c>
      <c r="S116" s="1"/>
      <c r="T116" s="1"/>
      <c r="U116" s="1"/>
      <c r="V116" s="1" t="s">
        <v>1730</v>
      </c>
      <c r="W116" s="1" t="s">
        <v>1730</v>
      </c>
      <c r="X116" s="1"/>
      <c r="Y116" s="8"/>
      <c r="Z116" s="18">
        <f t="shared" si="3"/>
        <v>2</v>
      </c>
      <c r="AA116" s="8"/>
      <c r="AB116" s="9" t="s">
        <v>2479</v>
      </c>
      <c r="AC116" s="7"/>
      <c r="AD116" s="8" t="s">
        <v>1721</v>
      </c>
      <c r="AE116" s="8" t="s">
        <v>1721</v>
      </c>
      <c r="AF116" s="8" t="s">
        <v>1727</v>
      </c>
      <c r="AG116" s="8" t="s">
        <v>1721</v>
      </c>
      <c r="AH116" s="47"/>
      <c r="AI116" s="47">
        <f>VLOOKUP(B116,'Components Usage'!A$2:C$603,3,FALSE)</f>
        <v>2</v>
      </c>
      <c r="AJ116" s="28" t="s">
        <v>2401</v>
      </c>
    </row>
    <row r="117" spans="1:36" hidden="1" x14ac:dyDescent="0.25">
      <c r="A117" s="16" t="str">
        <f>'Components Data Source'!A117</f>
        <v>Gyroscope(EBM009)</v>
      </c>
      <c r="B117" s="8" t="str">
        <f>'Components Data Source'!B117</f>
        <v>7B1EDF74-D0C8-4B1D-A8B3-54580ED79F64</v>
      </c>
      <c r="C117" s="41" t="str">
        <f>'Components Data Source'!C117</f>
        <v>EBM009_Gyroscope.fcpx</v>
      </c>
      <c r="D117" s="8" t="str">
        <f>'Components Data Source'!D117</f>
        <v>Components\IO_Source\Sensors\EBM009v1.fcfx</v>
      </c>
      <c r="E117" s="8" t="str">
        <f>'Components Data Source'!E117</f>
        <v>SENSORS</v>
      </c>
      <c r="F117" s="8" t="str">
        <f>'Components Data Source'!F117</f>
        <v>EBM MODULES</v>
      </c>
      <c r="G117" s="8">
        <f>'Components Data Source'!G117</f>
        <v>0</v>
      </c>
      <c r="H117" s="8">
        <f>'Components Data Source'!H117</f>
        <v>0</v>
      </c>
      <c r="I117" s="8" t="str">
        <f>'Components Data Source'!I117</f>
        <v xml:space="preserve">I2C </v>
      </c>
      <c r="J117" s="8">
        <f>'Components Data Source'!J117</f>
        <v>1</v>
      </c>
      <c r="K117" s="8">
        <f>'Components Data Source'!K117</f>
        <v>1</v>
      </c>
      <c r="L117" s="8">
        <f>'Components Data Source'!L117</f>
        <v>0</v>
      </c>
      <c r="M117" s="8" t="s">
        <v>1727</v>
      </c>
      <c r="N117" s="17" t="str">
        <f>HYPERLINK('Components Data Source'!M117)</f>
        <v>https://www.flowcode.co.uk/wiki/index.php?title=Component:_ID_7b1edf74_d0c8_4b1d_a8b3_54580ed79f64</v>
      </c>
      <c r="O117" s="8" t="s">
        <v>1721</v>
      </c>
      <c r="P117" s="8"/>
      <c r="Q117" s="8" t="str">
        <f t="shared" si="4"/>
        <v/>
      </c>
      <c r="R117" s="1" t="s">
        <v>1721</v>
      </c>
      <c r="S117" s="1" t="s">
        <v>1721</v>
      </c>
      <c r="T117" s="1" t="s">
        <v>1721</v>
      </c>
      <c r="U117" s="1" t="s">
        <v>1721</v>
      </c>
      <c r="V117" s="1" t="s">
        <v>1731</v>
      </c>
      <c r="W117" s="1" t="s">
        <v>1175</v>
      </c>
      <c r="X117" s="1" t="s">
        <v>1721</v>
      </c>
      <c r="Y117" s="8" t="s">
        <v>2401</v>
      </c>
      <c r="Z117" s="18">
        <f t="shared" si="3"/>
        <v>3</v>
      </c>
      <c r="AA117" s="8"/>
      <c r="AB117" s="6" t="s">
        <v>2432</v>
      </c>
      <c r="AC117" s="7"/>
      <c r="AD117" s="8" t="s">
        <v>1721</v>
      </c>
      <c r="AE117" s="8" t="s">
        <v>1721</v>
      </c>
      <c r="AF117" s="8" t="s">
        <v>1727</v>
      </c>
      <c r="AG117" s="8" t="s">
        <v>1721</v>
      </c>
      <c r="AH117" s="47"/>
      <c r="AI117" s="47">
        <f>VLOOKUP(B117,'Components Usage'!A$2:C$603,3,FALSE)</f>
        <v>1</v>
      </c>
      <c r="AJ117" s="28" t="s">
        <v>2401</v>
      </c>
    </row>
    <row r="118" spans="1:36" hidden="1" x14ac:dyDescent="0.25">
      <c r="A118" s="16" t="str">
        <f>'Components Data Source'!A118</f>
        <v>Hall Effect(EBM011)</v>
      </c>
      <c r="B118" s="8" t="str">
        <f>'Components Data Source'!B118</f>
        <v>B42786AB-FD9A-47CF-B3C4-560ECDC613FD</v>
      </c>
      <c r="C118" s="41" t="str">
        <f>'Components Data Source'!C118</f>
        <v>EBM011_HallEffect.fcpx</v>
      </c>
      <c r="D118" s="8" t="str">
        <f>'Components Data Source'!D118</f>
        <v>Components\IO_Source\Sensors\EBM011v1.fcfx</v>
      </c>
      <c r="E118" s="8" t="str">
        <f>'Components Data Source'!E118</f>
        <v>SENSORS</v>
      </c>
      <c r="F118" s="8" t="str">
        <f>'Components Data Source'!F118</f>
        <v>EBM MODULES</v>
      </c>
      <c r="G118" s="8">
        <f>'Components Data Source'!G118</f>
        <v>0</v>
      </c>
      <c r="H118" s="8">
        <f>'Components Data Source'!H118</f>
        <v>0</v>
      </c>
      <c r="I118" s="8">
        <f>'Components Data Source'!I118</f>
        <v>0</v>
      </c>
      <c r="J118" s="8">
        <f>'Components Data Source'!J118</f>
        <v>1</v>
      </c>
      <c r="K118" s="8">
        <f>'Components Data Source'!K118</f>
        <v>1</v>
      </c>
      <c r="L118" s="8">
        <f>'Components Data Source'!L118</f>
        <v>0</v>
      </c>
      <c r="M118" s="8" t="s">
        <v>1727</v>
      </c>
      <c r="N118" s="17" t="str">
        <f>HYPERLINK('Components Data Source'!M118)</f>
        <v>https://www.flowcode.co.uk/wiki/index.php?title=Component:_ID_b42786ab_fd9a_47cf_b3c4_560ecdc613fd</v>
      </c>
      <c r="O118" s="8" t="s">
        <v>1721</v>
      </c>
      <c r="P118" s="8"/>
      <c r="Q118" s="8" t="str">
        <f t="shared" si="4"/>
        <v/>
      </c>
      <c r="R118" s="1" t="s">
        <v>1721</v>
      </c>
      <c r="S118" s="1" t="s">
        <v>1721</v>
      </c>
      <c r="T118" s="1" t="s">
        <v>1727</v>
      </c>
      <c r="U118" s="1" t="s">
        <v>1721</v>
      </c>
      <c r="V118" s="1" t="s">
        <v>1731</v>
      </c>
      <c r="W118" s="1" t="s">
        <v>1731</v>
      </c>
      <c r="X118" s="1" t="s">
        <v>1721</v>
      </c>
      <c r="Y118" s="8" t="s">
        <v>1721</v>
      </c>
      <c r="Z118" s="18">
        <f t="shared" si="3"/>
        <v>1</v>
      </c>
      <c r="AA118" s="8"/>
      <c r="AB118" s="6"/>
      <c r="AC118" s="7"/>
      <c r="AD118" s="8" t="s">
        <v>1721</v>
      </c>
      <c r="AE118" s="8" t="s">
        <v>1721</v>
      </c>
      <c r="AF118" s="8" t="s">
        <v>1727</v>
      </c>
      <c r="AG118" s="8" t="s">
        <v>1721</v>
      </c>
      <c r="AH118" s="47"/>
      <c r="AI118" s="47">
        <f>VLOOKUP(B118,'Components Usage'!A$2:C$603,3,FALSE)</f>
        <v>5</v>
      </c>
      <c r="AJ118" s="28" t="s">
        <v>2401</v>
      </c>
    </row>
    <row r="119" spans="1:36" hidden="1" x14ac:dyDescent="0.25">
      <c r="A119" s="16" t="str">
        <f>'Components Data Source'!A119</f>
        <v>PIR(EBM012)</v>
      </c>
      <c r="B119" s="8" t="str">
        <f>'Components Data Source'!B119</f>
        <v>BEB1F845-8F53-4214-9B14-11B7C2BF3BA8</v>
      </c>
      <c r="C119" s="41" t="str">
        <f>'Components Data Source'!C119</f>
        <v>EBM012_PIR.fcpx</v>
      </c>
      <c r="D119" s="8" t="str">
        <f>'Components Data Source'!D119</f>
        <v>Components\IO_Source\Sensors\EBM012v1.fcfx</v>
      </c>
      <c r="E119" s="8" t="str">
        <f>'Components Data Source'!E119</f>
        <v>SENSORS</v>
      </c>
      <c r="F119" s="8" t="str">
        <f>'Components Data Source'!F119</f>
        <v>EBM MODULES</v>
      </c>
      <c r="G119" s="8">
        <f>'Components Data Source'!G119</f>
        <v>0</v>
      </c>
      <c r="H119" s="8">
        <f>'Components Data Source'!H119</f>
        <v>0</v>
      </c>
      <c r="I119" s="8">
        <f>'Components Data Source'!I119</f>
        <v>0</v>
      </c>
      <c r="J119" s="8">
        <f>'Components Data Source'!J119</f>
        <v>1</v>
      </c>
      <c r="K119" s="8">
        <f>'Components Data Source'!K119</f>
        <v>1</v>
      </c>
      <c r="L119" s="8">
        <f>'Components Data Source'!L119</f>
        <v>0</v>
      </c>
      <c r="M119" s="8" t="s">
        <v>1727</v>
      </c>
      <c r="N119" s="17" t="str">
        <f>HYPERLINK('Components Data Source'!M119)</f>
        <v>https://www.flowcode.co.uk/wiki/index.php?title=Component:_ID_beb1f845_8f53_4214_9b14_11b7c2bf3ba8</v>
      </c>
      <c r="O119" s="8" t="s">
        <v>1721</v>
      </c>
      <c r="P119" s="8"/>
      <c r="Q119" s="8" t="str">
        <f t="shared" si="4"/>
        <v/>
      </c>
      <c r="R119" s="1" t="s">
        <v>1721</v>
      </c>
      <c r="S119" s="1" t="s">
        <v>1721</v>
      </c>
      <c r="T119" s="1" t="s">
        <v>1727</v>
      </c>
      <c r="U119" s="1" t="s">
        <v>1721</v>
      </c>
      <c r="V119" s="1" t="s">
        <v>1731</v>
      </c>
      <c r="W119" s="1" t="s">
        <v>1731</v>
      </c>
      <c r="X119" s="1" t="s">
        <v>1721</v>
      </c>
      <c r="Y119" s="8" t="s">
        <v>1721</v>
      </c>
      <c r="Z119" s="18">
        <f t="shared" si="3"/>
        <v>1</v>
      </c>
      <c r="AA119" s="8"/>
      <c r="AB119" s="6" t="s">
        <v>2433</v>
      </c>
      <c r="AC119" s="7"/>
      <c r="AD119" s="8" t="s">
        <v>1721</v>
      </c>
      <c r="AE119" s="8" t="s">
        <v>1721</v>
      </c>
      <c r="AF119" s="8" t="s">
        <v>1727</v>
      </c>
      <c r="AG119" s="8" t="s">
        <v>1721</v>
      </c>
      <c r="AH119" s="47"/>
      <c r="AI119" s="47">
        <f>VLOOKUP(B119,'Components Usage'!A$2:C$603,3,FALSE)</f>
        <v>2</v>
      </c>
      <c r="AJ119" s="28" t="s">
        <v>2401</v>
      </c>
    </row>
    <row r="120" spans="1:36" hidden="1" x14ac:dyDescent="0.25">
      <c r="A120" s="16" t="str">
        <f>'Components Data Source'!A120</f>
        <v>Touch Pads(EBM013)</v>
      </c>
      <c r="B120" s="8" t="str">
        <f>'Components Data Source'!B120</f>
        <v>8A853D8E-967B-4317-85D2-070167D41396</v>
      </c>
      <c r="C120" s="41" t="str">
        <f>'Components Data Source'!C120</f>
        <v>EBM013_TouchPads.fcpx</v>
      </c>
      <c r="D120" s="8" t="str">
        <f>'Components Data Source'!D120</f>
        <v>Components\IO_Source\Sensors\EBM013v5.fcfx</v>
      </c>
      <c r="E120" s="8" t="str">
        <f>'Components Data Source'!E120</f>
        <v>SENSORS</v>
      </c>
      <c r="F120" s="8" t="str">
        <f>'Components Data Source'!F120</f>
        <v>EBM MODULES</v>
      </c>
      <c r="G120" s="8">
        <f>'Components Data Source'!G120</f>
        <v>0</v>
      </c>
      <c r="H120" s="8">
        <f>'Components Data Source'!H120</f>
        <v>0</v>
      </c>
      <c r="I120" s="8">
        <f>'Components Data Source'!I120</f>
        <v>0</v>
      </c>
      <c r="J120" s="8">
        <f>'Components Data Source'!J120</f>
        <v>1</v>
      </c>
      <c r="K120" s="8">
        <f>'Components Data Source'!K120</f>
        <v>1</v>
      </c>
      <c r="L120" s="8">
        <f>'Components Data Source'!L120</f>
        <v>0</v>
      </c>
      <c r="M120" s="8" t="s">
        <v>1727</v>
      </c>
      <c r="N120" s="17" t="str">
        <f>HYPERLINK('Components Data Source'!M120)</f>
        <v>https://www.flowcode.co.uk/wiki/index.php?title=Component:_ID_8a853d8e_967b_4317_85d2_070167d41396</v>
      </c>
      <c r="O120" s="8" t="s">
        <v>1721</v>
      </c>
      <c r="P120" s="8"/>
      <c r="Q120" s="8" t="str">
        <f t="shared" si="4"/>
        <v/>
      </c>
      <c r="R120" s="1" t="s">
        <v>1721</v>
      </c>
      <c r="S120" s="1" t="s">
        <v>1721</v>
      </c>
      <c r="T120" s="1" t="s">
        <v>1727</v>
      </c>
      <c r="U120" s="1" t="s">
        <v>1727</v>
      </c>
      <c r="V120" s="1" t="s">
        <v>1731</v>
      </c>
      <c r="W120" s="1" t="s">
        <v>1731</v>
      </c>
      <c r="X120" s="1" t="s">
        <v>1721</v>
      </c>
      <c r="Y120" s="8" t="s">
        <v>1721</v>
      </c>
      <c r="Z120" s="18">
        <f t="shared" si="3"/>
        <v>1</v>
      </c>
      <c r="AA120" s="8"/>
      <c r="AB120" s="6" t="s">
        <v>2433</v>
      </c>
      <c r="AC120" s="7"/>
      <c r="AD120" s="8" t="s">
        <v>1721</v>
      </c>
      <c r="AE120" s="8" t="s">
        <v>1721</v>
      </c>
      <c r="AF120" s="8" t="s">
        <v>2401</v>
      </c>
      <c r="AG120" s="8" t="s">
        <v>1721</v>
      </c>
      <c r="AH120" s="47"/>
      <c r="AI120" s="47">
        <f>VLOOKUP(B120,'Components Usage'!A$2:C$603,3,FALSE)</f>
        <v>3</v>
      </c>
      <c r="AJ120" s="28" t="s">
        <v>2401</v>
      </c>
    </row>
    <row r="121" spans="1:36" hidden="1" x14ac:dyDescent="0.25">
      <c r="A121" s="16" t="str">
        <f>'Components Data Source'!A121</f>
        <v>Touch Slider(EBM014)</v>
      </c>
      <c r="B121" s="8" t="str">
        <f>'Components Data Source'!B121</f>
        <v>EF0C13AE-8A23-459C-947A-F0D2AD5F8BF1</v>
      </c>
      <c r="C121" s="41" t="str">
        <f>'Components Data Source'!C121</f>
        <v>EBM014_TouchSlider.fcpx</v>
      </c>
      <c r="D121" s="8" t="str">
        <f>'Components Data Source'!D121</f>
        <v>Components\IO_Source\Sensors\EBM014v2.fcfx</v>
      </c>
      <c r="E121" s="8" t="str">
        <f>'Components Data Source'!E121</f>
        <v>SENSORS</v>
      </c>
      <c r="F121" s="8" t="str">
        <f>'Components Data Source'!F121</f>
        <v>EBM MODULES</v>
      </c>
      <c r="G121" s="8">
        <f>'Components Data Source'!G121</f>
        <v>0</v>
      </c>
      <c r="H121" s="8">
        <f>'Components Data Source'!H121</f>
        <v>0</v>
      </c>
      <c r="I121" s="8">
        <f>'Components Data Source'!I121</f>
        <v>0</v>
      </c>
      <c r="J121" s="8">
        <f>'Components Data Source'!J121</f>
        <v>1</v>
      </c>
      <c r="K121" s="8">
        <f>'Components Data Source'!K121</f>
        <v>1</v>
      </c>
      <c r="L121" s="8">
        <f>'Components Data Source'!L121</f>
        <v>0</v>
      </c>
      <c r="M121" s="8" t="s">
        <v>1727</v>
      </c>
      <c r="N121" s="17" t="str">
        <f>HYPERLINK('Components Data Source'!M121)</f>
        <v>https://www.flowcode.co.uk/wiki/index.php?title=Component:_ID_ef0c13ae_8a23_459c_947a_f0d2ad5f8bf1</v>
      </c>
      <c r="O121" s="8" t="s">
        <v>1721</v>
      </c>
      <c r="P121" s="8"/>
      <c r="Q121" s="8" t="str">
        <f t="shared" si="4"/>
        <v/>
      </c>
      <c r="R121" s="1" t="s">
        <v>1721</v>
      </c>
      <c r="S121" s="1" t="s">
        <v>1721</v>
      </c>
      <c r="T121" s="1" t="s">
        <v>1727</v>
      </c>
      <c r="U121" s="1" t="s">
        <v>1727</v>
      </c>
      <c r="V121" s="1" t="s">
        <v>1731</v>
      </c>
      <c r="W121" s="1" t="s">
        <v>1731</v>
      </c>
      <c r="X121" s="1" t="s">
        <v>1721</v>
      </c>
      <c r="Y121" s="8" t="s">
        <v>1721</v>
      </c>
      <c r="Z121" s="18">
        <f t="shared" si="3"/>
        <v>1</v>
      </c>
      <c r="AA121" s="8"/>
      <c r="AB121" s="6" t="s">
        <v>2434</v>
      </c>
      <c r="AC121" s="7"/>
      <c r="AD121" s="8" t="s">
        <v>1721</v>
      </c>
      <c r="AE121" s="8" t="s">
        <v>1721</v>
      </c>
      <c r="AF121" s="8" t="s">
        <v>2401</v>
      </c>
      <c r="AG121" s="8" t="s">
        <v>1721</v>
      </c>
      <c r="AH121" s="47"/>
      <c r="AI121" s="47">
        <f>VLOOKUP(B121,'Components Usage'!A$2:C$603,3,FALSE)</f>
        <v>0</v>
      </c>
      <c r="AJ121" s="28" t="s">
        <v>2401</v>
      </c>
    </row>
    <row r="122" spans="1:36" hidden="1" x14ac:dyDescent="0.25">
      <c r="A122" s="16" t="str">
        <f>'Components Data Source'!A122</f>
        <v>Accel / Mag 6-Axis(EBM015)</v>
      </c>
      <c r="B122" s="8" t="str">
        <f>'Components Data Source'!B122</f>
        <v>BDB9FCF6-3FB3-4051-8078-455B44CB249C</v>
      </c>
      <c r="C122" s="41" t="str">
        <f>'Components Data Source'!C122</f>
        <v>EBM015_Magnetometer.fcpx</v>
      </c>
      <c r="D122" s="8" t="str">
        <f>'Components Data Source'!D122</f>
        <v>Components\IO_Source\Sensors\EBM015v1 Magnetometer.fcfx</v>
      </c>
      <c r="E122" s="8" t="str">
        <f>'Components Data Source'!E122</f>
        <v>SENSORS</v>
      </c>
      <c r="F122" s="8" t="str">
        <f>'Components Data Source'!F122</f>
        <v>EBM MODULES</v>
      </c>
      <c r="G122" s="8">
        <f>'Components Data Source'!G122</f>
        <v>0</v>
      </c>
      <c r="H122" s="8">
        <f>'Components Data Source'!H122</f>
        <v>0</v>
      </c>
      <c r="I122" s="8" t="str">
        <f>'Components Data Source'!I122</f>
        <v xml:space="preserve">I2C </v>
      </c>
      <c r="J122" s="8">
        <f>'Components Data Source'!J122</f>
        <v>1</v>
      </c>
      <c r="K122" s="8">
        <f>'Components Data Source'!K122</f>
        <v>1</v>
      </c>
      <c r="L122" s="8">
        <f>'Components Data Source'!L122</f>
        <v>0</v>
      </c>
      <c r="M122" s="8" t="s">
        <v>1727</v>
      </c>
      <c r="N122" s="17" t="str">
        <f>HYPERLINK('Components Data Source'!M122)</f>
        <v>https://www.flowcode.co.uk/wiki/index.php?title=Component:_ID_bdb9fcf6_3fb3_4051_8078_455b44cb249c</v>
      </c>
      <c r="O122" s="8" t="s">
        <v>1721</v>
      </c>
      <c r="P122" s="8" t="s">
        <v>2774</v>
      </c>
      <c r="Q122" s="8" t="str">
        <f t="shared" si="4"/>
        <v/>
      </c>
      <c r="R122" s="1" t="s">
        <v>1721</v>
      </c>
      <c r="S122" s="1" t="s">
        <v>1721</v>
      </c>
      <c r="T122" s="1" t="s">
        <v>1721</v>
      </c>
      <c r="U122" s="1" t="s">
        <v>1721</v>
      </c>
      <c r="V122" s="1" t="s">
        <v>1731</v>
      </c>
      <c r="W122" s="1" t="s">
        <v>1175</v>
      </c>
      <c r="X122" s="1" t="s">
        <v>1721</v>
      </c>
      <c r="Y122" s="8" t="s">
        <v>2401</v>
      </c>
      <c r="Z122" s="18">
        <f t="shared" si="3"/>
        <v>3</v>
      </c>
      <c r="AA122" s="8"/>
      <c r="AB122" s="6" t="s">
        <v>2435</v>
      </c>
      <c r="AC122" s="7"/>
      <c r="AD122" s="8" t="s">
        <v>1721</v>
      </c>
      <c r="AE122" s="8" t="s">
        <v>1721</v>
      </c>
      <c r="AF122" s="8" t="s">
        <v>1727</v>
      </c>
      <c r="AG122" s="8" t="s">
        <v>1721</v>
      </c>
      <c r="AH122" s="47"/>
      <c r="AI122" s="47">
        <f>VLOOKUP(B122,'Components Usage'!A$2:C$603,3,FALSE)</f>
        <v>0</v>
      </c>
      <c r="AJ122" s="28" t="s">
        <v>2401</v>
      </c>
    </row>
    <row r="123" spans="1:36" hidden="1" x14ac:dyDescent="0.25">
      <c r="A123" s="16" t="str">
        <f>'Components Data Source'!A123</f>
        <v>Humidity(EBM016)</v>
      </c>
      <c r="B123" s="8" t="str">
        <f>'Components Data Source'!B123</f>
        <v>5CB8F1AC-BAB2-4740-9A9D-01602A5FB196</v>
      </c>
      <c r="C123" s="41" t="str">
        <f>'Components Data Source'!C123</f>
        <v>EBM016_Humidity.fcpx</v>
      </c>
      <c r="D123" s="8" t="str">
        <f>'Components Data Source'!D123</f>
        <v>Components\IO_Source\Sensors\EBM016v1.fcfx</v>
      </c>
      <c r="E123" s="8" t="str">
        <f>'Components Data Source'!E123</f>
        <v>SENSORS</v>
      </c>
      <c r="F123" s="8" t="str">
        <f>'Components Data Source'!F123</f>
        <v>EBM MODULES</v>
      </c>
      <c r="G123" s="8">
        <f>'Components Data Source'!G123</f>
        <v>0</v>
      </c>
      <c r="H123" s="8">
        <f>'Components Data Source'!H123</f>
        <v>0</v>
      </c>
      <c r="I123" s="8" t="str">
        <f>'Components Data Source'!I123</f>
        <v xml:space="preserve">I2C </v>
      </c>
      <c r="J123" s="8">
        <f>'Components Data Source'!J123</f>
        <v>1</v>
      </c>
      <c r="K123" s="8">
        <f>'Components Data Source'!K123</f>
        <v>1</v>
      </c>
      <c r="L123" s="8">
        <f>'Components Data Source'!L123</f>
        <v>1</v>
      </c>
      <c r="M123" s="8" t="s">
        <v>1727</v>
      </c>
      <c r="N123" s="17" t="str">
        <f>HYPERLINK('Components Data Source'!M123)</f>
        <v>https://www.flowcode.co.uk/wiki/index.php?title=Component:_ID_5cb8f1ac_bab2_4740_9a9d_01602a5fb196</v>
      </c>
      <c r="O123" s="8" t="s">
        <v>1721</v>
      </c>
      <c r="P123" s="8"/>
      <c r="Q123" s="8" t="str">
        <f t="shared" si="4"/>
        <v/>
      </c>
      <c r="R123" s="8" t="s">
        <v>1721</v>
      </c>
      <c r="S123" s="8" t="s">
        <v>1721</v>
      </c>
      <c r="T123" s="8" t="s">
        <v>1721</v>
      </c>
      <c r="U123" s="8" t="s">
        <v>1721</v>
      </c>
      <c r="V123" s="8" t="s">
        <v>1731</v>
      </c>
      <c r="W123" s="8" t="s">
        <v>1175</v>
      </c>
      <c r="X123" s="8" t="s">
        <v>1721</v>
      </c>
      <c r="Y123" s="8" t="s">
        <v>1721</v>
      </c>
      <c r="Z123" s="18">
        <f t="shared" si="3"/>
        <v>1</v>
      </c>
      <c r="AA123" s="8"/>
      <c r="AB123" s="9"/>
      <c r="AC123" s="7"/>
      <c r="AD123" s="8" t="s">
        <v>1721</v>
      </c>
      <c r="AE123" s="8" t="s">
        <v>1721</v>
      </c>
      <c r="AF123" s="8" t="s">
        <v>1727</v>
      </c>
      <c r="AG123" s="8" t="s">
        <v>1721</v>
      </c>
      <c r="AH123" s="47"/>
      <c r="AI123" s="47">
        <f>VLOOKUP(B123,'Components Usage'!A$2:C$603,3,FALSE)</f>
        <v>20</v>
      </c>
      <c r="AJ123" s="28" t="s">
        <v>2401</v>
      </c>
    </row>
    <row r="124" spans="1:36" hidden="1" x14ac:dyDescent="0.25">
      <c r="A124" s="16" t="str">
        <f>'Components Data Source'!A124</f>
        <v>Colour Sensor(EBM018)</v>
      </c>
      <c r="B124" s="8" t="str">
        <f>'Components Data Source'!B124</f>
        <v>749AFD05-CE22-42CB-B17E-3F424CBCA6B0</v>
      </c>
      <c r="C124" s="41" t="str">
        <f>'Components Data Source'!C124</f>
        <v>EBM018_ColourSensor.fcpx</v>
      </c>
      <c r="D124" s="8" t="str">
        <f>'Components Data Source'!D124</f>
        <v>Components\IO_Source\Sensors\EBM018v2.fcfx</v>
      </c>
      <c r="E124" s="8" t="str">
        <f>'Components Data Source'!E124</f>
        <v>SENSORS</v>
      </c>
      <c r="F124" s="8" t="str">
        <f>'Components Data Source'!F124</f>
        <v>EBM MODULES</v>
      </c>
      <c r="G124" s="8">
        <f>'Components Data Source'!G124</f>
        <v>0</v>
      </c>
      <c r="H124" s="8">
        <f>'Components Data Source'!H124</f>
        <v>0</v>
      </c>
      <c r="I124" s="8">
        <f>'Components Data Source'!I124</f>
        <v>0</v>
      </c>
      <c r="J124" s="8">
        <f>'Components Data Source'!J124</f>
        <v>1</v>
      </c>
      <c r="K124" s="8">
        <f>'Components Data Source'!K124</f>
        <v>1</v>
      </c>
      <c r="L124" s="8">
        <f>'Components Data Source'!L124</f>
        <v>0</v>
      </c>
      <c r="M124" s="8" t="s">
        <v>1727</v>
      </c>
      <c r="N124" s="17" t="str">
        <f>HYPERLINK('Components Data Source'!M124)</f>
        <v>https://www.flowcode.co.uk/wiki/index.php?title=Component:_ID_749afd05_ce22_42cb_b17e_3f424cbca6b0</v>
      </c>
      <c r="O124" s="8" t="s">
        <v>1721</v>
      </c>
      <c r="P124" s="8"/>
      <c r="Q124" s="8" t="str">
        <f t="shared" si="4"/>
        <v/>
      </c>
      <c r="R124" s="1" t="s">
        <v>1727</v>
      </c>
      <c r="S124" s="1"/>
      <c r="T124" s="1"/>
      <c r="U124" s="1"/>
      <c r="V124" s="1" t="s">
        <v>1730</v>
      </c>
      <c r="W124" s="1" t="s">
        <v>1730</v>
      </c>
      <c r="X124" s="1"/>
      <c r="Y124" s="8"/>
      <c r="Z124" s="18">
        <f t="shared" si="3"/>
        <v>2</v>
      </c>
      <c r="AA124" s="8"/>
      <c r="AB124" s="9" t="s">
        <v>2436</v>
      </c>
      <c r="AC124" s="7"/>
      <c r="AD124" s="8" t="s">
        <v>1721</v>
      </c>
      <c r="AE124" s="8" t="s">
        <v>1721</v>
      </c>
      <c r="AF124" s="8" t="s">
        <v>1727</v>
      </c>
      <c r="AG124" s="8" t="s">
        <v>1721</v>
      </c>
      <c r="AH124" s="47"/>
      <c r="AI124" s="47">
        <f>VLOOKUP(B124,'Components Usage'!A$2:C$603,3,FALSE)</f>
        <v>2</v>
      </c>
      <c r="AJ124" s="28" t="s">
        <v>2401</v>
      </c>
    </row>
    <row r="125" spans="1:36" hidden="1" x14ac:dyDescent="0.25">
      <c r="A125" s="16" t="str">
        <f>'Components Data Source'!A125</f>
        <v>Ultrasonic(EBM019)</v>
      </c>
      <c r="B125" s="8" t="str">
        <f>'Components Data Source'!B125</f>
        <v>FEB064A2-E087-45E1-A7F9-C9FA0EDFDACE</v>
      </c>
      <c r="C125" s="41" t="str">
        <f>'Components Data Source'!C125</f>
        <v>EBM019_Ultrasonic.fcpx</v>
      </c>
      <c r="D125" s="8" t="str">
        <f>'Components Data Source'!D125</f>
        <v>Components\IO_Source\Sensors\EBM019v1.fcfx</v>
      </c>
      <c r="E125" s="8" t="str">
        <f>'Components Data Source'!E125</f>
        <v>SENSORS</v>
      </c>
      <c r="F125" s="8" t="str">
        <f>'Components Data Source'!F125</f>
        <v>EBM MODULES</v>
      </c>
      <c r="G125" s="8">
        <f>'Components Data Source'!G125</f>
        <v>0</v>
      </c>
      <c r="H125" s="8">
        <f>'Components Data Source'!H125</f>
        <v>0</v>
      </c>
      <c r="I125" s="8">
        <f>'Components Data Source'!I125</f>
        <v>0</v>
      </c>
      <c r="J125" s="8">
        <f>'Components Data Source'!J125</f>
        <v>1</v>
      </c>
      <c r="K125" s="8">
        <f>'Components Data Source'!K125</f>
        <v>1</v>
      </c>
      <c r="L125" s="8">
        <f>'Components Data Source'!L125</f>
        <v>0</v>
      </c>
      <c r="M125" s="8" t="s">
        <v>1727</v>
      </c>
      <c r="N125" s="17" t="str">
        <f>HYPERLINK('Components Data Source'!M125)</f>
        <v>https://www.flowcode.co.uk/wiki/index.php?title=Component:_ID_feb064a2_e087_45e1_a7f9_c9fa0edfdace</v>
      </c>
      <c r="O125" s="8" t="s">
        <v>1721</v>
      </c>
      <c r="P125" s="8"/>
      <c r="Q125" s="8" t="str">
        <f t="shared" si="4"/>
        <v/>
      </c>
      <c r="R125" s="1" t="s">
        <v>1727</v>
      </c>
      <c r="S125" s="1"/>
      <c r="T125" s="1"/>
      <c r="U125" s="1"/>
      <c r="V125" s="1" t="s">
        <v>1730</v>
      </c>
      <c r="W125" s="1" t="s">
        <v>1730</v>
      </c>
      <c r="X125" s="1"/>
      <c r="Y125" s="8"/>
      <c r="Z125" s="18">
        <f t="shared" si="3"/>
        <v>2</v>
      </c>
      <c r="AA125" s="8"/>
      <c r="AB125" s="6" t="s">
        <v>2480</v>
      </c>
      <c r="AC125" s="7"/>
      <c r="AD125" s="8" t="s">
        <v>1721</v>
      </c>
      <c r="AE125" s="8" t="s">
        <v>1721</v>
      </c>
      <c r="AF125" s="8" t="s">
        <v>2401</v>
      </c>
      <c r="AG125" s="8" t="s">
        <v>1721</v>
      </c>
      <c r="AH125" s="47"/>
      <c r="AI125" s="47">
        <f>VLOOKUP(B125,'Components Usage'!A$2:C$603,3,FALSE)</f>
        <v>3</v>
      </c>
      <c r="AJ125" s="28" t="s">
        <v>2401</v>
      </c>
    </row>
    <row r="126" spans="1:36" hidden="1" x14ac:dyDescent="0.25">
      <c r="A126" s="16" t="str">
        <f>'Components Data Source'!A126</f>
        <v>Infrared(EBM020)</v>
      </c>
      <c r="B126" s="8" t="str">
        <f>'Components Data Source'!B126</f>
        <v>A6989EC5-8D9B-4C16-B06F-B55394465946</v>
      </c>
      <c r="C126" s="41" t="str">
        <f>'Components Data Source'!C126</f>
        <v>EBM020_Infrared.fcpx</v>
      </c>
      <c r="D126" s="8" t="str">
        <f>'Components Data Source'!D126</f>
        <v>Components\IO_Source\Sensors\EBM020v1.fcfx</v>
      </c>
      <c r="E126" s="8" t="str">
        <f>'Components Data Source'!E126</f>
        <v>SENSORS</v>
      </c>
      <c r="F126" s="8" t="str">
        <f>'Components Data Source'!F126</f>
        <v>EBM MODULES</v>
      </c>
      <c r="G126" s="8">
        <f>'Components Data Source'!G126</f>
        <v>0</v>
      </c>
      <c r="H126" s="8">
        <f>'Components Data Source'!H126</f>
        <v>0</v>
      </c>
      <c r="I126" s="8">
        <f>'Components Data Source'!I126</f>
        <v>0</v>
      </c>
      <c r="J126" s="8">
        <f>'Components Data Source'!J126</f>
        <v>1</v>
      </c>
      <c r="K126" s="8">
        <f>'Components Data Source'!K126</f>
        <v>1</v>
      </c>
      <c r="L126" s="8">
        <f>'Components Data Source'!L126</f>
        <v>0</v>
      </c>
      <c r="M126" s="8" t="s">
        <v>1727</v>
      </c>
      <c r="N126" s="17" t="str">
        <f>HYPERLINK('Components Data Source'!M126)</f>
        <v>https://www.flowcode.co.uk/wiki/index.php?title=Component:_ID_a6989ec5_8d9b_4c16_b06f_b55394465946</v>
      </c>
      <c r="O126" s="8" t="s">
        <v>1721</v>
      </c>
      <c r="P126" s="8"/>
      <c r="Q126" s="8" t="str">
        <f t="shared" si="4"/>
        <v/>
      </c>
      <c r="R126" s="1" t="s">
        <v>1727</v>
      </c>
      <c r="S126" s="1"/>
      <c r="T126" s="1"/>
      <c r="U126" s="1"/>
      <c r="V126" s="1" t="s">
        <v>1730</v>
      </c>
      <c r="W126" s="1" t="s">
        <v>1730</v>
      </c>
      <c r="X126" s="1"/>
      <c r="Y126" s="8"/>
      <c r="Z126" s="18">
        <f t="shared" si="3"/>
        <v>2</v>
      </c>
      <c r="AA126" s="8"/>
      <c r="AB126" s="6" t="s">
        <v>2480</v>
      </c>
      <c r="AC126" s="7"/>
      <c r="AD126" s="8" t="s">
        <v>1721</v>
      </c>
      <c r="AE126" s="8" t="s">
        <v>1721</v>
      </c>
      <c r="AF126" s="8" t="s">
        <v>2401</v>
      </c>
      <c r="AG126" s="8" t="s">
        <v>1721</v>
      </c>
      <c r="AH126" s="47"/>
      <c r="AI126" s="47">
        <f>VLOOKUP(B126,'Components Usage'!A$2:C$603,3,FALSE)</f>
        <v>1</v>
      </c>
      <c r="AJ126" s="28" t="s">
        <v>2401</v>
      </c>
    </row>
    <row r="127" spans="1:36" hidden="1" x14ac:dyDescent="0.25">
      <c r="A127" s="16" t="str">
        <f>'Components Data Source'!A127</f>
        <v>RMT (Internal)</v>
      </c>
      <c r="B127" s="8" t="str">
        <f>'Components Data Source'!B127</f>
        <v>F88F79AE-0240-418C-820A-E2BCDB406007</v>
      </c>
      <c r="C127" s="41" t="str">
        <f>'Components Data Source'!C127</f>
        <v>ESP32_RMT.fcpx</v>
      </c>
      <c r="D127" s="8" t="str">
        <f>'Components Data Source'!D127</f>
        <v>Components\CAL_Source\RMT.fcfx</v>
      </c>
      <c r="E127" s="8" t="str">
        <f>'Components Data Source'!E127</f>
        <v>BASICIO</v>
      </c>
      <c r="F127" s="8" t="str">
        <f>'Components Data Source'!F127</f>
        <v>MISC</v>
      </c>
      <c r="G127" s="8">
        <f>'Components Data Source'!G127</f>
        <v>0</v>
      </c>
      <c r="H127" s="8">
        <f>'Components Data Source'!H127</f>
        <v>0</v>
      </c>
      <c r="I127" s="8" t="str">
        <f>'Components Data Source'!I127</f>
        <v xml:space="preserve">RMT </v>
      </c>
      <c r="J127" s="8">
        <f>'Components Data Source'!J127</f>
        <v>1</v>
      </c>
      <c r="K127" s="8">
        <f>'Components Data Source'!K127</f>
        <v>1</v>
      </c>
      <c r="L127" s="8">
        <f>'Components Data Source'!L127</f>
        <v>0</v>
      </c>
      <c r="M127" s="8" t="s">
        <v>1727</v>
      </c>
      <c r="N127" s="17" t="str">
        <f>HYPERLINK('Components Data Source'!M127)</f>
        <v>https://www.flowcode.co.uk/wiki/index.php?title=Component:_ID_f88f79ae_0240_418c_820a_e2bcdb406007</v>
      </c>
      <c r="O127" s="8" t="s">
        <v>1721</v>
      </c>
      <c r="P127" s="8"/>
      <c r="Q127" s="8" t="str">
        <f t="shared" si="4"/>
        <v/>
      </c>
      <c r="R127" s="8" t="s">
        <v>1721</v>
      </c>
      <c r="S127" s="8" t="s">
        <v>1721</v>
      </c>
      <c r="T127" s="8" t="s">
        <v>1727</v>
      </c>
      <c r="U127" s="8" t="s">
        <v>1727</v>
      </c>
      <c r="V127" s="8" t="s">
        <v>1731</v>
      </c>
      <c r="W127" s="8" t="s">
        <v>1731</v>
      </c>
      <c r="X127" s="8" t="s">
        <v>1721</v>
      </c>
      <c r="Y127" s="8" t="s">
        <v>1721</v>
      </c>
      <c r="Z127" s="18">
        <f t="shared" si="3"/>
        <v>1</v>
      </c>
      <c r="AA127" s="8"/>
      <c r="AB127" s="7"/>
      <c r="AC127" s="7"/>
      <c r="AD127" s="8" t="s">
        <v>1727</v>
      </c>
      <c r="AE127" s="8"/>
      <c r="AF127" s="8"/>
      <c r="AG127" s="8" t="s">
        <v>1727</v>
      </c>
      <c r="AH127" s="47"/>
      <c r="AI127" s="47">
        <f>VLOOKUP(B127,'Components Usage'!A$2:C$603,3,FALSE)</f>
        <v>0</v>
      </c>
      <c r="AJ127" s="28"/>
    </row>
    <row r="128" spans="1:36" x14ac:dyDescent="0.25">
      <c r="A128" s="10" t="s">
        <v>2437</v>
      </c>
      <c r="B128" s="8" t="str">
        <f>'Components Data Source'!B128</f>
        <v>C3E5EB13-E03D-4CA6-BE4D-1C63AD107A35</v>
      </c>
      <c r="C128" s="41" t="str">
        <f>'Components Data Source'!C128</f>
        <v>ElectricalMachine.fcpx</v>
      </c>
      <c r="D128" s="8" t="str">
        <f>'Components Data Source'!D128</f>
        <v>Components\IO_Source\EM_Functions.fcsx</v>
      </c>
      <c r="E128" s="8" t="str">
        <f>'Components Data Source'!E128</f>
        <v>FREE</v>
      </c>
      <c r="F128" s="8" t="str">
        <f>'Components Data Source'!F128</f>
        <v>ALLCODE</v>
      </c>
      <c r="G128" s="8">
        <f>'Components Data Source'!G128</f>
        <v>0</v>
      </c>
      <c r="H128" s="8">
        <f>'Components Data Source'!H128</f>
        <v>0</v>
      </c>
      <c r="I128" s="8">
        <f>'Components Data Source'!I128</f>
        <v>0</v>
      </c>
      <c r="J128" s="8">
        <f>'Components Data Source'!J128</f>
        <v>1</v>
      </c>
      <c r="K128" s="8">
        <f>'Components Data Source'!K128</f>
        <v>0</v>
      </c>
      <c r="L128" s="8">
        <f>'Components Data Source'!L128</f>
        <v>1</v>
      </c>
      <c r="M128" s="8" t="s">
        <v>1727</v>
      </c>
      <c r="N128" s="17" t="str">
        <f>HYPERLINK('Components Data Source'!M128)</f>
        <v>https://www.flowcode.co.uk/wiki/index.php?title=Component:_ID_c3e5eb13_e03d_4ca6_be4d_1c63ad107a35</v>
      </c>
      <c r="O128" s="8" t="s">
        <v>1721</v>
      </c>
      <c r="P128" s="8" t="s">
        <v>2773</v>
      </c>
      <c r="Q128" s="8">
        <f t="shared" si="4"/>
        <v>1</v>
      </c>
      <c r="R128" s="8" t="s">
        <v>1727</v>
      </c>
      <c r="S128" s="8"/>
      <c r="T128" s="8"/>
      <c r="U128" s="8"/>
      <c r="V128" s="8" t="s">
        <v>1730</v>
      </c>
      <c r="W128" s="8" t="s">
        <v>1730</v>
      </c>
      <c r="X128" s="8"/>
      <c r="Y128" s="8"/>
      <c r="Z128" s="18">
        <f t="shared" si="3"/>
        <v>2</v>
      </c>
      <c r="AA128" s="8"/>
      <c r="AB128" s="7"/>
      <c r="AC128" s="7"/>
      <c r="AD128" s="8" t="s">
        <v>2401</v>
      </c>
      <c r="AE128" s="8" t="s">
        <v>2401</v>
      </c>
      <c r="AF128" s="8" t="s">
        <v>2401</v>
      </c>
      <c r="AG128" s="8" t="s">
        <v>1727</v>
      </c>
      <c r="AH128" s="47"/>
      <c r="AI128" s="47">
        <f>VLOOKUP(B128,'Components Usage'!A$2:C$603,3,FALSE)</f>
        <v>3</v>
      </c>
      <c r="AJ128" s="28" t="s">
        <v>2401</v>
      </c>
    </row>
    <row r="129" spans="1:36" hidden="1" x14ac:dyDescent="0.25">
      <c r="A129" s="16" t="str">
        <f>'Components Data Source'!A129</f>
        <v>Embed File</v>
      </c>
      <c r="B129" s="8" t="str">
        <f>'Components Data Source'!B129</f>
        <v>42F3F8EF-FF5B-44E6-9BE8-8C43D9AB5B08</v>
      </c>
      <c r="C129" s="41" t="str">
        <f>'Components Data Source'!C129</f>
        <v>EmbedFile.fcpx</v>
      </c>
      <c r="D129" s="8" t="str">
        <f>'Components Data Source'!D129</f>
        <v>Components\IO_Source\Storage\EmbedFile.fcfx</v>
      </c>
      <c r="E129" s="8" t="str">
        <f>'Components Data Source'!E129</f>
        <v>STORAGE</v>
      </c>
      <c r="F129" s="8" t="str">
        <f>'Components Data Source'!F129</f>
        <v>STORAGE</v>
      </c>
      <c r="G129" s="8" t="str">
        <f>'Components Data Source'!G129</f>
        <v xml:space="preserve">STORAGE </v>
      </c>
      <c r="H129" s="8">
        <f>'Components Data Source'!H129</f>
        <v>0</v>
      </c>
      <c r="I129" s="8">
        <f>'Components Data Source'!I129</f>
        <v>0</v>
      </c>
      <c r="J129" s="8">
        <f>'Components Data Source'!J129</f>
        <v>1</v>
      </c>
      <c r="K129" s="8">
        <f>'Components Data Source'!K129</f>
        <v>1</v>
      </c>
      <c r="L129" s="8">
        <f>'Components Data Source'!L129</f>
        <v>1</v>
      </c>
      <c r="M129" s="8" t="s">
        <v>1727</v>
      </c>
      <c r="N129" s="17" t="str">
        <f>HYPERLINK('Components Data Source'!M129)</f>
        <v>https://www.flowcode.co.uk/wiki/index.php?title=Component:_ID_42f3f8ef_ff5b_44e6_9be8_8c43d9ab5b08</v>
      </c>
      <c r="O129" s="8" t="s">
        <v>1721</v>
      </c>
      <c r="P129" s="8"/>
      <c r="Q129" s="8" t="str">
        <f t="shared" si="4"/>
        <v/>
      </c>
      <c r="R129" s="1" t="s">
        <v>1721</v>
      </c>
      <c r="S129" s="1" t="s">
        <v>1721</v>
      </c>
      <c r="T129" s="1" t="s">
        <v>1727</v>
      </c>
      <c r="U129" s="1" t="s">
        <v>1721</v>
      </c>
      <c r="V129" s="1" t="s">
        <v>1733</v>
      </c>
      <c r="W129" s="1" t="s">
        <v>1731</v>
      </c>
      <c r="X129" s="1" t="s">
        <v>1721</v>
      </c>
      <c r="Y129" s="8" t="s">
        <v>1721</v>
      </c>
      <c r="Z129" s="18">
        <f t="shared" si="3"/>
        <v>1</v>
      </c>
      <c r="AA129" s="8"/>
      <c r="AB129" s="7"/>
      <c r="AC129" s="7"/>
      <c r="AD129" s="8" t="s">
        <v>1721</v>
      </c>
      <c r="AE129" s="8" t="s">
        <v>1721</v>
      </c>
      <c r="AF129" s="8" t="s">
        <v>2401</v>
      </c>
      <c r="AG129" s="8" t="s">
        <v>1721</v>
      </c>
      <c r="AH129" s="47"/>
      <c r="AI129" s="47">
        <f>VLOOKUP(B129,'Components Usage'!A$2:C$603,3,FALSE)</f>
        <v>2</v>
      </c>
      <c r="AJ129" s="28" t="s">
        <v>2401</v>
      </c>
    </row>
    <row r="130" spans="1:36" x14ac:dyDescent="0.25">
      <c r="A130" s="16" t="str">
        <f>'Components Data Source'!A130</f>
        <v>EtherCAT Slave (EasyCAT)</v>
      </c>
      <c r="B130" s="8" t="str">
        <f>'Components Data Source'!B130</f>
        <v>947089AA-CA9F-4E6F-9F86-7D49A1AE6F86</v>
      </c>
      <c r="C130" s="41" t="str">
        <f>'Components Data Source'!C130</f>
        <v>EtherCAT.fcpx</v>
      </c>
      <c r="D130" s="8" t="str">
        <f>'Components Data Source'!D130</f>
        <v>Components\IO_Source\IoT\EasyCat.fcfx</v>
      </c>
      <c r="E130" s="8" t="str">
        <f>'Components Data Source'!E130</f>
        <v>FREE</v>
      </c>
      <c r="F130" s="8" t="str">
        <f>'Components Data Source'!F130</f>
        <v>COMMS: IOT/CLOUD</v>
      </c>
      <c r="G130" s="8">
        <f>'Components Data Source'!G130</f>
        <v>0</v>
      </c>
      <c r="H130" s="8">
        <f>'Components Data Source'!H130</f>
        <v>0</v>
      </c>
      <c r="I130" s="8" t="str">
        <f>'Components Data Source'!I130</f>
        <v xml:space="preserve">SPI </v>
      </c>
      <c r="J130" s="8">
        <f>'Components Data Source'!J130</f>
        <v>1</v>
      </c>
      <c r="K130" s="8">
        <f>'Components Data Source'!K130</f>
        <v>1</v>
      </c>
      <c r="L130" s="8">
        <f>'Components Data Source'!L130</f>
        <v>0</v>
      </c>
      <c r="M130" s="8" t="s">
        <v>1727</v>
      </c>
      <c r="N130" s="17" t="str">
        <f>HYPERLINK('Components Data Source'!M130)</f>
        <v>https://www.flowcode.co.uk/wiki/index.php?title=Component:_ID_947089aa_ca9f_4e6f_9f86_7d49a1ae6f86</v>
      </c>
      <c r="O130" s="8" t="s">
        <v>1721</v>
      </c>
      <c r="P130" s="8"/>
      <c r="Q130" s="8" t="str">
        <f t="shared" si="4"/>
        <v/>
      </c>
      <c r="R130" s="8" t="s">
        <v>1721</v>
      </c>
      <c r="S130" s="8" t="s">
        <v>1721</v>
      </c>
      <c r="T130" s="8" t="s">
        <v>1721</v>
      </c>
      <c r="U130" s="8" t="s">
        <v>1721</v>
      </c>
      <c r="V130" s="8" t="s">
        <v>1731</v>
      </c>
      <c r="W130" s="8" t="s">
        <v>1180</v>
      </c>
      <c r="X130" s="8" t="s">
        <v>1721</v>
      </c>
      <c r="Y130" s="8" t="s">
        <v>1721</v>
      </c>
      <c r="Z130" s="18">
        <f t="shared" ref="Z130:Z193" si="5">IF(AND(R130="Y",Y130="Y"),1,IF(R130="N",2,IF(R130="",4,IF(Y130="A",3,0))))</f>
        <v>1</v>
      </c>
      <c r="AA130" s="8"/>
      <c r="AB130" s="7"/>
      <c r="AC130" s="7"/>
      <c r="AD130" s="8" t="s">
        <v>1721</v>
      </c>
      <c r="AE130" s="8" t="s">
        <v>1727</v>
      </c>
      <c r="AF130" s="8" t="s">
        <v>2401</v>
      </c>
      <c r="AG130" s="8" t="s">
        <v>1727</v>
      </c>
      <c r="AH130" s="47"/>
      <c r="AI130" s="47">
        <f>VLOOKUP(B130,'Components Usage'!A$2:C$603,3,FALSE)</f>
        <v>0</v>
      </c>
      <c r="AJ130" s="28" t="s">
        <v>2401</v>
      </c>
    </row>
    <row r="131" spans="1:36" hidden="1" x14ac:dyDescent="0.25">
      <c r="A131" s="16" t="str">
        <f>'Components Data Source'!A131</f>
        <v>Event Log</v>
      </c>
      <c r="B131" s="8" t="str">
        <f>'Components Data Source'!B131</f>
        <v>3022653D-9F9F-4981-B558-9ED8D265C931</v>
      </c>
      <c r="C131" s="41" t="str">
        <f>'Components Data Source'!C131</f>
        <v>EventLog.fcpx</v>
      </c>
      <c r="D131" s="8" t="str">
        <f>'Components Data Source'!D131</f>
        <v>Components\IO_Source\SCADA\EventLog.fcfx</v>
      </c>
      <c r="E131" s="8" t="str">
        <f>'Components Data Source'!E131</f>
        <v>SCADA</v>
      </c>
      <c r="F131" s="8" t="str">
        <f>'Components Data Source'!F131</f>
        <v>RUNTIME TOOLS</v>
      </c>
      <c r="G131" s="8" t="str">
        <f>'Components Data Source'!G131</f>
        <v xml:space="preserve">STORAGE </v>
      </c>
      <c r="H131" s="8">
        <f>'Components Data Source'!H131</f>
        <v>0</v>
      </c>
      <c r="I131" s="8">
        <f>'Components Data Source'!I131</f>
        <v>0</v>
      </c>
      <c r="J131" s="8">
        <f>'Components Data Source'!J131</f>
        <v>1</v>
      </c>
      <c r="K131" s="8">
        <f>'Components Data Source'!K131</f>
        <v>1</v>
      </c>
      <c r="L131" s="8">
        <f>'Components Data Source'!L131</f>
        <v>1</v>
      </c>
      <c r="M131" s="8" t="s">
        <v>1727</v>
      </c>
      <c r="N131" s="17" t="str">
        <f>HYPERLINK('Components Data Source'!M131)</f>
        <v>https://www.flowcode.co.uk/wiki/index.php?title=Component:_ID_3022653d_9f9f_4981_b558_9ed8d265c931</v>
      </c>
      <c r="O131" s="8" t="s">
        <v>1721</v>
      </c>
      <c r="P131" s="8"/>
      <c r="Q131" s="8" t="str">
        <f t="shared" si="4"/>
        <v/>
      </c>
      <c r="R131" s="1" t="s">
        <v>1721</v>
      </c>
      <c r="S131" s="1" t="s">
        <v>1721</v>
      </c>
      <c r="T131" s="1" t="s">
        <v>1721</v>
      </c>
      <c r="U131" s="1" t="s">
        <v>1721</v>
      </c>
      <c r="V131" s="1" t="s">
        <v>1731</v>
      </c>
      <c r="W131" s="1" t="s">
        <v>1731</v>
      </c>
      <c r="X131" s="1" t="s">
        <v>1721</v>
      </c>
      <c r="Y131" s="8" t="s">
        <v>1721</v>
      </c>
      <c r="Z131" s="18">
        <f t="shared" si="5"/>
        <v>1</v>
      </c>
      <c r="AA131" s="8"/>
      <c r="AB131" s="7"/>
      <c r="AC131" s="7"/>
      <c r="AD131" s="8" t="s">
        <v>1721</v>
      </c>
      <c r="AE131" s="8" t="s">
        <v>1727</v>
      </c>
      <c r="AF131" s="8" t="s">
        <v>2401</v>
      </c>
      <c r="AG131" s="8" t="s">
        <v>1727</v>
      </c>
      <c r="AH131" s="47"/>
      <c r="AI131" s="47">
        <f>VLOOKUP(B131,'Components Usage'!A$2:C$603,3,FALSE)</f>
        <v>16</v>
      </c>
      <c r="AJ131" s="28" t="s">
        <v>2401</v>
      </c>
    </row>
    <row r="132" spans="1:36" hidden="1" x14ac:dyDescent="0.25">
      <c r="A132" s="16" t="str">
        <f>'Components Data Source'!A132</f>
        <v>Timed Event Trigger</v>
      </c>
      <c r="B132" s="8" t="str">
        <f>'Components Data Source'!B132</f>
        <v>F137A538-3EBF-42E7-A941-B8F628802070</v>
      </c>
      <c r="C132" s="41" t="str">
        <f>'Components Data Source'!C132</f>
        <v>EventTrigger.fcpx</v>
      </c>
      <c r="D132" s="8" t="str">
        <f>'Components Data Source'!D132</f>
        <v>Components\IO_Source\SCADA\EventTrigger.fcfx</v>
      </c>
      <c r="E132" s="8" t="str">
        <f>'Components Data Source'!E132</f>
        <v>SCADA</v>
      </c>
      <c r="F132" s="8" t="str">
        <f>'Components Data Source'!F132</f>
        <v>RUNTIME TOOLS</v>
      </c>
      <c r="G132" s="8" t="str">
        <f>'Components Data Source'!G132</f>
        <v xml:space="preserve">STORAGE </v>
      </c>
      <c r="H132" s="8">
        <f>'Components Data Source'!H132</f>
        <v>0</v>
      </c>
      <c r="I132" s="8">
        <f>'Components Data Source'!I132</f>
        <v>0</v>
      </c>
      <c r="J132" s="8">
        <f>'Components Data Source'!J132</f>
        <v>1</v>
      </c>
      <c r="K132" s="8">
        <f>'Components Data Source'!K132</f>
        <v>1</v>
      </c>
      <c r="L132" s="8">
        <f>'Components Data Source'!L132</f>
        <v>1</v>
      </c>
      <c r="M132" s="8" t="s">
        <v>1727</v>
      </c>
      <c r="N132" s="17" t="str">
        <f>HYPERLINK('Components Data Source'!M132)</f>
        <v>https://www.flowcode.co.uk/wiki/index.php?title=Component:_ID_f137a538_3ebf_42e7_a941_b8f628802070</v>
      </c>
      <c r="O132" s="8" t="s">
        <v>1721</v>
      </c>
      <c r="P132" s="8"/>
      <c r="Q132" s="8" t="str">
        <f t="shared" si="4"/>
        <v/>
      </c>
      <c r="R132" s="8" t="s">
        <v>1727</v>
      </c>
      <c r="S132" s="8"/>
      <c r="T132" s="8"/>
      <c r="U132" s="8"/>
      <c r="V132" s="8" t="s">
        <v>1730</v>
      </c>
      <c r="W132" s="8" t="s">
        <v>1730</v>
      </c>
      <c r="X132" s="8"/>
      <c r="Y132" s="8"/>
      <c r="Z132" s="18">
        <f t="shared" si="5"/>
        <v>2</v>
      </c>
      <c r="AA132" s="8"/>
      <c r="AB132" s="7" t="s">
        <v>2481</v>
      </c>
      <c r="AC132" s="7"/>
      <c r="AD132" s="8" t="s">
        <v>1721</v>
      </c>
      <c r="AE132" s="8" t="s">
        <v>1727</v>
      </c>
      <c r="AF132" s="8" t="s">
        <v>2401</v>
      </c>
      <c r="AG132" s="8" t="s">
        <v>1727</v>
      </c>
      <c r="AH132" s="47"/>
      <c r="AI132" s="47">
        <f>VLOOKUP(B132,'Components Usage'!A$2:C$603,3,FALSE)</f>
        <v>35</v>
      </c>
      <c r="AJ132" s="28" t="s">
        <v>2401</v>
      </c>
    </row>
    <row r="133" spans="1:36" hidden="1" x14ac:dyDescent="0.25">
      <c r="A133" s="16" t="str">
        <f>'Components Data Source'!A133</f>
        <v>File (SD/SDHC Card)</v>
      </c>
      <c r="B133" s="8" t="str">
        <f>'Components Data Source'!B133</f>
        <v>0B61BD39-05A3-46EE-A2A5-DA7BFFB583C5</v>
      </c>
      <c r="C133" s="41" t="str">
        <f>'Components Data Source'!C133</f>
        <v>FAT.fcpx</v>
      </c>
      <c r="D133" s="8" t="str">
        <f>'Components Data Source'!D133</f>
        <v>Components\IO_Source\FAT Component\FAT.fcfx</v>
      </c>
      <c r="E133" s="8" t="str">
        <f>'Components Data Source'!E133</f>
        <v>STORAGE</v>
      </c>
      <c r="F133" s="8" t="str">
        <f>'Components Data Source'!F133</f>
        <v>STORAGE</v>
      </c>
      <c r="G133" s="8">
        <f>'Components Data Source'!G133</f>
        <v>0</v>
      </c>
      <c r="H133" s="8">
        <f>'Components Data Source'!H133</f>
        <v>0</v>
      </c>
      <c r="I133" s="8" t="str">
        <f>'Components Data Source'!I133</f>
        <v xml:space="preserve">SPI </v>
      </c>
      <c r="J133" s="8">
        <f>'Components Data Source'!J133</f>
        <v>1</v>
      </c>
      <c r="K133" s="8">
        <f>'Components Data Source'!K133</f>
        <v>1</v>
      </c>
      <c r="L133" s="8">
        <f>'Components Data Source'!L133</f>
        <v>0</v>
      </c>
      <c r="M133" s="8" t="s">
        <v>1727</v>
      </c>
      <c r="N133" s="17" t="str">
        <f>HYPERLINK('Components Data Source'!M133)</f>
        <v>https://www.flowcode.co.uk/wiki/index.php?title=Component:_ID_0b61bd39_05a3_46ee_a2a5_da7bffb583c5</v>
      </c>
      <c r="O133" s="8" t="s">
        <v>1721</v>
      </c>
      <c r="P133" s="8"/>
      <c r="Q133" s="8" t="str">
        <f t="shared" si="4"/>
        <v/>
      </c>
      <c r="R133" s="8" t="s">
        <v>2520</v>
      </c>
      <c r="S133" s="8" t="s">
        <v>1727</v>
      </c>
      <c r="T133" s="8"/>
      <c r="U133" s="8"/>
      <c r="V133" s="8" t="s">
        <v>1730</v>
      </c>
      <c r="W133" s="8" t="s">
        <v>1730</v>
      </c>
      <c r="X133" s="8"/>
      <c r="Y133" s="8"/>
      <c r="Z133" s="18">
        <f t="shared" si="5"/>
        <v>0</v>
      </c>
      <c r="AA133" s="8"/>
      <c r="AB133" s="7"/>
      <c r="AC133" s="7"/>
      <c r="AD133" s="8" t="s">
        <v>1721</v>
      </c>
      <c r="AE133" s="8" t="s">
        <v>1721</v>
      </c>
      <c r="AF133" s="8" t="s">
        <v>1727</v>
      </c>
      <c r="AG133" s="8" t="s">
        <v>1721</v>
      </c>
      <c r="AH133" s="47"/>
      <c r="AI133" s="47">
        <f>VLOOKUP(B133,'Components Usage'!A$2:C$603,3,FALSE)</f>
        <v>59</v>
      </c>
      <c r="AJ133" s="28" t="s">
        <v>2401</v>
      </c>
    </row>
    <row r="134" spans="1:36" hidden="1" x14ac:dyDescent="0.25">
      <c r="A134" s="16" t="str">
        <f>'Components Data Source'!A134</f>
        <v>File Access</v>
      </c>
      <c r="B134" s="8" t="str">
        <f>'Components Data Source'!B134</f>
        <v>9CB6D9DA-5555-4E1C-A65C-93B299B6011C</v>
      </c>
      <c r="C134" s="41" t="str">
        <f>'Components Data Source'!C134</f>
        <v>FATSCADA.fcpx</v>
      </c>
      <c r="D134" s="8" t="str">
        <f>'Components Data Source'!D134</f>
        <v>Components\IO_Source\SCADA\File.fcsx</v>
      </c>
      <c r="E134" s="8" t="str">
        <f>'Components Data Source'!E134</f>
        <v>SCADA</v>
      </c>
      <c r="F134" s="8" t="str">
        <f>'Components Data Source'!F134</f>
        <v xml:space="preserve">STORAGE </v>
      </c>
      <c r="G134" s="8">
        <f>'Components Data Source'!G134</f>
        <v>0</v>
      </c>
      <c r="H134" s="8">
        <f>'Components Data Source'!H134</f>
        <v>0</v>
      </c>
      <c r="I134" s="8">
        <f>'Components Data Source'!I134</f>
        <v>0</v>
      </c>
      <c r="J134" s="8">
        <f>'Components Data Source'!J134</f>
        <v>1</v>
      </c>
      <c r="K134" s="8">
        <f>'Components Data Source'!K134</f>
        <v>0</v>
      </c>
      <c r="L134" s="8">
        <f>'Components Data Source'!L134</f>
        <v>1</v>
      </c>
      <c r="M134" s="8" t="s">
        <v>1727</v>
      </c>
      <c r="N134" s="17" t="str">
        <f>HYPERLINK('Components Data Source'!M134)</f>
        <v>https://www.flowcode.co.uk/wiki/index.php?title=Component:_ID_9cb6d9da_5555_4e1c_a65c_93b299b6011c</v>
      </c>
      <c r="O134" s="8" t="s">
        <v>1721</v>
      </c>
      <c r="P134" s="8"/>
      <c r="Q134" s="8">
        <f t="shared" si="4"/>
        <v>1</v>
      </c>
      <c r="R134" s="1" t="s">
        <v>1721</v>
      </c>
      <c r="S134" s="1" t="s">
        <v>1721</v>
      </c>
      <c r="T134" s="1" t="s">
        <v>1727</v>
      </c>
      <c r="U134" s="1" t="s">
        <v>1721</v>
      </c>
      <c r="V134" s="1" t="s">
        <v>1733</v>
      </c>
      <c r="W134" s="1" t="s">
        <v>1731</v>
      </c>
      <c r="X134" s="1" t="s">
        <v>1721</v>
      </c>
      <c r="Y134" s="8" t="s">
        <v>1721</v>
      </c>
      <c r="Z134" s="18">
        <f t="shared" si="5"/>
        <v>1</v>
      </c>
      <c r="AA134" s="8"/>
      <c r="AB134" s="7"/>
      <c r="AC134" s="7"/>
      <c r="AD134" s="8" t="s">
        <v>1721</v>
      </c>
      <c r="AE134" s="8" t="s">
        <v>1727</v>
      </c>
      <c r="AF134" s="8" t="s">
        <v>2401</v>
      </c>
      <c r="AG134" s="8" t="s">
        <v>1727</v>
      </c>
      <c r="AH134" s="47"/>
      <c r="AI134" s="47">
        <f>VLOOKUP(B134,'Components Usage'!A$2:C$603,3,FALSE)</f>
        <v>20</v>
      </c>
      <c r="AJ134" s="28" t="s">
        <v>2401</v>
      </c>
    </row>
    <row r="135" spans="1:36" hidden="1" x14ac:dyDescent="0.25">
      <c r="A135" s="16" t="str">
        <f>'Components Data Source'!A135</f>
        <v>Daytona Racetrack(HP458)</v>
      </c>
      <c r="B135" s="8" t="str">
        <f>'Components Data Source'!B135</f>
        <v>264EADAC-6FE5-43E0-BFB6-969175AAAB93</v>
      </c>
      <c r="C135" s="41" t="str">
        <f>'Components Data Source'!C135</f>
        <v>FF_Racetrack.fcpx</v>
      </c>
      <c r="D135" s="8" t="str">
        <f>'Components Data Source'!D135</f>
        <v>Components\IO_Source\mechatronics\FF Racetrack.fcfx</v>
      </c>
      <c r="E135" s="8" t="str">
        <f>'Components Data Source'!E135</f>
        <v>MODELS</v>
      </c>
      <c r="F135" s="8" t="str">
        <f>'Components Data Source'!F135</f>
        <v>SCENARIOS</v>
      </c>
      <c r="G135" s="8">
        <f>'Components Data Source'!G135</f>
        <v>0</v>
      </c>
      <c r="H135" s="8">
        <f>'Components Data Source'!H135</f>
        <v>0</v>
      </c>
      <c r="I135" s="8">
        <f>'Components Data Source'!I135</f>
        <v>0</v>
      </c>
      <c r="J135" s="8">
        <f>'Components Data Source'!J135</f>
        <v>1</v>
      </c>
      <c r="K135" s="8">
        <f>'Components Data Source'!K135</f>
        <v>1</v>
      </c>
      <c r="L135" s="8">
        <f>'Components Data Source'!L135</f>
        <v>0</v>
      </c>
      <c r="M135" s="8" t="s">
        <v>1727</v>
      </c>
      <c r="N135" s="17" t="str">
        <f>HYPERLINK('Components Data Source'!M135)</f>
        <v>https://www.flowcode.co.uk/wiki/index.php?title=Component:_ID_264eadac_6fe5_43e0_bfb6_969175aaab93</v>
      </c>
      <c r="O135" s="8" t="s">
        <v>1721</v>
      </c>
      <c r="P135" s="8"/>
      <c r="Q135" s="8" t="str">
        <f t="shared" si="4"/>
        <v/>
      </c>
      <c r="R135" s="8" t="s">
        <v>1727</v>
      </c>
      <c r="S135" s="8"/>
      <c r="T135" s="8"/>
      <c r="U135" s="8"/>
      <c r="V135" s="8" t="s">
        <v>1730</v>
      </c>
      <c r="W135" s="8" t="s">
        <v>1730</v>
      </c>
      <c r="X135" s="8"/>
      <c r="Y135" s="8"/>
      <c r="Z135" s="18">
        <f t="shared" si="5"/>
        <v>2</v>
      </c>
      <c r="AA135" s="8"/>
      <c r="AB135" s="7"/>
      <c r="AC135" s="7"/>
      <c r="AD135" s="8" t="s">
        <v>1721</v>
      </c>
      <c r="AE135" s="8" t="s">
        <v>1727</v>
      </c>
      <c r="AF135" s="8" t="s">
        <v>2401</v>
      </c>
      <c r="AG135" s="8" t="s">
        <v>1727</v>
      </c>
      <c r="AH135" s="47"/>
      <c r="AI135" s="47">
        <f>VLOOKUP(B135,'Components Usage'!A$2:C$603,3,FALSE)</f>
        <v>1</v>
      </c>
      <c r="AJ135" s="28" t="s">
        <v>2401</v>
      </c>
    </row>
    <row r="136" spans="1:36" hidden="1" x14ac:dyDescent="0.25">
      <c r="A136" s="16" t="str">
        <f>'Components Data Source'!A136</f>
        <v>Touch Screen (FT6X06)</v>
      </c>
      <c r="B136" s="8" t="str">
        <f>'Components Data Source'!B136</f>
        <v>90C9F255-B526-4288-B0B6-26736E6DB2E2</v>
      </c>
      <c r="C136" s="41" t="str">
        <f>'Components Data Source'!C136</f>
        <v>FT6X06.fcpx</v>
      </c>
      <c r="D136" s="8" t="str">
        <f>'Components Data Source'!D136</f>
        <v>Components\IO_Source\FT6X36TouchScreenController.fcfx</v>
      </c>
      <c r="E136" s="8" t="str">
        <f>'Components Data Source'!E136</f>
        <v>SENSORS</v>
      </c>
      <c r="F136" s="8" t="str">
        <f>'Components Data Source'!F136</f>
        <v>FORCE</v>
      </c>
      <c r="G136" s="8">
        <f>'Components Data Source'!G136</f>
        <v>0</v>
      </c>
      <c r="H136" s="8">
        <f>'Components Data Source'!H136</f>
        <v>0</v>
      </c>
      <c r="I136" s="8" t="str">
        <f>'Components Data Source'!I136</f>
        <v xml:space="preserve">I2C </v>
      </c>
      <c r="J136" s="8">
        <f>'Components Data Source'!J136</f>
        <v>1</v>
      </c>
      <c r="K136" s="8">
        <f>'Components Data Source'!K136</f>
        <v>1</v>
      </c>
      <c r="L136" s="8">
        <f>'Components Data Source'!L136</f>
        <v>1</v>
      </c>
      <c r="M136" s="8" t="s">
        <v>1727</v>
      </c>
      <c r="N136" s="17" t="str">
        <f>HYPERLINK('Components Data Source'!M136)</f>
        <v>https://www.flowcode.co.uk/wiki/index.php?title=Component:_ID_90c9f255_b526_4288_b0b6_26736e6db2e2</v>
      </c>
      <c r="O136" s="8" t="s">
        <v>1721</v>
      </c>
      <c r="P136" s="8"/>
      <c r="Q136" s="8" t="str">
        <f t="shared" si="4"/>
        <v/>
      </c>
      <c r="R136" s="1" t="s">
        <v>1721</v>
      </c>
      <c r="S136" s="1" t="s">
        <v>1721</v>
      </c>
      <c r="T136" s="1" t="s">
        <v>1721</v>
      </c>
      <c r="U136" s="1" t="s">
        <v>1721</v>
      </c>
      <c r="V136" s="1" t="s">
        <v>1731</v>
      </c>
      <c r="W136" s="1" t="s">
        <v>1175</v>
      </c>
      <c r="X136" s="1" t="s">
        <v>1721</v>
      </c>
      <c r="Y136" s="8" t="s">
        <v>1721</v>
      </c>
      <c r="Z136" s="18">
        <f t="shared" si="5"/>
        <v>1</v>
      </c>
      <c r="AA136" s="8"/>
      <c r="AB136" s="7"/>
      <c r="AC136" s="7"/>
      <c r="AD136" s="8" t="s">
        <v>1727</v>
      </c>
      <c r="AE136" s="8"/>
      <c r="AF136" s="8"/>
      <c r="AG136" s="8" t="s">
        <v>1727</v>
      </c>
      <c r="AH136" s="47"/>
      <c r="AI136" s="47">
        <f>VLOOKUP(B136,'Components Usage'!A$2:C$603,3,FALSE)</f>
        <v>5</v>
      </c>
      <c r="AJ136" s="28"/>
    </row>
    <row r="137" spans="1:36" hidden="1" x14ac:dyDescent="0.25">
      <c r="A137" s="16" t="str">
        <f>'Components Data Source'!A137</f>
        <v>FTDI (FT800)</v>
      </c>
      <c r="B137" s="8" t="str">
        <f>'Components Data Source'!B137</f>
        <v>7B54013C-C426-4AA0-ABB7-80FC10CD39CC</v>
      </c>
      <c r="C137" s="41" t="str">
        <f>'Components Data Source'!C137</f>
        <v>FT800.fcpx</v>
      </c>
      <c r="D137" s="8" t="str">
        <f>'Components Data Source'!D137</f>
        <v>Components\IO_Source\FTDI-FT800.fcfx</v>
      </c>
      <c r="E137" s="8" t="str">
        <f>'Components Data Source'!E137</f>
        <v>COMMSA</v>
      </c>
      <c r="F137" s="8" t="str">
        <f>'Components Data Source'!F137</f>
        <v>MISC</v>
      </c>
      <c r="G137" s="8">
        <f>'Components Data Source'!G137</f>
        <v>0</v>
      </c>
      <c r="H137" s="8">
        <f>'Components Data Source'!H137</f>
        <v>0</v>
      </c>
      <c r="I137" s="8" t="str">
        <f>'Components Data Source'!I137</f>
        <v xml:space="preserve">SPI </v>
      </c>
      <c r="J137" s="8">
        <f>'Components Data Source'!J137</f>
        <v>1</v>
      </c>
      <c r="K137" s="8">
        <f>'Components Data Source'!K137</f>
        <v>1</v>
      </c>
      <c r="L137" s="8">
        <f>'Components Data Source'!L137</f>
        <v>0</v>
      </c>
      <c r="M137" s="8" t="s">
        <v>1727</v>
      </c>
      <c r="N137" s="17" t="str">
        <f>HYPERLINK('Components Data Source'!M137)</f>
        <v>https://www.flowcode.co.uk/wiki/index.php?title=Component:_ID_7b54013c_c426_4aa0_abb7_80fc10cd39cc</v>
      </c>
      <c r="O137" s="8" t="s">
        <v>1721</v>
      </c>
      <c r="P137" s="8"/>
      <c r="Q137" s="8" t="str">
        <f t="shared" si="4"/>
        <v/>
      </c>
      <c r="R137" s="1" t="s">
        <v>1721</v>
      </c>
      <c r="S137" s="1" t="s">
        <v>1721</v>
      </c>
      <c r="T137" s="1" t="s">
        <v>1721</v>
      </c>
      <c r="U137" s="1" t="s">
        <v>1721</v>
      </c>
      <c r="V137" s="1" t="s">
        <v>1731</v>
      </c>
      <c r="W137" s="1" t="s">
        <v>1180</v>
      </c>
      <c r="X137" s="1" t="s">
        <v>1721</v>
      </c>
      <c r="Y137" s="8" t="s">
        <v>1721</v>
      </c>
      <c r="Z137" s="18">
        <f t="shared" si="5"/>
        <v>1</v>
      </c>
      <c r="AA137" s="8"/>
      <c r="AB137" s="7"/>
      <c r="AC137" s="7"/>
      <c r="AD137" s="8" t="s">
        <v>1727</v>
      </c>
      <c r="AE137" s="8"/>
      <c r="AF137" s="8"/>
      <c r="AG137" s="8" t="s">
        <v>1727</v>
      </c>
      <c r="AH137" s="47"/>
      <c r="AI137" s="47">
        <f>VLOOKUP(B137,'Components Usage'!A$2:C$603,3,FALSE)</f>
        <v>0</v>
      </c>
      <c r="AJ137" s="28"/>
    </row>
    <row r="138" spans="1:36" hidden="1" x14ac:dyDescent="0.25">
      <c r="A138" s="16" t="str">
        <f>'Components Data Source'!A138</f>
        <v>FTDI (FTD2XX)</v>
      </c>
      <c r="B138" s="8" t="str">
        <f>'Components Data Source'!B138</f>
        <v>EEDBC87C-0433-4F67-86C5-A106439FC603</v>
      </c>
      <c r="C138" s="41" t="str">
        <f>'Components Data Source'!C138</f>
        <v>FTD2XX.fcpx</v>
      </c>
      <c r="D138" s="8" t="str">
        <f>'Components Data Source'!D138</f>
        <v>Components\IO_Source\ftd2xx_232.fcsx</v>
      </c>
      <c r="E138" s="8" t="str">
        <f>'Components Data Source'!E138</f>
        <v>COMMSA</v>
      </c>
      <c r="F138" s="8" t="str">
        <f>'Components Data Source'!F138</f>
        <v>THIRD PARTY</v>
      </c>
      <c r="G138" s="8">
        <f>'Components Data Source'!G138</f>
        <v>0</v>
      </c>
      <c r="H138" s="8">
        <f>'Components Data Source'!H138</f>
        <v>0</v>
      </c>
      <c r="I138" s="8">
        <f>'Components Data Source'!I138</f>
        <v>0</v>
      </c>
      <c r="J138" s="8">
        <f>'Components Data Source'!J138</f>
        <v>1</v>
      </c>
      <c r="K138" s="8">
        <f>'Components Data Source'!K138</f>
        <v>0</v>
      </c>
      <c r="L138" s="8">
        <f>'Components Data Source'!L138</f>
        <v>1</v>
      </c>
      <c r="M138" s="8" t="s">
        <v>1727</v>
      </c>
      <c r="N138" s="17" t="str">
        <f>HYPERLINK('Components Data Source'!M138)</f>
        <v>https://www.flowcode.co.uk/wiki/index.php?title=Component:_ID_eedbc87c_0433_4f67_86c5_a106439fc603</v>
      </c>
      <c r="O138" s="8" t="s">
        <v>1721</v>
      </c>
      <c r="P138" s="8"/>
      <c r="Q138" s="8">
        <f t="shared" si="4"/>
        <v>1</v>
      </c>
      <c r="R138" s="1" t="s">
        <v>1721</v>
      </c>
      <c r="S138" s="1" t="s">
        <v>1721</v>
      </c>
      <c r="T138" s="1" t="s">
        <v>1727</v>
      </c>
      <c r="U138" s="1" t="s">
        <v>1727</v>
      </c>
      <c r="V138" s="1" t="s">
        <v>1731</v>
      </c>
      <c r="W138" s="1" t="s">
        <v>1731</v>
      </c>
      <c r="X138" s="1" t="s">
        <v>1721</v>
      </c>
      <c r="Y138" s="8" t="s">
        <v>1721</v>
      </c>
      <c r="Z138" s="18">
        <f t="shared" si="5"/>
        <v>1</v>
      </c>
      <c r="AA138" s="8"/>
      <c r="AB138" s="7"/>
      <c r="AC138" s="7"/>
      <c r="AD138" s="8" t="s">
        <v>1721</v>
      </c>
      <c r="AE138" s="8" t="s">
        <v>1727</v>
      </c>
      <c r="AF138" s="8" t="s">
        <v>2401</v>
      </c>
      <c r="AG138" s="8" t="s">
        <v>1727</v>
      </c>
      <c r="AH138" s="47"/>
      <c r="AI138" s="47">
        <f>VLOOKUP(B138,'Components Usage'!A$2:C$603,3,FALSE)</f>
        <v>1</v>
      </c>
      <c r="AJ138" s="28" t="s">
        <v>2401</v>
      </c>
    </row>
    <row r="139" spans="1:36" hidden="1" x14ac:dyDescent="0.25">
      <c r="A139" s="16" t="str">
        <f>'Components Data Source'!A139</f>
        <v>Fan / Pump</v>
      </c>
      <c r="B139" s="8" t="str">
        <f>'Components Data Source'!B139</f>
        <v>810FD965-8219-4633-A26F-49D73890B4C9</v>
      </c>
      <c r="C139" s="41" t="str">
        <f>'Components Data Source'!C139</f>
        <v>FanPump.fcpx</v>
      </c>
      <c r="D139" s="8" t="str">
        <f>'Components Data Source'!D139</f>
        <v>Components\IO_Source\SCADA\FanPump.fcfx</v>
      </c>
      <c r="E139" s="8" t="str">
        <f>'Components Data Source'!E139</f>
        <v>SCADA</v>
      </c>
      <c r="F139" s="8" t="str">
        <f>'Components Data Source'!F139</f>
        <v>INDUSTRIAL</v>
      </c>
      <c r="G139" s="8">
        <f>'Components Data Source'!G139</f>
        <v>0</v>
      </c>
      <c r="H139" s="8">
        <f>'Components Data Source'!H139</f>
        <v>0</v>
      </c>
      <c r="I139" s="8">
        <f>'Components Data Source'!I139</f>
        <v>0</v>
      </c>
      <c r="J139" s="8">
        <f>'Components Data Source'!J139</f>
        <v>1</v>
      </c>
      <c r="K139" s="8">
        <f>'Components Data Source'!K139</f>
        <v>1</v>
      </c>
      <c r="L139" s="8">
        <f>'Components Data Source'!L139</f>
        <v>1</v>
      </c>
      <c r="M139" s="8" t="s">
        <v>1727</v>
      </c>
      <c r="N139" s="17" t="str">
        <f>HYPERLINK('Components Data Source'!M139)</f>
        <v>https://www.flowcode.co.uk/wiki/index.php?title=Component:_ID_810fd965_8219_4633_a26f_49d73890b4c9</v>
      </c>
      <c r="O139" s="8" t="s">
        <v>1721</v>
      </c>
      <c r="P139" s="8"/>
      <c r="Q139" s="8" t="str">
        <f t="shared" si="4"/>
        <v/>
      </c>
      <c r="R139" s="8" t="s">
        <v>1727</v>
      </c>
      <c r="S139" s="8"/>
      <c r="T139" s="8"/>
      <c r="U139" s="8"/>
      <c r="V139" s="8" t="s">
        <v>1730</v>
      </c>
      <c r="W139" s="8" t="s">
        <v>1730</v>
      </c>
      <c r="X139" s="8"/>
      <c r="Y139" s="8"/>
      <c r="Z139" s="18">
        <f t="shared" si="5"/>
        <v>2</v>
      </c>
      <c r="AA139" s="8"/>
      <c r="AB139" s="7"/>
      <c r="AC139" s="7"/>
      <c r="AD139" s="8" t="s">
        <v>1721</v>
      </c>
      <c r="AE139" s="8" t="s">
        <v>1727</v>
      </c>
      <c r="AF139" s="8" t="s">
        <v>2401</v>
      </c>
      <c r="AG139" s="8" t="s">
        <v>1727</v>
      </c>
      <c r="AH139" s="47"/>
      <c r="AI139" s="47">
        <f>VLOOKUP(B139,'Components Usage'!A$2:C$603,3,FALSE)</f>
        <v>0</v>
      </c>
      <c r="AJ139" s="28" t="s">
        <v>2401</v>
      </c>
    </row>
    <row r="140" spans="1:36" x14ac:dyDescent="0.25">
      <c r="A140" s="16" t="str">
        <f>'Components Data Source'!A140</f>
        <v>Wood Fence</v>
      </c>
      <c r="B140" s="8" t="str">
        <f>'Components Data Source'!B140</f>
        <v>3A9B473C-04D9-43E2-B6D4-1B22555E16AF</v>
      </c>
      <c r="C140" s="41" t="str">
        <f>'Components Data Source'!C140</f>
        <v>Fence.fcpx</v>
      </c>
      <c r="D140" s="8" t="str">
        <f>'Components Data Source'!D140</f>
        <v>Components\IO_Source\Shapes\Shape_Fence.fcfx</v>
      </c>
      <c r="E140" s="8" t="str">
        <f>'Components Data Source'!E140</f>
        <v>FREE</v>
      </c>
      <c r="F140" s="8" t="str">
        <f>'Components Data Source'!F140</f>
        <v>MISC SHAPES</v>
      </c>
      <c r="G140" s="8">
        <f>'Components Data Source'!G140</f>
        <v>0</v>
      </c>
      <c r="H140" s="8">
        <f>'Components Data Source'!H140</f>
        <v>0</v>
      </c>
      <c r="I140" s="8">
        <f>'Components Data Source'!I140</f>
        <v>0</v>
      </c>
      <c r="J140" s="8">
        <f>'Components Data Source'!J140</f>
        <v>1</v>
      </c>
      <c r="K140" s="8">
        <f>'Components Data Source'!K140</f>
        <v>1</v>
      </c>
      <c r="L140" s="8">
        <f>'Components Data Source'!L140</f>
        <v>1</v>
      </c>
      <c r="M140" s="8" t="s">
        <v>1727</v>
      </c>
      <c r="N140" s="17" t="str">
        <f>HYPERLINK('Components Data Source'!M140)</f>
        <v>https://www.flowcode.co.uk/wiki/index.php?title=Component:_ID_3a9b473c_04d9_43e2_b6d4_1b22555e16af</v>
      </c>
      <c r="O140" s="8" t="s">
        <v>1721</v>
      </c>
      <c r="P140" s="8"/>
      <c r="Q140" s="8" t="str">
        <f t="shared" si="4"/>
        <v/>
      </c>
      <c r="R140" s="8" t="s">
        <v>1727</v>
      </c>
      <c r="S140" s="8"/>
      <c r="T140" s="8"/>
      <c r="U140" s="8"/>
      <c r="V140" s="8" t="s">
        <v>1730</v>
      </c>
      <c r="W140" s="8" t="s">
        <v>1730</v>
      </c>
      <c r="X140" s="8"/>
      <c r="Y140" s="8"/>
      <c r="Z140" s="18">
        <f t="shared" si="5"/>
        <v>2</v>
      </c>
      <c r="AA140" s="8"/>
      <c r="AB140" s="7"/>
      <c r="AC140" s="7"/>
      <c r="AD140" s="8" t="s">
        <v>1721</v>
      </c>
      <c r="AE140" s="8" t="s">
        <v>2401</v>
      </c>
      <c r="AF140" s="8" t="s">
        <v>2401</v>
      </c>
      <c r="AG140" s="8" t="s">
        <v>1727</v>
      </c>
      <c r="AH140" s="47"/>
      <c r="AI140" s="47">
        <f>VLOOKUP(B140,'Components Usage'!A$2:C$603,3,FALSE)</f>
        <v>0</v>
      </c>
      <c r="AJ140" s="28"/>
    </row>
    <row r="141" spans="1:36" x14ac:dyDescent="0.25">
      <c r="A141" s="16" t="str">
        <f>'Components Data Source'!A141</f>
        <v>Flash EEPROM</v>
      </c>
      <c r="B141" s="8" t="str">
        <f>'Components Data Source'!B141</f>
        <v>06829BC6-9E27-4353-9D95-3BA9DABC3384</v>
      </c>
      <c r="C141" s="41" t="str">
        <f>'Components Data Source'!C141</f>
        <v>FlashEEPROM.fcpx</v>
      </c>
      <c r="D141" s="8" t="str">
        <f>'Components Data Source'!D141</f>
        <v>Components\IO_Source\Storage\FlashEE.fcfx</v>
      </c>
      <c r="E141" s="8" t="str">
        <f>'Components Data Source'!E141</f>
        <v>FREE</v>
      </c>
      <c r="F141" s="8" t="str">
        <f>'Components Data Source'!F141</f>
        <v>STORAGE</v>
      </c>
      <c r="G141" s="8">
        <f>'Components Data Source'!G141</f>
        <v>0</v>
      </c>
      <c r="H141" s="8">
        <f>'Components Data Source'!H141</f>
        <v>0</v>
      </c>
      <c r="I141" s="8">
        <f>'Components Data Source'!I141</f>
        <v>0</v>
      </c>
      <c r="J141" s="8">
        <f>'Components Data Source'!J141</f>
        <v>1</v>
      </c>
      <c r="K141" s="8">
        <f>'Components Data Source'!K141</f>
        <v>1</v>
      </c>
      <c r="L141" s="8">
        <f>'Components Data Source'!L141</f>
        <v>0</v>
      </c>
      <c r="M141" s="8" t="s">
        <v>1727</v>
      </c>
      <c r="N141" s="17" t="str">
        <f>HYPERLINK('Components Data Source'!M141)</f>
        <v>https://www.flowcode.co.uk/wiki/index.php?title=Component:_ID_06829bc6_9e27_4353_9d95_3ba9dabc3384</v>
      </c>
      <c r="O141" s="8" t="s">
        <v>1721</v>
      </c>
      <c r="P141" s="8"/>
      <c r="Q141" s="8" t="str">
        <f t="shared" si="4"/>
        <v/>
      </c>
      <c r="R141" s="8" t="s">
        <v>1721</v>
      </c>
      <c r="S141" s="8" t="s">
        <v>1721</v>
      </c>
      <c r="T141" s="8" t="s">
        <v>1727</v>
      </c>
      <c r="U141" s="8" t="s">
        <v>1727</v>
      </c>
      <c r="V141" s="8" t="s">
        <v>1731</v>
      </c>
      <c r="W141" s="8" t="s">
        <v>1731</v>
      </c>
      <c r="X141" s="8"/>
      <c r="Y141" s="8"/>
      <c r="Z141" s="18">
        <f t="shared" si="5"/>
        <v>0</v>
      </c>
      <c r="AA141" s="8"/>
      <c r="AB141" s="7"/>
      <c r="AC141" s="7"/>
      <c r="AD141" s="8" t="s">
        <v>1721</v>
      </c>
      <c r="AE141" s="8" t="s">
        <v>1727</v>
      </c>
      <c r="AF141" s="8" t="s">
        <v>2401</v>
      </c>
      <c r="AG141" s="8" t="s">
        <v>1727</v>
      </c>
      <c r="AH141" s="47"/>
      <c r="AI141" s="47">
        <f>VLOOKUP(B141,'Components Usage'!A$2:C$603,3,FALSE)</f>
        <v>7</v>
      </c>
      <c r="AJ141" s="28" t="s">
        <v>2401</v>
      </c>
    </row>
    <row r="142" spans="1:36" hidden="1" x14ac:dyDescent="0.25">
      <c r="A142" s="16" t="str">
        <f>'Components Data Source'!A142</f>
        <v>Serial Flash (W25)</v>
      </c>
      <c r="B142" s="8" t="str">
        <f>'Components Data Source'!B142</f>
        <v>C8B6350E-B89A-4AD0-8669-E9387E24599E</v>
      </c>
      <c r="C142" s="41" t="str">
        <f>'Components Data Source'!C142</f>
        <v>FlashW25.fcpx</v>
      </c>
      <c r="D142" s="8" t="str">
        <f>'Components Data Source'!D142</f>
        <v>Components\IO_Source\Storage\SerialFlash_W25Q.fcfx</v>
      </c>
      <c r="E142" s="8" t="str">
        <f>'Components Data Source'!E142</f>
        <v>STORAGE</v>
      </c>
      <c r="F142" s="8" t="str">
        <f>'Components Data Source'!F142</f>
        <v>STORAGE</v>
      </c>
      <c r="G142" s="8">
        <f>'Components Data Source'!G142</f>
        <v>0</v>
      </c>
      <c r="H142" s="8">
        <f>'Components Data Source'!H142</f>
        <v>0</v>
      </c>
      <c r="I142" s="8" t="str">
        <f>'Components Data Source'!I142</f>
        <v xml:space="preserve">SPI </v>
      </c>
      <c r="J142" s="8">
        <f>'Components Data Source'!J142</f>
        <v>1</v>
      </c>
      <c r="K142" s="8">
        <f>'Components Data Source'!K142</f>
        <v>1</v>
      </c>
      <c r="L142" s="8">
        <f>'Components Data Source'!L142</f>
        <v>0</v>
      </c>
      <c r="M142" s="8" t="s">
        <v>1727</v>
      </c>
      <c r="N142" s="17" t="str">
        <f>HYPERLINK('Components Data Source'!M142)</f>
        <v>https://www.flowcode.co.uk/wiki/index.php?title=Component:_ID_c8b6350e_b89a_4ad0_8669_e9387e24599e</v>
      </c>
      <c r="O142" s="8" t="s">
        <v>1721</v>
      </c>
      <c r="P142" s="8"/>
      <c r="Q142" s="8" t="str">
        <f t="shared" si="4"/>
        <v/>
      </c>
      <c r="R142" s="8" t="s">
        <v>1721</v>
      </c>
      <c r="S142" s="8" t="s">
        <v>1721</v>
      </c>
      <c r="T142" s="8" t="s">
        <v>1721</v>
      </c>
      <c r="U142" s="8" t="s">
        <v>1721</v>
      </c>
      <c r="V142" s="8" t="s">
        <v>1731</v>
      </c>
      <c r="W142" s="8" t="s">
        <v>1180</v>
      </c>
      <c r="X142" s="8" t="s">
        <v>1721</v>
      </c>
      <c r="Y142" s="8" t="s">
        <v>1721</v>
      </c>
      <c r="Z142" s="18">
        <f t="shared" si="5"/>
        <v>1</v>
      </c>
      <c r="AA142" s="8"/>
      <c r="AB142" s="7"/>
      <c r="AC142" s="7"/>
      <c r="AD142" s="8" t="s">
        <v>1721</v>
      </c>
      <c r="AE142" s="8" t="s">
        <v>1727</v>
      </c>
      <c r="AF142" s="8" t="s">
        <v>1727</v>
      </c>
      <c r="AG142" s="8" t="s">
        <v>1727</v>
      </c>
      <c r="AH142" s="47"/>
      <c r="AI142" s="47">
        <f>VLOOKUP(B142,'Components Usage'!A$2:C$603,3,FALSE)</f>
        <v>28</v>
      </c>
      <c r="AJ142" s="28" t="s">
        <v>2401</v>
      </c>
    </row>
    <row r="143" spans="1:36" x14ac:dyDescent="0.25">
      <c r="A143" s="16" t="str">
        <f>'Components Data Source'!A143</f>
        <v>Formula AllCode API</v>
      </c>
      <c r="B143" s="8" t="str">
        <f>'Components Data Source'!B143</f>
        <v>4182ECE3-6AD5-41D3-A0E2-31BC570806DB</v>
      </c>
      <c r="C143" s="41" t="str">
        <f>'Components Data Source'!C143</f>
        <v>FormulaAllCodeAPI.fcpx</v>
      </c>
      <c r="D143" s="8" t="str">
        <f>'Components Data Source'!D143</f>
        <v>Components\IO_Source\FormulaFlowcode2\FormulaAllCode_API.fcsx</v>
      </c>
      <c r="E143" s="8" t="str">
        <f>'Components Data Source'!E143</f>
        <v>FREE</v>
      </c>
      <c r="F143" s="8" t="str">
        <f>'Components Data Source'!F143</f>
        <v>ALLCODE</v>
      </c>
      <c r="G143" s="8">
        <f>'Components Data Source'!G143</f>
        <v>0</v>
      </c>
      <c r="H143" s="8">
        <f>'Components Data Source'!H143</f>
        <v>0</v>
      </c>
      <c r="I143" s="8">
        <f>'Components Data Source'!I143</f>
        <v>0</v>
      </c>
      <c r="J143" s="8">
        <f>'Components Data Source'!J143</f>
        <v>1</v>
      </c>
      <c r="K143" s="8">
        <f>'Components Data Source'!K143</f>
        <v>0</v>
      </c>
      <c r="L143" s="8">
        <f>'Components Data Source'!L143</f>
        <v>1</v>
      </c>
      <c r="M143" s="8" t="s">
        <v>1727</v>
      </c>
      <c r="N143" s="17" t="str">
        <f>HYPERLINK('Components Data Source'!M143)</f>
        <v>https://www.flowcode.co.uk/wiki/index.php?title=Component:_ID_4182ece3_6ad5_41d3_a0e2_31bc570806db</v>
      </c>
      <c r="O143" s="8" t="s">
        <v>1721</v>
      </c>
      <c r="P143" s="8"/>
      <c r="Q143" s="8">
        <f t="shared" ref="Q143:Q206" si="6">IF(L143=1,IF(K143=1,"",1),"")</f>
        <v>1</v>
      </c>
      <c r="R143" s="1" t="s">
        <v>1721</v>
      </c>
      <c r="S143" s="1" t="s">
        <v>1721</v>
      </c>
      <c r="T143" s="8" t="s">
        <v>1721</v>
      </c>
      <c r="U143" s="8" t="s">
        <v>1721</v>
      </c>
      <c r="V143" s="1" t="s">
        <v>1734</v>
      </c>
      <c r="W143" s="1" t="s">
        <v>1731</v>
      </c>
      <c r="X143" s="8" t="s">
        <v>1721</v>
      </c>
      <c r="Y143" s="8" t="s">
        <v>1721</v>
      </c>
      <c r="Z143" s="18">
        <f t="shared" si="5"/>
        <v>1</v>
      </c>
      <c r="AA143" s="8"/>
      <c r="AB143" s="6" t="s">
        <v>2438</v>
      </c>
      <c r="AC143" s="7"/>
      <c r="AD143" s="8" t="s">
        <v>1721</v>
      </c>
      <c r="AE143" s="8" t="s">
        <v>1721</v>
      </c>
      <c r="AF143" s="8" t="s">
        <v>2401</v>
      </c>
      <c r="AG143" s="8" t="s">
        <v>1721</v>
      </c>
      <c r="AH143" s="47"/>
      <c r="AI143" s="47">
        <f>VLOOKUP(B143,'Components Usage'!A$2:C$603,3,FALSE)</f>
        <v>7</v>
      </c>
      <c r="AJ143" s="28" t="s">
        <v>2401</v>
      </c>
    </row>
    <row r="144" spans="1:36" x14ac:dyDescent="0.25">
      <c r="A144" s="16" t="str">
        <f>'Components Data Source'!A144</f>
        <v>Formula AllCode(RB4420)</v>
      </c>
      <c r="B144" s="8" t="str">
        <f>'Components Data Source'!B144</f>
        <v>E3BE641A-8808-4138-BEE5-805FBBCE468C</v>
      </c>
      <c r="C144" s="41" t="str">
        <f>'Components Data Source'!C144</f>
        <v>FormulaAllCodeP4.fcpx</v>
      </c>
      <c r="D144" s="8" t="str">
        <f>'Components Data Source'!D144</f>
        <v>Components\IO_Source\FormulaFlowcode2\FA_Source_P4.fcfx</v>
      </c>
      <c r="E144" s="8" t="str">
        <f>'Components Data Source'!E144</f>
        <v>FREE</v>
      </c>
      <c r="F144" s="8" t="str">
        <f>'Components Data Source'!F144</f>
        <v>ROBOTICS</v>
      </c>
      <c r="G144" s="8">
        <f>'Components Data Source'!G144</f>
        <v>0</v>
      </c>
      <c r="H144" s="8">
        <f>'Components Data Source'!H144</f>
        <v>0</v>
      </c>
      <c r="I144" s="8">
        <f>'Components Data Source'!I144</f>
        <v>0</v>
      </c>
      <c r="J144" s="8">
        <f>'Components Data Source'!J144</f>
        <v>0</v>
      </c>
      <c r="K144" s="8">
        <f>'Components Data Source'!K144</f>
        <v>1</v>
      </c>
      <c r="L144" s="8">
        <f>'Components Data Source'!L144</f>
        <v>0</v>
      </c>
      <c r="M144" s="8" t="s">
        <v>1727</v>
      </c>
      <c r="N144" s="17" t="str">
        <f>HYPERLINK('Components Data Source'!M144)</f>
        <v>https://www.flowcode.co.uk/wiki/index.php?title=Component:_ID_e3be641a_8808_4138_bee5_805fbbce468c</v>
      </c>
      <c r="O144" s="8" t="s">
        <v>1721</v>
      </c>
      <c r="P144" s="8"/>
      <c r="Q144" s="8" t="str">
        <f t="shared" si="6"/>
        <v/>
      </c>
      <c r="R144" s="8" t="s">
        <v>1727</v>
      </c>
      <c r="S144" s="8"/>
      <c r="T144" s="8"/>
      <c r="U144" s="8"/>
      <c r="V144" s="8" t="s">
        <v>1730</v>
      </c>
      <c r="W144" s="8" t="s">
        <v>1730</v>
      </c>
      <c r="X144" s="8"/>
      <c r="Y144" s="8"/>
      <c r="Z144" s="18">
        <f t="shared" si="5"/>
        <v>2</v>
      </c>
      <c r="AA144" s="8"/>
      <c r="AB144" s="7"/>
      <c r="AC144" s="7"/>
      <c r="AD144" s="8" t="s">
        <v>1721</v>
      </c>
      <c r="AE144" s="8" t="s">
        <v>1721</v>
      </c>
      <c r="AF144" s="8" t="s">
        <v>2401</v>
      </c>
      <c r="AG144" s="8" t="s">
        <v>1721</v>
      </c>
      <c r="AH144" s="47"/>
      <c r="AI144" s="47">
        <f>VLOOKUP(B144,'Components Usage'!A$2:C$603,3,FALSE)</f>
        <v>7</v>
      </c>
      <c r="AJ144" s="28" t="s">
        <v>2401</v>
      </c>
    </row>
    <row r="145" spans="1:36" x14ac:dyDescent="0.25">
      <c r="A145" s="16" t="str">
        <f>'Components Data Source'!A145</f>
        <v>Formula Flowcode</v>
      </c>
      <c r="B145" s="8" t="str">
        <f>'Components Data Source'!B145</f>
        <v>9D5300AB-57AE-4483-8F18-04EC2007B406</v>
      </c>
      <c r="C145" s="41" t="str">
        <f>'Components Data Source'!C145</f>
        <v>FormulaFlowcode.fcpx</v>
      </c>
      <c r="D145" s="8" t="str">
        <f>'Components Data Source'!D145</f>
        <v>Components\IO_Source\mechatronics\FormulaFlowcode.fcfx</v>
      </c>
      <c r="E145" s="8" t="str">
        <f>'Components Data Source'!E145</f>
        <v>FREE</v>
      </c>
      <c r="F145" s="8" t="str">
        <f>'Components Data Source'!F145</f>
        <v>ROBOTICS</v>
      </c>
      <c r="G145" s="8">
        <f>'Components Data Source'!G145</f>
        <v>0</v>
      </c>
      <c r="H145" s="8">
        <f>'Components Data Source'!H145</f>
        <v>0</v>
      </c>
      <c r="I145" s="8">
        <f>'Components Data Source'!I145</f>
        <v>0</v>
      </c>
      <c r="J145" s="8">
        <f>'Components Data Source'!J145</f>
        <v>1</v>
      </c>
      <c r="K145" s="8">
        <f>'Components Data Source'!K145</f>
        <v>1</v>
      </c>
      <c r="L145" s="8">
        <f>'Components Data Source'!L145</f>
        <v>0</v>
      </c>
      <c r="M145" s="8" t="s">
        <v>1727</v>
      </c>
      <c r="N145" s="17" t="str">
        <f>HYPERLINK('Components Data Source'!M145)</f>
        <v>https://www.flowcode.co.uk/wiki/index.php?title=Component:_ID_9d5300ab_57ae_4483_8f18_04ec2007b406</v>
      </c>
      <c r="O145" s="8" t="s">
        <v>1721</v>
      </c>
      <c r="P145" s="8"/>
      <c r="Q145" s="8" t="str">
        <f t="shared" si="6"/>
        <v/>
      </c>
      <c r="R145" s="8" t="s">
        <v>1727</v>
      </c>
      <c r="S145" s="8"/>
      <c r="T145" s="8"/>
      <c r="U145" s="8"/>
      <c r="V145" s="8" t="s">
        <v>1730</v>
      </c>
      <c r="W145" s="8" t="s">
        <v>1730</v>
      </c>
      <c r="X145" s="8"/>
      <c r="Y145" s="8"/>
      <c r="Z145" s="18">
        <f t="shared" si="5"/>
        <v>2</v>
      </c>
      <c r="AA145" s="8"/>
      <c r="AB145" s="7"/>
      <c r="AC145" s="7"/>
      <c r="AD145" s="8" t="s">
        <v>1721</v>
      </c>
      <c r="AE145" s="8" t="s">
        <v>1721</v>
      </c>
      <c r="AF145" s="8" t="s">
        <v>2401</v>
      </c>
      <c r="AG145" s="8" t="s">
        <v>1721</v>
      </c>
      <c r="AH145" s="47"/>
      <c r="AI145" s="47">
        <f>VLOOKUP(B145,'Components Usage'!A$2:C$603,3,FALSE)</f>
        <v>3</v>
      </c>
      <c r="AJ145" s="28" t="s">
        <v>2401</v>
      </c>
    </row>
    <row r="146" spans="1:36" hidden="1" x14ac:dyDescent="0.25">
      <c r="A146" s="16" t="str">
        <f>'Components Data Source'!A146</f>
        <v>G Code Parser</v>
      </c>
      <c r="B146" s="8" t="str">
        <f>'Components Data Source'!B146</f>
        <v>1C2D5136-7F3E-45AE-ABF5-6A53D5D6CA03</v>
      </c>
      <c r="C146" s="41" t="str">
        <f>'Components Data Source'!C146</f>
        <v>GCodeParser.fcpx</v>
      </c>
      <c r="D146" s="8" t="str">
        <f>'Components Data Source'!D146</f>
        <v>Components\IO_Source\G-Code_Parser.fcfx</v>
      </c>
      <c r="E146" s="8" t="str">
        <f>'Components Data Source'!E146</f>
        <v>MECHATRONICS</v>
      </c>
      <c r="F146" s="8">
        <f>'Components Data Source'!F146</f>
        <v>0</v>
      </c>
      <c r="G146" s="8">
        <f>'Components Data Source'!G146</f>
        <v>0</v>
      </c>
      <c r="H146" s="8">
        <f>'Components Data Source'!H146</f>
        <v>0</v>
      </c>
      <c r="I146" s="8">
        <f>'Components Data Source'!I146</f>
        <v>0</v>
      </c>
      <c r="J146" s="8">
        <f>'Components Data Source'!J146</f>
        <v>1</v>
      </c>
      <c r="K146" s="8">
        <f>'Components Data Source'!K146</f>
        <v>0</v>
      </c>
      <c r="L146" s="8">
        <f>'Components Data Source'!L146</f>
        <v>1</v>
      </c>
      <c r="M146" s="8" t="s">
        <v>1727</v>
      </c>
      <c r="N146" s="17" t="str">
        <f>HYPERLINK('Components Data Source'!M146)</f>
        <v>https://www.flowcode.co.uk/wiki/index.php?title=Component:_ID_1c2d5136_7f3e_45ae_abf5_6a53d5d6ca03</v>
      </c>
      <c r="O146" s="8" t="s">
        <v>1721</v>
      </c>
      <c r="P146" s="8"/>
      <c r="Q146" s="8">
        <f t="shared" si="6"/>
        <v>1</v>
      </c>
      <c r="R146" s="8" t="s">
        <v>1727</v>
      </c>
      <c r="S146" s="8"/>
      <c r="T146" s="8"/>
      <c r="U146" s="8"/>
      <c r="V146" s="8" t="s">
        <v>1730</v>
      </c>
      <c r="W146" s="8" t="s">
        <v>1730</v>
      </c>
      <c r="X146" s="8"/>
      <c r="Y146" s="8"/>
      <c r="Z146" s="18">
        <f t="shared" si="5"/>
        <v>2</v>
      </c>
      <c r="AA146" s="8"/>
      <c r="AB146" s="7"/>
      <c r="AC146" s="7"/>
      <c r="AD146" s="8" t="s">
        <v>1721</v>
      </c>
      <c r="AE146" s="8" t="s">
        <v>1727</v>
      </c>
      <c r="AF146" s="8" t="s">
        <v>2401</v>
      </c>
      <c r="AG146" s="8" t="s">
        <v>1727</v>
      </c>
      <c r="AH146" s="47"/>
      <c r="AI146" s="47">
        <f>VLOOKUP(B146,'Components Usage'!A$2:C$603,3,FALSE)</f>
        <v>0</v>
      </c>
      <c r="AJ146" s="28" t="s">
        <v>2401</v>
      </c>
    </row>
    <row r="147" spans="1:36" hidden="1" x14ac:dyDescent="0.25">
      <c r="A147" s="16" t="str">
        <f>'Components Data Source'!A147</f>
        <v>Raspberry Pi HDMI</v>
      </c>
      <c r="B147" s="8" t="str">
        <f>'Components Data Source'!B147</f>
        <v>7C3895D3-0359-4B4C-8FA4-AB6314CD5FBF</v>
      </c>
      <c r="C147" s="41" t="str">
        <f>'Components Data Source'!C147</f>
        <v>GLCD_RPI.fcpx</v>
      </c>
      <c r="D147" s="8" t="str">
        <f>'Components Data Source'!D147</f>
        <v>Components\IO_Source\displays\glcd_RPi.fcfx</v>
      </c>
      <c r="E147" s="8" t="str">
        <f>'Components Data Source'!E147</f>
        <v>DISPLAYS</v>
      </c>
      <c r="F147" s="8" t="str">
        <f>'Components Data Source'!F147</f>
        <v>GRAPHICAL COLOR</v>
      </c>
      <c r="G147" s="8">
        <f>'Components Data Source'!G147</f>
        <v>0</v>
      </c>
      <c r="H147" s="8">
        <f>'Components Data Source'!H147</f>
        <v>0</v>
      </c>
      <c r="I147" s="8">
        <f>'Components Data Source'!I147</f>
        <v>0</v>
      </c>
      <c r="J147" s="8">
        <f>'Components Data Source'!J147</f>
        <v>1</v>
      </c>
      <c r="K147" s="8">
        <f>'Components Data Source'!K147</f>
        <v>1</v>
      </c>
      <c r="L147" s="8">
        <f>'Components Data Source'!L147</f>
        <v>0</v>
      </c>
      <c r="M147" s="8" t="s">
        <v>1727</v>
      </c>
      <c r="N147" s="17" t="str">
        <f>HYPERLINK('Components Data Source'!M147)</f>
        <v>https://www.flowcode.co.uk/wiki/index.php?title=Component:_ID_7c3895d3_0359_4b4c_8fa4_ab6314cd5fbf</v>
      </c>
      <c r="O147" s="8" t="s">
        <v>1721</v>
      </c>
      <c r="P147" s="8"/>
      <c r="Q147" s="8" t="str">
        <f t="shared" si="6"/>
        <v/>
      </c>
      <c r="R147" s="8" t="s">
        <v>1727</v>
      </c>
      <c r="S147" s="8"/>
      <c r="T147" s="8"/>
      <c r="U147" s="8"/>
      <c r="V147" s="8" t="s">
        <v>1730</v>
      </c>
      <c r="W147" s="8" t="s">
        <v>1730</v>
      </c>
      <c r="X147" s="8"/>
      <c r="Y147" s="8"/>
      <c r="Z147" s="18">
        <f t="shared" si="5"/>
        <v>2</v>
      </c>
      <c r="AA147" s="8"/>
      <c r="AB147" s="7"/>
      <c r="AC147" s="7"/>
      <c r="AD147" s="8" t="s">
        <v>1721</v>
      </c>
      <c r="AE147" s="8" t="s">
        <v>1727</v>
      </c>
      <c r="AF147" s="8" t="s">
        <v>2401</v>
      </c>
      <c r="AG147" s="8" t="s">
        <v>1727</v>
      </c>
      <c r="AH147" s="47"/>
      <c r="AI147" s="47">
        <f>VLOOKUP(B147,'Components Usage'!A$2:C$603,3,FALSE)</f>
        <v>2</v>
      </c>
      <c r="AJ147" s="28" t="s">
        <v>2401</v>
      </c>
    </row>
    <row r="148" spans="1:36" hidden="1" x14ac:dyDescent="0.25">
      <c r="A148" s="16" t="str">
        <f>'Components Data Source'!A148</f>
        <v>GLCD (STM32F429ZI)</v>
      </c>
      <c r="B148" s="8" t="str">
        <f>'Components Data Source'!B148</f>
        <v>A00B9A94-9608-4208-AF26-68A94DAB336B</v>
      </c>
      <c r="C148" s="41" t="str">
        <f>'Components Data Source'!C148</f>
        <v>GLCD_STM32F429ZI.fcpx</v>
      </c>
      <c r="D148" s="8" t="str">
        <f>'Components Data Source'!D148</f>
        <v>Components\IO_Source\displays\glcd_STM32F429ZI.fcfx</v>
      </c>
      <c r="E148" s="8" t="str">
        <f>'Components Data Source'!E148</f>
        <v>DISPLAYS</v>
      </c>
      <c r="F148" s="8" t="str">
        <f>'Components Data Source'!F148</f>
        <v>GRAPHICAL COLOR</v>
      </c>
      <c r="G148" s="8">
        <f>'Components Data Source'!G148</f>
        <v>0</v>
      </c>
      <c r="H148" s="8">
        <f>'Components Data Source'!H148</f>
        <v>0</v>
      </c>
      <c r="I148" s="8">
        <f>'Components Data Source'!I148</f>
        <v>0</v>
      </c>
      <c r="J148" s="8">
        <f>'Components Data Source'!J148</f>
        <v>1</v>
      </c>
      <c r="K148" s="8">
        <f>'Components Data Source'!K148</f>
        <v>1</v>
      </c>
      <c r="L148" s="8">
        <f>'Components Data Source'!L148</f>
        <v>0</v>
      </c>
      <c r="M148" s="8" t="s">
        <v>1727</v>
      </c>
      <c r="N148" s="17" t="str">
        <f>HYPERLINK('Components Data Source'!M148)</f>
        <v>https://www.flowcode.co.uk/wiki/index.php?title=Component:_ID_a00b9a94_9608_4208_af26_68a94dab336b</v>
      </c>
      <c r="O148" s="8" t="s">
        <v>1721</v>
      </c>
      <c r="P148" s="8"/>
      <c r="Q148" s="8" t="str">
        <f t="shared" si="6"/>
        <v/>
      </c>
      <c r="R148" s="8" t="s">
        <v>1727</v>
      </c>
      <c r="S148" s="8"/>
      <c r="T148" s="8"/>
      <c r="U148" s="8"/>
      <c r="V148" s="8" t="s">
        <v>1730</v>
      </c>
      <c r="W148" s="8" t="s">
        <v>1730</v>
      </c>
      <c r="X148" s="8"/>
      <c r="Y148" s="8"/>
      <c r="Z148" s="18">
        <f t="shared" si="5"/>
        <v>2</v>
      </c>
      <c r="AA148" s="8"/>
      <c r="AB148" s="7"/>
      <c r="AC148" s="7"/>
      <c r="AD148" s="8" t="s">
        <v>1721</v>
      </c>
      <c r="AE148" s="8" t="s">
        <v>1721</v>
      </c>
      <c r="AF148" s="8" t="s">
        <v>1727</v>
      </c>
      <c r="AG148" s="8" t="s">
        <v>1721</v>
      </c>
      <c r="AH148" s="47"/>
      <c r="AI148" s="47">
        <f>VLOOKUP(B148,'Components Usage'!A$2:C$603,3,FALSE)</f>
        <v>0</v>
      </c>
      <c r="AJ148" s="28" t="s">
        <v>2401</v>
      </c>
    </row>
    <row r="149" spans="1:36" hidden="1" x14ac:dyDescent="0.25">
      <c r="A149" s="16" t="str">
        <f>'Components Data Source'!A149</f>
        <v>GPS (EB056 Generic NMEA)</v>
      </c>
      <c r="B149" s="8" t="str">
        <f>'Components Data Source'!B149</f>
        <v>575A3A3F-09B8-46BE-8069-C4D1894D7E7E</v>
      </c>
      <c r="C149" s="41" t="str">
        <f>'Components Data Source'!C149</f>
        <v>GPS.fcpx</v>
      </c>
      <c r="D149" s="8" t="str">
        <f>'Components Data Source'!D149</f>
        <v>Components\IO_Source\GPS.fcfx</v>
      </c>
      <c r="E149" s="8" t="str">
        <f>'Components Data Source'!E149</f>
        <v>COMMSB</v>
      </c>
      <c r="F149" s="8" t="str">
        <f>'Components Data Source'!F149</f>
        <v>WIRELESS</v>
      </c>
      <c r="G149" s="8">
        <f>'Components Data Source'!G149</f>
        <v>0</v>
      </c>
      <c r="H149" s="8">
        <f>'Components Data Source'!H149</f>
        <v>0</v>
      </c>
      <c r="I149" s="8" t="str">
        <f>'Components Data Source'!I149</f>
        <v xml:space="preserve">UART </v>
      </c>
      <c r="J149" s="8">
        <f>'Components Data Source'!J149</f>
        <v>1</v>
      </c>
      <c r="K149" s="8">
        <f>'Components Data Source'!K149</f>
        <v>1</v>
      </c>
      <c r="L149" s="8">
        <f>'Components Data Source'!L149</f>
        <v>0</v>
      </c>
      <c r="M149" s="8" t="s">
        <v>1727</v>
      </c>
      <c r="N149" s="17" t="str">
        <f>HYPERLINK('Components Data Source'!M149)</f>
        <v>https://www.flowcode.co.uk/wiki/index.php?title=Component:_ID_575a3a3f_09b8_46be_8069_c4d1894d7e7e</v>
      </c>
      <c r="O149" s="8" t="s">
        <v>1721</v>
      </c>
      <c r="P149" s="8"/>
      <c r="Q149" s="8" t="str">
        <f t="shared" si="6"/>
        <v/>
      </c>
      <c r="R149" s="1" t="s">
        <v>1721</v>
      </c>
      <c r="S149" s="1" t="s">
        <v>1721</v>
      </c>
      <c r="T149" s="1" t="s">
        <v>1721</v>
      </c>
      <c r="U149" s="1"/>
      <c r="V149" s="1" t="s">
        <v>1731</v>
      </c>
      <c r="W149" s="1" t="s">
        <v>1183</v>
      </c>
      <c r="X149" s="1" t="s">
        <v>1721</v>
      </c>
      <c r="Y149" s="8" t="s">
        <v>1721</v>
      </c>
      <c r="Z149" s="18">
        <f t="shared" si="5"/>
        <v>1</v>
      </c>
      <c r="AA149" s="8" t="s">
        <v>1727</v>
      </c>
      <c r="AB149" s="6" t="s">
        <v>2516</v>
      </c>
      <c r="AC149" s="6" t="s">
        <v>2439</v>
      </c>
      <c r="AD149" s="8" t="s">
        <v>1721</v>
      </c>
      <c r="AE149" s="8" t="s">
        <v>1721</v>
      </c>
      <c r="AF149" s="8" t="s">
        <v>1727</v>
      </c>
      <c r="AG149" s="8" t="s">
        <v>1721</v>
      </c>
      <c r="AH149" s="47"/>
      <c r="AI149" s="47">
        <f>VLOOKUP(B149,'Components Usage'!A$2:C$603,3,FALSE)</f>
        <v>11</v>
      </c>
      <c r="AJ149" s="28" t="s">
        <v>2401</v>
      </c>
    </row>
    <row r="150" spans="1:36" hidden="1" x14ac:dyDescent="0.25">
      <c r="A150" s="16" t="str">
        <f>'Components Data Source'!A150</f>
        <v>GSM (EB066 Generic AT)</v>
      </c>
      <c r="B150" s="8" t="str">
        <f>'Components Data Source'!B150</f>
        <v>0D02CCFD-4CDA-42B8-91D8-5392F491F9AF</v>
      </c>
      <c r="C150" s="41" t="str">
        <f>'Components Data Source'!C150</f>
        <v>GSM.fcpx</v>
      </c>
      <c r="D150" s="8" t="str">
        <f>'Components Data Source'!D150</f>
        <v>Components\IO_Source\GSM.fcfx</v>
      </c>
      <c r="E150" s="8" t="str">
        <f>'Components Data Source'!E150</f>
        <v>COMMSB</v>
      </c>
      <c r="F150" s="8" t="str">
        <f>'Components Data Source'!F150</f>
        <v>WIRELESS</v>
      </c>
      <c r="G150" s="8">
        <f>'Components Data Source'!G150</f>
        <v>0</v>
      </c>
      <c r="H150" s="8">
        <f>'Components Data Source'!H150</f>
        <v>0</v>
      </c>
      <c r="I150" s="8" t="str">
        <f>'Components Data Source'!I150</f>
        <v xml:space="preserve">UART </v>
      </c>
      <c r="J150" s="8">
        <f>'Components Data Source'!J150</f>
        <v>1</v>
      </c>
      <c r="K150" s="8">
        <f>'Components Data Source'!K150</f>
        <v>1</v>
      </c>
      <c r="L150" s="8">
        <f>'Components Data Source'!L150</f>
        <v>0</v>
      </c>
      <c r="M150" s="8" t="s">
        <v>1727</v>
      </c>
      <c r="N150" s="17" t="str">
        <f>HYPERLINK('Components Data Source'!M150)</f>
        <v>https://www.flowcode.co.uk/wiki/index.php?title=Component:_ID_0d02ccfd_4cda_42b8_91d8_5392f491f9af</v>
      </c>
      <c r="O150" s="8" t="s">
        <v>1721</v>
      </c>
      <c r="P150" s="8"/>
      <c r="Q150" s="8" t="str">
        <f t="shared" si="6"/>
        <v/>
      </c>
      <c r="R150" s="1" t="s">
        <v>1721</v>
      </c>
      <c r="S150" s="1" t="s">
        <v>1721</v>
      </c>
      <c r="T150" s="1" t="s">
        <v>1721</v>
      </c>
      <c r="U150" s="1"/>
      <c r="V150" s="1" t="s">
        <v>1731</v>
      </c>
      <c r="W150" s="1" t="s">
        <v>1183</v>
      </c>
      <c r="X150" s="1" t="s">
        <v>1721</v>
      </c>
      <c r="Y150" s="8" t="s">
        <v>1721</v>
      </c>
      <c r="Z150" s="18">
        <f t="shared" si="5"/>
        <v>1</v>
      </c>
      <c r="AA150" s="8"/>
      <c r="AB150" s="6" t="s">
        <v>2441</v>
      </c>
      <c r="AC150" s="7"/>
      <c r="AD150" s="8" t="s">
        <v>1721</v>
      </c>
      <c r="AE150" s="8" t="s">
        <v>1721</v>
      </c>
      <c r="AF150" s="8" t="s">
        <v>1727</v>
      </c>
      <c r="AG150" s="8" t="s">
        <v>1727</v>
      </c>
      <c r="AH150" s="47"/>
      <c r="AI150" s="47">
        <f>VLOOKUP(B150,'Components Usage'!A$2:C$603,3,FALSE)</f>
        <v>32</v>
      </c>
      <c r="AJ150" s="28" t="s">
        <v>2401</v>
      </c>
    </row>
    <row r="151" spans="1:36" x14ac:dyDescent="0.25">
      <c r="A151" s="16" t="str">
        <f>'Components Data Source'!A151</f>
        <v>GameCode</v>
      </c>
      <c r="B151" s="8" t="str">
        <f>'Components Data Source'!B151</f>
        <v>B5665F5D-809D-4BD8-A79B-411F893BEC16</v>
      </c>
      <c r="C151" s="41" t="str">
        <f>'Components Data Source'!C151</f>
        <v>GameCode.fcpx</v>
      </c>
      <c r="D151" s="8" t="str">
        <f>'Components Data Source'!D151</f>
        <v>Components\IO_Source\GameCode\GameCode_Master.fcfx</v>
      </c>
      <c r="E151" s="8" t="str">
        <f>'Components Data Source'!E151</f>
        <v>FREE</v>
      </c>
      <c r="F151" s="8" t="str">
        <f>'Components Data Source'!F151</f>
        <v>MISC CIRCUIT</v>
      </c>
      <c r="G151" s="8">
        <f>'Components Data Source'!G151</f>
        <v>0</v>
      </c>
      <c r="H151" s="8">
        <f>'Components Data Source'!H151</f>
        <v>0</v>
      </c>
      <c r="I151" s="8" t="str">
        <f>'Components Data Source'!I151</f>
        <v xml:space="preserve">UART SPI SPI </v>
      </c>
      <c r="J151" s="8">
        <f>'Components Data Source'!J151</f>
        <v>1</v>
      </c>
      <c r="K151" s="8">
        <f>'Components Data Source'!K151</f>
        <v>1</v>
      </c>
      <c r="L151" s="8">
        <f>'Components Data Source'!L151</f>
        <v>0</v>
      </c>
      <c r="M151" s="8" t="s">
        <v>1727</v>
      </c>
      <c r="N151" s="17" t="str">
        <f>HYPERLINK('Components Data Source'!M151)</f>
        <v>https://www.flowcode.co.uk/wiki/index.php?title=Component:_ID_b5665f5d_809d_4bd8_a79b_411f893bec16</v>
      </c>
      <c r="O151" s="8" t="s">
        <v>1721</v>
      </c>
      <c r="P151" s="8"/>
      <c r="Q151" s="8" t="str">
        <f t="shared" si="6"/>
        <v/>
      </c>
      <c r="R151" s="8" t="s">
        <v>1727</v>
      </c>
      <c r="S151" s="8"/>
      <c r="T151" s="8"/>
      <c r="U151" s="8"/>
      <c r="V151" s="8" t="s">
        <v>1730</v>
      </c>
      <c r="W151" s="8" t="s">
        <v>1730</v>
      </c>
      <c r="X151" s="8"/>
      <c r="Y151" s="8"/>
      <c r="Z151" s="18">
        <f t="shared" si="5"/>
        <v>2</v>
      </c>
      <c r="AA151" s="8"/>
      <c r="AB151" s="7"/>
      <c r="AC151" s="7"/>
      <c r="AD151" s="8" t="s">
        <v>1727</v>
      </c>
      <c r="AE151" s="8"/>
      <c r="AF151" s="8" t="s">
        <v>2401</v>
      </c>
      <c r="AG151" s="8" t="s">
        <v>1721</v>
      </c>
      <c r="AH151" s="47"/>
      <c r="AI151" s="47">
        <f>VLOOKUP(B151,'Components Usage'!A$2:C$603,3,FALSE)</f>
        <v>4</v>
      </c>
      <c r="AJ151" s="28"/>
    </row>
    <row r="152" spans="1:36" hidden="1" x14ac:dyDescent="0.25">
      <c r="A152" s="16" t="str">
        <f>'Components Data Source'!A152</f>
        <v>Gearbox</v>
      </c>
      <c r="B152" s="8" t="str">
        <f>'Components Data Source'!B152</f>
        <v>BFA45502-F9D6-4B53-A239-B5731F9288D5</v>
      </c>
      <c r="C152" s="41" t="str">
        <f>'Components Data Source'!C152</f>
        <v>Gearbox.fcpx</v>
      </c>
      <c r="D152" s="8" t="str">
        <f>'Components Data Source'!D152</f>
        <v>Components\IO_Source\mechatronics\GearBox.fcfx</v>
      </c>
      <c r="E152" s="8" t="str">
        <f>'Components Data Source'!E152</f>
        <v>MECHATRONICS</v>
      </c>
      <c r="F152" s="8" t="str">
        <f>'Components Data Source'!F152</f>
        <v>MECHATRONICS</v>
      </c>
      <c r="G152" s="8">
        <f>'Components Data Source'!G152</f>
        <v>0</v>
      </c>
      <c r="H152" s="8">
        <f>'Components Data Source'!H152</f>
        <v>0</v>
      </c>
      <c r="I152" s="8">
        <f>'Components Data Source'!I152</f>
        <v>0</v>
      </c>
      <c r="J152" s="8">
        <f>'Components Data Source'!J152</f>
        <v>1</v>
      </c>
      <c r="K152" s="8">
        <f>'Components Data Source'!K152</f>
        <v>1</v>
      </c>
      <c r="L152" s="8">
        <f>'Components Data Source'!L152</f>
        <v>0</v>
      </c>
      <c r="M152" s="8" t="s">
        <v>1727</v>
      </c>
      <c r="N152" s="17" t="str">
        <f>HYPERLINK('Components Data Source'!M152)</f>
        <v>https://www.flowcode.co.uk/wiki/index.php?title=Component:_ID_bfa45502_f9d6_4b53_a239_b5731f9288d5</v>
      </c>
      <c r="O152" s="8" t="s">
        <v>1721</v>
      </c>
      <c r="P152" s="8"/>
      <c r="Q152" s="8" t="str">
        <f t="shared" si="6"/>
        <v/>
      </c>
      <c r="R152" s="8" t="s">
        <v>1727</v>
      </c>
      <c r="S152" s="8"/>
      <c r="T152" s="8"/>
      <c r="U152" s="8"/>
      <c r="V152" s="8" t="s">
        <v>1730</v>
      </c>
      <c r="W152" s="8" t="s">
        <v>1730</v>
      </c>
      <c r="X152" s="8"/>
      <c r="Y152" s="8"/>
      <c r="Z152" s="18">
        <f t="shared" si="5"/>
        <v>2</v>
      </c>
      <c r="AA152" s="8"/>
      <c r="AB152" s="7"/>
      <c r="AC152" s="7"/>
      <c r="AD152" s="8" t="s">
        <v>1721</v>
      </c>
      <c r="AE152" s="8" t="s">
        <v>1727</v>
      </c>
      <c r="AF152" s="8" t="s">
        <v>2401</v>
      </c>
      <c r="AG152" s="8" t="s">
        <v>1727</v>
      </c>
      <c r="AH152" s="47"/>
      <c r="AI152" s="47">
        <f>VLOOKUP(B152,'Components Usage'!A$2:C$603,3,FALSE)</f>
        <v>0</v>
      </c>
      <c r="AJ152" s="28" t="s">
        <v>2401</v>
      </c>
    </row>
    <row r="153" spans="1:36" hidden="1" x14ac:dyDescent="0.25">
      <c r="A153" s="16" t="str">
        <f>'Components Data Source'!A153</f>
        <v>GLCD Graph Creator</v>
      </c>
      <c r="B153" s="8" t="str">
        <f>'Components Data Source'!B153</f>
        <v>D4994410-CA95-4D1C-8D57-542D48A21D58</v>
      </c>
      <c r="C153" s="41" t="str">
        <f>'Components Data Source'!C153</f>
        <v>GraphCreator.fcpx</v>
      </c>
      <c r="D153" s="8" t="str">
        <f>'Components Data Source'!D153</f>
        <v>Components\IO_Source\displays\GLCD_Graph.fcfx</v>
      </c>
      <c r="E153" s="8" t="str">
        <f>'Components Data Source'!E153</f>
        <v>DISPLAYS</v>
      </c>
      <c r="F153" s="8" t="str">
        <f>'Components Data Source'!F153</f>
        <v>GRAPHICAL LIBRARY</v>
      </c>
      <c r="G153" s="8">
        <f>'Components Data Source'!G153</f>
        <v>0</v>
      </c>
      <c r="H153" s="8">
        <f>'Components Data Source'!H153</f>
        <v>0</v>
      </c>
      <c r="I153" s="8">
        <f>'Components Data Source'!I153</f>
        <v>0</v>
      </c>
      <c r="J153" s="8">
        <f>'Components Data Source'!J153</f>
        <v>1</v>
      </c>
      <c r="K153" s="8">
        <f>'Components Data Source'!K153</f>
        <v>1</v>
      </c>
      <c r="L153" s="8">
        <f>'Components Data Source'!L153</f>
        <v>1</v>
      </c>
      <c r="M153" s="8" t="s">
        <v>1727</v>
      </c>
      <c r="N153" s="17" t="str">
        <f>HYPERLINK('Components Data Source'!M153)</f>
        <v>https://www.flowcode.co.uk/wiki/index.php?title=Component:_ID_d4994410_ca95_4d1c_8d57_542d48a21d58</v>
      </c>
      <c r="O153" s="8" t="s">
        <v>1721</v>
      </c>
      <c r="P153" s="8"/>
      <c r="Q153" s="8" t="str">
        <f t="shared" si="6"/>
        <v/>
      </c>
      <c r="R153" s="8" t="s">
        <v>1721</v>
      </c>
      <c r="S153" s="8" t="s">
        <v>1721</v>
      </c>
      <c r="T153" s="8" t="s">
        <v>1727</v>
      </c>
      <c r="U153" s="8" t="s">
        <v>1727</v>
      </c>
      <c r="V153" s="8" t="s">
        <v>1731</v>
      </c>
      <c r="W153" s="8" t="s">
        <v>1731</v>
      </c>
      <c r="X153" s="8" t="s">
        <v>1721</v>
      </c>
      <c r="Y153" s="8"/>
      <c r="Z153" s="18">
        <f t="shared" si="5"/>
        <v>0</v>
      </c>
      <c r="AA153" s="8"/>
      <c r="AB153" s="7"/>
      <c r="AC153" s="7"/>
      <c r="AD153" s="8" t="s">
        <v>1721</v>
      </c>
      <c r="AE153" s="8" t="s">
        <v>1721</v>
      </c>
      <c r="AF153" s="8" t="s">
        <v>2401</v>
      </c>
      <c r="AG153" s="8" t="s">
        <v>1721</v>
      </c>
      <c r="AH153" s="47"/>
      <c r="AI153" s="47">
        <f>VLOOKUP(B153,'Components Usage'!A$2:C$603,3,FALSE)</f>
        <v>6</v>
      </c>
      <c r="AJ153" s="28" t="s">
        <v>2401</v>
      </c>
    </row>
    <row r="154" spans="1:36" hidden="1" x14ac:dyDescent="0.25">
      <c r="A154" s="16" t="str">
        <f>'Components Data Source'!A154</f>
        <v>Grey Code Encoder</v>
      </c>
      <c r="B154" s="8" t="str">
        <f>'Components Data Source'!B154</f>
        <v>0E4CB9C6-10D4-416F-BC27-5F8F7BC746B4</v>
      </c>
      <c r="C154" s="41" t="str">
        <f>'Components Data Source'!C154</f>
        <v>GreyCodeEncoder.fcpx</v>
      </c>
      <c r="D154" s="8" t="str">
        <f>'Components Data Source'!D154</f>
        <v>Components\IO_Source\mechatronics\Grey Code Encoder.fcfx</v>
      </c>
      <c r="E154" s="8" t="str">
        <f>'Components Data Source'!E154</f>
        <v>MECHATRONICS</v>
      </c>
      <c r="F154" s="8" t="str">
        <f>'Components Data Source'!F154</f>
        <v>GENERAL INPUT</v>
      </c>
      <c r="G154" s="8">
        <f>'Components Data Source'!G154</f>
        <v>0</v>
      </c>
      <c r="H154" s="8">
        <f>'Components Data Source'!H154</f>
        <v>0</v>
      </c>
      <c r="I154" s="8">
        <f>'Components Data Source'!I154</f>
        <v>0</v>
      </c>
      <c r="J154" s="8">
        <f>'Components Data Source'!J154</f>
        <v>1</v>
      </c>
      <c r="K154" s="8">
        <f>'Components Data Source'!K154</f>
        <v>1</v>
      </c>
      <c r="L154" s="8">
        <f>'Components Data Source'!L154</f>
        <v>0</v>
      </c>
      <c r="M154" s="8" t="s">
        <v>1727</v>
      </c>
      <c r="N154" s="17" t="str">
        <f>HYPERLINK('Components Data Source'!M154)</f>
        <v>https://www.flowcode.co.uk/wiki/index.php?title=Component:_ID_0e4cb9c6_10d4_416f_bc27_5f8f7bc746b4</v>
      </c>
      <c r="O154" s="8" t="s">
        <v>1721</v>
      </c>
      <c r="P154" s="8"/>
      <c r="Q154" s="8" t="str">
        <f t="shared" si="6"/>
        <v/>
      </c>
      <c r="R154" s="8" t="s">
        <v>1727</v>
      </c>
      <c r="S154" s="8"/>
      <c r="T154" s="8"/>
      <c r="U154" s="8"/>
      <c r="V154" s="8" t="s">
        <v>1730</v>
      </c>
      <c r="W154" s="8" t="s">
        <v>1730</v>
      </c>
      <c r="X154" s="8"/>
      <c r="Y154" s="8"/>
      <c r="Z154" s="18">
        <f t="shared" si="5"/>
        <v>2</v>
      </c>
      <c r="AA154" s="8"/>
      <c r="AB154" s="7"/>
      <c r="AC154" s="7"/>
      <c r="AD154" s="8" t="s">
        <v>1721</v>
      </c>
      <c r="AE154" s="8" t="s">
        <v>1727</v>
      </c>
      <c r="AF154" s="8" t="s">
        <v>1727</v>
      </c>
      <c r="AG154" s="8" t="s">
        <v>1727</v>
      </c>
      <c r="AH154" s="47"/>
      <c r="AI154" s="47">
        <f>VLOOKUP(B154,'Components Usage'!A$2:C$603,3,FALSE)</f>
        <v>3</v>
      </c>
      <c r="AJ154" s="28" t="s">
        <v>2401</v>
      </c>
    </row>
    <row r="155" spans="1:36" hidden="1" x14ac:dyDescent="0.25">
      <c r="A155" s="16" t="str">
        <f>'Components Data Source'!A155</f>
        <v>Temperature Infrared(Grove 101020062)</v>
      </c>
      <c r="B155" s="8" t="str">
        <f>'Components Data Source'!B155</f>
        <v>05ACF53C-0B2E-4D26-8D5D-F112D4CE4C68</v>
      </c>
      <c r="C155" s="41" t="str">
        <f>'Components Data Source'!C155</f>
        <v>GroveIRTemp.fcpx</v>
      </c>
      <c r="D155" s="8" t="str">
        <f>'Components Data Source'!D155</f>
        <v>Components\IO_Source\Sensors\GroveIRTemp.fcfx</v>
      </c>
      <c r="E155" s="8" t="str">
        <f>'Components Data Source'!E155</f>
        <v>SENSORS</v>
      </c>
      <c r="F155" s="8" t="str">
        <f>'Components Data Source'!F155</f>
        <v>ENVIRONMENTAL</v>
      </c>
      <c r="G155" s="8">
        <f>'Components Data Source'!G155</f>
        <v>0</v>
      </c>
      <c r="H155" s="8">
        <f>'Components Data Source'!H155</f>
        <v>0</v>
      </c>
      <c r="I155" s="8">
        <f>'Components Data Source'!I155</f>
        <v>0</v>
      </c>
      <c r="J155" s="8">
        <f>'Components Data Source'!J155</f>
        <v>1</v>
      </c>
      <c r="K155" s="8">
        <f>'Components Data Source'!K155</f>
        <v>1</v>
      </c>
      <c r="L155" s="8">
        <f>'Components Data Source'!L155</f>
        <v>0</v>
      </c>
      <c r="M155" s="8" t="s">
        <v>1727</v>
      </c>
      <c r="N155" s="17" t="str">
        <f>HYPERLINK('Components Data Source'!M155)</f>
        <v>https://www.flowcode.co.uk/wiki/index.php?title=Component:_ID_05acf53c_0b2e_4d26_8d5d_f112d4ce4c68</v>
      </c>
      <c r="O155" s="8" t="s">
        <v>1721</v>
      </c>
      <c r="P155" s="8"/>
      <c r="Q155" s="8" t="str">
        <f t="shared" si="6"/>
        <v/>
      </c>
      <c r="R155" s="1" t="s">
        <v>1721</v>
      </c>
      <c r="S155" s="1" t="s">
        <v>1721</v>
      </c>
      <c r="T155" s="1" t="s">
        <v>1727</v>
      </c>
      <c r="U155" s="1"/>
      <c r="V155" s="1" t="s">
        <v>1731</v>
      </c>
      <c r="W155" s="1" t="s">
        <v>1731</v>
      </c>
      <c r="X155" s="1" t="s">
        <v>1721</v>
      </c>
      <c r="Y155" s="8" t="s">
        <v>1721</v>
      </c>
      <c r="Z155" s="18">
        <f t="shared" si="5"/>
        <v>1</v>
      </c>
      <c r="AA155" s="8"/>
      <c r="AB155" s="7"/>
      <c r="AC155" s="7"/>
      <c r="AD155" s="8" t="s">
        <v>1721</v>
      </c>
      <c r="AE155" s="8" t="s">
        <v>1727</v>
      </c>
      <c r="AF155" s="8" t="s">
        <v>1727</v>
      </c>
      <c r="AG155" s="8" t="s">
        <v>1727</v>
      </c>
      <c r="AH155" s="47"/>
      <c r="AI155" s="47">
        <f>VLOOKUP(B155,'Components Usage'!A$2:C$603,3,FALSE)</f>
        <v>0</v>
      </c>
      <c r="AJ155" s="28" t="s">
        <v>2401</v>
      </c>
    </row>
    <row r="156" spans="1:36" ht="30" hidden="1" x14ac:dyDescent="0.25">
      <c r="A156" s="16" t="str">
        <f>'Components Data Source'!A156</f>
        <v>Accel / Gyro 6-Axis (Grove 105020012)</v>
      </c>
      <c r="B156" s="8" t="str">
        <f>'Components Data Source'!B156</f>
        <v>940AD7E9-ABAB-434F-A5E3-FF50E2FDF962</v>
      </c>
      <c r="C156" s="41" t="str">
        <f>'Components Data Source'!C156</f>
        <v>Grove_Accelerometer_Gyroscope.fcpx</v>
      </c>
      <c r="D156" s="8" t="str">
        <f>'Components Data Source'!D156</f>
        <v>Components\IO_Source\Grove\6-Axis Accelerometer &amp; Gyroscope.fcfx</v>
      </c>
      <c r="E156" s="8" t="str">
        <f>'Components Data Source'!E156</f>
        <v>SENSORS</v>
      </c>
      <c r="F156" s="8" t="str">
        <f>'Components Data Source'!F156</f>
        <v>MOVEMENT &amp;AMP; ORIENTATION</v>
      </c>
      <c r="G156" s="8">
        <f>'Components Data Source'!G156</f>
        <v>0</v>
      </c>
      <c r="H156" s="8">
        <f>'Components Data Source'!H156</f>
        <v>0</v>
      </c>
      <c r="I156" s="8" t="str">
        <f>'Components Data Source'!I156</f>
        <v xml:space="preserve">I2C </v>
      </c>
      <c r="J156" s="8">
        <f>'Components Data Source'!J156</f>
        <v>1</v>
      </c>
      <c r="K156" s="8">
        <f>'Components Data Source'!K156</f>
        <v>1</v>
      </c>
      <c r="L156" s="8">
        <f>'Components Data Source'!L156</f>
        <v>1</v>
      </c>
      <c r="M156" s="8" t="s">
        <v>1727</v>
      </c>
      <c r="N156" s="17" t="str">
        <f>HYPERLINK('Components Data Source'!M156)</f>
        <v>https://www.flowcode.co.uk/wiki/index.php?title=Component:_ID_940ad7e9_abab_434f_a5e3_ff50e2fdf962</v>
      </c>
      <c r="O156" s="8" t="s">
        <v>1721</v>
      </c>
      <c r="P156" s="8" t="s">
        <v>2774</v>
      </c>
      <c r="Q156" s="8" t="str">
        <f t="shared" si="6"/>
        <v/>
      </c>
      <c r="R156" s="8" t="s">
        <v>1721</v>
      </c>
      <c r="S156" s="8" t="s">
        <v>1721</v>
      </c>
      <c r="T156" s="8" t="s">
        <v>1721</v>
      </c>
      <c r="U156" s="8" t="s">
        <v>1721</v>
      </c>
      <c r="V156" s="8" t="s">
        <v>1731</v>
      </c>
      <c r="W156" s="8" t="s">
        <v>1175</v>
      </c>
      <c r="X156" s="8" t="s">
        <v>1721</v>
      </c>
      <c r="Y156" s="8" t="s">
        <v>2401</v>
      </c>
      <c r="Z156" s="18">
        <f t="shared" si="5"/>
        <v>3</v>
      </c>
      <c r="AA156" s="8"/>
      <c r="AB156" s="7" t="s">
        <v>2402</v>
      </c>
      <c r="AC156" s="7"/>
      <c r="AD156" s="8" t="s">
        <v>1721</v>
      </c>
      <c r="AE156" s="8" t="s">
        <v>1727</v>
      </c>
      <c r="AF156" s="8" t="s">
        <v>1727</v>
      </c>
      <c r="AG156" s="8" t="s">
        <v>1727</v>
      </c>
      <c r="AH156" s="47"/>
      <c r="AI156" s="47">
        <f>VLOOKUP(B156,'Components Usage'!A$2:C$603,3,FALSE)</f>
        <v>0</v>
      </c>
      <c r="AJ156" s="28" t="s">
        <v>2401</v>
      </c>
    </row>
    <row r="157" spans="1:36" ht="30" hidden="1" x14ac:dyDescent="0.25">
      <c r="A157" s="16" t="str">
        <f>'Components Data Source'!A157</f>
        <v>Barometer (Grove 101020192)</v>
      </c>
      <c r="B157" s="8" t="str">
        <f>'Components Data Source'!B157</f>
        <v>B52758BF-4466-48C0-8054-33EE4B11E82B</v>
      </c>
      <c r="C157" s="41" t="str">
        <f>'Components Data Source'!C157</f>
        <v>Grove_Barometer_Sensor_BMP280.fcpx</v>
      </c>
      <c r="D157" s="8" t="str">
        <f>'Components Data Source'!D157</f>
        <v>Components\IO_Source\Grove\Grove Barometer Sensor BMP280.fcfx</v>
      </c>
      <c r="E157" s="8" t="str">
        <f>'Components Data Source'!E157</f>
        <v>SENSORS</v>
      </c>
      <c r="F157" s="8" t="str">
        <f>'Components Data Source'!F157</f>
        <v>ENVIRONMENTAL</v>
      </c>
      <c r="G157" s="8">
        <f>'Components Data Source'!G157</f>
        <v>0</v>
      </c>
      <c r="H157" s="8">
        <f>'Components Data Source'!H157</f>
        <v>0</v>
      </c>
      <c r="I157" s="8" t="str">
        <f>'Components Data Source'!I157</f>
        <v xml:space="preserve">I2C </v>
      </c>
      <c r="J157" s="8">
        <f>'Components Data Source'!J157</f>
        <v>1</v>
      </c>
      <c r="K157" s="8">
        <f>'Components Data Source'!K157</f>
        <v>1</v>
      </c>
      <c r="L157" s="8">
        <f>'Components Data Source'!L157</f>
        <v>1</v>
      </c>
      <c r="M157" s="8" t="s">
        <v>1727</v>
      </c>
      <c r="N157" s="17" t="str">
        <f>HYPERLINK('Components Data Source'!M157)</f>
        <v>https://www.flowcode.co.uk/wiki/index.php?title=Component:_ID_b52758bf_4466_48c0_8054_33ee4b11e82b</v>
      </c>
      <c r="O157" s="8" t="s">
        <v>1721</v>
      </c>
      <c r="P157" s="8"/>
      <c r="Q157" s="8" t="str">
        <f t="shared" si="6"/>
        <v/>
      </c>
      <c r="R157" s="1" t="s">
        <v>1721</v>
      </c>
      <c r="S157" s="1" t="s">
        <v>1721</v>
      </c>
      <c r="T157" s="1" t="s">
        <v>1721</v>
      </c>
      <c r="U157" s="1" t="s">
        <v>1721</v>
      </c>
      <c r="V157" s="1" t="s">
        <v>1731</v>
      </c>
      <c r="W157" s="1" t="s">
        <v>1175</v>
      </c>
      <c r="X157" s="1" t="s">
        <v>1721</v>
      </c>
      <c r="Y157" s="8" t="s">
        <v>1721</v>
      </c>
      <c r="Z157" s="18">
        <f t="shared" si="5"/>
        <v>1</v>
      </c>
      <c r="AA157" s="8"/>
      <c r="AB157" s="11" t="s">
        <v>2423</v>
      </c>
      <c r="AC157" s="7"/>
      <c r="AD157" s="8" t="s">
        <v>1721</v>
      </c>
      <c r="AE157" s="8" t="s">
        <v>1727</v>
      </c>
      <c r="AF157" s="8" t="s">
        <v>1727</v>
      </c>
      <c r="AG157" s="8" t="s">
        <v>1727</v>
      </c>
      <c r="AH157" s="47"/>
      <c r="AI157" s="47">
        <f>VLOOKUP(B157,'Components Usage'!A$2:C$603,3,FALSE)</f>
        <v>1</v>
      </c>
      <c r="AJ157" s="28" t="s">
        <v>2401</v>
      </c>
    </row>
    <row r="158" spans="1:36" hidden="1" x14ac:dyDescent="0.25">
      <c r="A158" s="16" t="str">
        <f>'Components Data Source'!A158</f>
        <v>Chainable RGB LED v2.0 (Grove 104020048)</v>
      </c>
      <c r="B158" s="8" t="str">
        <f>'Components Data Source'!B158</f>
        <v>BBFC7C9F-FA05-4257-849D-8601FF7DC1DE</v>
      </c>
      <c r="C158" s="41" t="str">
        <f>'Components Data Source'!C158</f>
        <v>Grove_Chainable_RGB_LED.fcpx</v>
      </c>
      <c r="D158" s="8" t="str">
        <f>'Components Data Source'!D158</f>
        <v>Components\IO_Source\Grove\Chainable RGB LED v2.0.fcfx</v>
      </c>
      <c r="E158" s="8" t="str">
        <f>'Components Data Source'!E158</f>
        <v>SENSORS</v>
      </c>
      <c r="F158" s="8" t="str">
        <f>'Components Data Source'!F158</f>
        <v>LEDS</v>
      </c>
      <c r="G158" s="8">
        <f>'Components Data Source'!G158</f>
        <v>0</v>
      </c>
      <c r="H158" s="8">
        <f>'Components Data Source'!H158</f>
        <v>0</v>
      </c>
      <c r="I158" s="8" t="str">
        <f>'Components Data Source'!I158</f>
        <v xml:space="preserve">SPI </v>
      </c>
      <c r="J158" s="8">
        <f>'Components Data Source'!J158</f>
        <v>1</v>
      </c>
      <c r="K158" s="8">
        <f>'Components Data Source'!K158</f>
        <v>1</v>
      </c>
      <c r="L158" s="8">
        <f>'Components Data Source'!L158</f>
        <v>0</v>
      </c>
      <c r="M158" s="8" t="s">
        <v>1727</v>
      </c>
      <c r="N158" s="17" t="str">
        <f>HYPERLINK('Components Data Source'!M158)</f>
        <v>https://www.flowcode.co.uk/wiki/index.php?title=Component:_ID_bbfc7c9f_fa05_4257_849d_8601ff7dc1de</v>
      </c>
      <c r="O158" s="8" t="s">
        <v>1721</v>
      </c>
      <c r="P158" s="8"/>
      <c r="Q158" s="8" t="str">
        <f t="shared" si="6"/>
        <v/>
      </c>
      <c r="R158" s="8" t="s">
        <v>1727</v>
      </c>
      <c r="S158" s="8"/>
      <c r="T158" s="8"/>
      <c r="U158" s="8"/>
      <c r="V158" s="8" t="s">
        <v>1730</v>
      </c>
      <c r="W158" s="8" t="s">
        <v>1730</v>
      </c>
      <c r="X158" s="8"/>
      <c r="Y158" s="8"/>
      <c r="Z158" s="18">
        <f t="shared" si="5"/>
        <v>2</v>
      </c>
      <c r="AA158" s="8"/>
      <c r="AB158" s="7"/>
      <c r="AC158" s="7"/>
      <c r="AD158" s="8" t="s">
        <v>1721</v>
      </c>
      <c r="AE158" s="8" t="s">
        <v>1727</v>
      </c>
      <c r="AF158" s="8" t="s">
        <v>1727</v>
      </c>
      <c r="AG158" s="8" t="s">
        <v>1727</v>
      </c>
      <c r="AH158" s="47"/>
      <c r="AI158" s="47">
        <f>VLOOKUP(B158,'Components Usage'!A$2:C$603,3,FALSE)</f>
        <v>2</v>
      </c>
      <c r="AJ158" s="28" t="s">
        <v>2401</v>
      </c>
    </row>
    <row r="159" spans="1:36" hidden="1" x14ac:dyDescent="0.25">
      <c r="A159" s="16" t="str">
        <f>'Components Data Source'!A159</f>
        <v>Temp / Humidity (Grove 101020019)</v>
      </c>
      <c r="B159" s="8" t="str">
        <f>'Components Data Source'!B159</f>
        <v>0689100F-8B13-45A6-98A2-B9833B02EED5</v>
      </c>
      <c r="C159" s="41" t="str">
        <f>'Components Data Source'!C159</f>
        <v>Grove_DHT22.fcpx</v>
      </c>
      <c r="D159" s="8" t="str">
        <f>'Components Data Source'!D159</f>
        <v>Components\IO_Source\Grove\Grove_DHT22.fcfx</v>
      </c>
      <c r="E159" s="8" t="str">
        <f>'Components Data Source'!E159</f>
        <v>SENSORS</v>
      </c>
      <c r="F159" s="8" t="str">
        <f>'Components Data Source'!F159</f>
        <v>ENVIRONMENTAL</v>
      </c>
      <c r="G159" s="8">
        <f>'Components Data Source'!G159</f>
        <v>0</v>
      </c>
      <c r="H159" s="8">
        <f>'Components Data Source'!H159</f>
        <v>0</v>
      </c>
      <c r="I159" s="8">
        <f>'Components Data Source'!I159</f>
        <v>0</v>
      </c>
      <c r="J159" s="8">
        <f>'Components Data Source'!J159</f>
        <v>1</v>
      </c>
      <c r="K159" s="8">
        <f>'Components Data Source'!K159</f>
        <v>1</v>
      </c>
      <c r="L159" s="8">
        <f>'Components Data Source'!L159</f>
        <v>0</v>
      </c>
      <c r="M159" s="8" t="s">
        <v>1727</v>
      </c>
      <c r="N159" s="17" t="str">
        <f>HYPERLINK('Components Data Source'!M159)</f>
        <v>https://www.flowcode.co.uk/wiki/index.php?title=Component:_ID_0689100f_8b13_45a6_98a2_b9833b02eed5</v>
      </c>
      <c r="O159" s="8" t="s">
        <v>1721</v>
      </c>
      <c r="P159" s="8"/>
      <c r="Q159" s="8" t="str">
        <f t="shared" si="6"/>
        <v/>
      </c>
      <c r="R159" s="1" t="s">
        <v>1721</v>
      </c>
      <c r="S159" s="1" t="s">
        <v>1721</v>
      </c>
      <c r="T159" s="1" t="s">
        <v>1727</v>
      </c>
      <c r="U159" s="1" t="s">
        <v>1721</v>
      </c>
      <c r="V159" s="1" t="s">
        <v>1731</v>
      </c>
      <c r="W159" s="1" t="s">
        <v>1731</v>
      </c>
      <c r="X159" s="1" t="s">
        <v>1721</v>
      </c>
      <c r="Y159" s="8" t="s">
        <v>1721</v>
      </c>
      <c r="Z159" s="18">
        <f t="shared" si="5"/>
        <v>1</v>
      </c>
      <c r="AA159" s="8"/>
      <c r="AB159" s="7"/>
      <c r="AC159" s="7"/>
      <c r="AD159" s="8" t="s">
        <v>1721</v>
      </c>
      <c r="AE159" s="8" t="s">
        <v>1727</v>
      </c>
      <c r="AF159" s="8" t="s">
        <v>1727</v>
      </c>
      <c r="AG159" s="8" t="s">
        <v>1727</v>
      </c>
      <c r="AH159" s="47"/>
      <c r="AI159" s="47">
        <f>VLOOKUP(B159,'Components Usage'!A$2:C$603,3,FALSE)</f>
        <v>5</v>
      </c>
      <c r="AJ159" s="28" t="s">
        <v>2401</v>
      </c>
    </row>
    <row r="160" spans="1:36" hidden="1" x14ac:dyDescent="0.25">
      <c r="A160" s="16" t="str">
        <f>'Components Data Source'!A160</f>
        <v>Heelight Sensor (Grove 101020312)</v>
      </c>
      <c r="B160" s="8" t="str">
        <f>'Components Data Source'!B160</f>
        <v>0A5D4625-78E6-4BF3-A802-925C655EF718</v>
      </c>
      <c r="C160" s="41" t="str">
        <f>'Components Data Source'!C160</f>
        <v>Grove_Heelight_Sensor.fcpx</v>
      </c>
      <c r="D160" s="8" t="str">
        <f>'Components Data Source'!D160</f>
        <v>Components\IO_Source\Grove\Heelight Sensor.fcfx</v>
      </c>
      <c r="E160" s="8" t="str">
        <f>'Components Data Source'!E160</f>
        <v>SENSORS</v>
      </c>
      <c r="F160" s="8" t="str">
        <f>'Components Data Source'!F160</f>
        <v>AUDIO</v>
      </c>
      <c r="G160" s="8">
        <f>'Components Data Source'!G160</f>
        <v>0</v>
      </c>
      <c r="H160" s="8">
        <f>'Components Data Source'!H160</f>
        <v>0</v>
      </c>
      <c r="I160" s="8" t="str">
        <f>'Components Data Source'!I160</f>
        <v xml:space="preserve">UART </v>
      </c>
      <c r="J160" s="8">
        <f>'Components Data Source'!J160</f>
        <v>1</v>
      </c>
      <c r="K160" s="8">
        <f>'Components Data Source'!K160</f>
        <v>1</v>
      </c>
      <c r="L160" s="8">
        <f>'Components Data Source'!L160</f>
        <v>0</v>
      </c>
      <c r="M160" s="8" t="s">
        <v>1727</v>
      </c>
      <c r="N160" s="17" t="str">
        <f>HYPERLINK('Components Data Source'!M160)</f>
        <v>https://www.flowcode.co.uk/wiki/index.php?title=Component:_ID_0a5d4625_78e6_4bf3_a802_925c655ef718</v>
      </c>
      <c r="O160" s="8" t="s">
        <v>1721</v>
      </c>
      <c r="P160" s="8"/>
      <c r="Q160" s="8" t="str">
        <f t="shared" si="6"/>
        <v/>
      </c>
      <c r="R160" s="1" t="s">
        <v>1721</v>
      </c>
      <c r="S160" s="1" t="s">
        <v>1721</v>
      </c>
      <c r="T160" s="1" t="s">
        <v>1721</v>
      </c>
      <c r="U160" s="1" t="s">
        <v>1721</v>
      </c>
      <c r="V160" s="1" t="s">
        <v>1731</v>
      </c>
      <c r="W160" s="1" t="s">
        <v>1183</v>
      </c>
      <c r="X160" s="1" t="s">
        <v>1721</v>
      </c>
      <c r="Y160" s="8" t="s">
        <v>1721</v>
      </c>
      <c r="Z160" s="18">
        <f t="shared" si="5"/>
        <v>1</v>
      </c>
      <c r="AA160" s="8"/>
      <c r="AB160" s="7"/>
      <c r="AC160" s="7"/>
      <c r="AD160" s="8" t="s">
        <v>1721</v>
      </c>
      <c r="AE160" s="8" t="s">
        <v>1727</v>
      </c>
      <c r="AF160" s="8" t="s">
        <v>1727</v>
      </c>
      <c r="AG160" s="8" t="s">
        <v>1727</v>
      </c>
      <c r="AH160" s="47"/>
      <c r="AI160" s="47">
        <f>VLOOKUP(B160,'Components Usage'!A$2:C$603,3,FALSE)</f>
        <v>0</v>
      </c>
      <c r="AJ160" s="28" t="s">
        <v>2401</v>
      </c>
    </row>
    <row r="161" spans="1:36" hidden="1" x14ac:dyDescent="0.25">
      <c r="A161" s="16" t="str">
        <f>'Components Data Source'!A161</f>
        <v>Temp / Humidity (Grove 101020212)</v>
      </c>
      <c r="B161" s="8" t="str">
        <f>'Components Data Source'!B161</f>
        <v>ECA89720-1386-4589-AB75-6C0425162B91</v>
      </c>
      <c r="C161" s="41" t="str">
        <f>'Components Data Source'!C161</f>
        <v>Grove_Humidity_SHT31.fcpx</v>
      </c>
      <c r="D161" s="8" t="str">
        <f>'Components Data Source'!D161</f>
        <v>Components\IO_Source\Grove\Grove_SHT31.fcfx</v>
      </c>
      <c r="E161" s="8" t="str">
        <f>'Components Data Source'!E161</f>
        <v>SENSORS</v>
      </c>
      <c r="F161" s="8" t="str">
        <f>'Components Data Source'!F161</f>
        <v>ENVIRONMENTAL</v>
      </c>
      <c r="G161" s="8">
        <f>'Components Data Source'!G161</f>
        <v>0</v>
      </c>
      <c r="H161" s="8">
        <f>'Components Data Source'!H161</f>
        <v>0</v>
      </c>
      <c r="I161" s="8" t="str">
        <f>'Components Data Source'!I161</f>
        <v xml:space="preserve">I2C </v>
      </c>
      <c r="J161" s="8">
        <f>'Components Data Source'!J161</f>
        <v>1</v>
      </c>
      <c r="K161" s="8">
        <f>'Components Data Source'!K161</f>
        <v>1</v>
      </c>
      <c r="L161" s="8">
        <f>'Components Data Source'!L161</f>
        <v>1</v>
      </c>
      <c r="M161" s="8" t="s">
        <v>1727</v>
      </c>
      <c r="N161" s="17" t="str">
        <f>HYPERLINK('Components Data Source'!M161)</f>
        <v>https://www.flowcode.co.uk/wiki/index.php?title=Component:_ID_eca89720_1386_4589_ab75_6c0425162b91</v>
      </c>
      <c r="O161" s="8" t="s">
        <v>1721</v>
      </c>
      <c r="P161" s="8"/>
      <c r="Q161" s="8" t="str">
        <f t="shared" si="6"/>
        <v/>
      </c>
      <c r="R161" s="8" t="s">
        <v>1721</v>
      </c>
      <c r="S161" s="8" t="s">
        <v>1721</v>
      </c>
      <c r="T161" s="8" t="s">
        <v>1721</v>
      </c>
      <c r="U161" s="8" t="s">
        <v>1721</v>
      </c>
      <c r="V161" s="8" t="s">
        <v>1731</v>
      </c>
      <c r="W161" s="8" t="s">
        <v>1175</v>
      </c>
      <c r="X161" s="8" t="s">
        <v>1721</v>
      </c>
      <c r="Y161" s="8" t="s">
        <v>1721</v>
      </c>
      <c r="Z161" s="18">
        <f t="shared" si="5"/>
        <v>1</v>
      </c>
      <c r="AA161" s="8"/>
      <c r="AB161" s="6"/>
      <c r="AC161" s="7"/>
      <c r="AD161" s="8" t="s">
        <v>1721</v>
      </c>
      <c r="AE161" s="8" t="s">
        <v>1727</v>
      </c>
      <c r="AF161" s="8" t="s">
        <v>1727</v>
      </c>
      <c r="AG161" s="8" t="s">
        <v>1727</v>
      </c>
      <c r="AH161" s="47"/>
      <c r="AI161" s="47">
        <f>VLOOKUP(B161,'Components Usage'!A$2:C$603,3,FALSE)</f>
        <v>11</v>
      </c>
      <c r="AJ161" s="28" t="s">
        <v>2401</v>
      </c>
    </row>
    <row r="162" spans="1:36" hidden="1" x14ac:dyDescent="0.25">
      <c r="A162" s="16" t="str">
        <f>'Components Data Source'!A162</f>
        <v>Colour Sensor (Grove 101020341)</v>
      </c>
      <c r="B162" s="8" t="str">
        <f>'Components Data Source'!B162</f>
        <v>A1EA988C-88C9-4F96-AC26-1684E918A3DE</v>
      </c>
      <c r="C162" s="41" t="str">
        <f>'Components Data Source'!C162</f>
        <v>Grove_I2C_Color_Sensor.fcpx</v>
      </c>
      <c r="D162" s="8" t="str">
        <f>'Components Data Source'!D162</f>
        <v>Components\IO_Source\Grove\I2C Colour Sensor.fcfx</v>
      </c>
      <c r="E162" s="8" t="str">
        <f>'Components Data Source'!E162</f>
        <v>SENSORS</v>
      </c>
      <c r="F162" s="8" t="str">
        <f>'Components Data Source'!F162</f>
        <v>LIGHT</v>
      </c>
      <c r="G162" s="8">
        <f>'Components Data Source'!G162</f>
        <v>0</v>
      </c>
      <c r="H162" s="8">
        <f>'Components Data Source'!H162</f>
        <v>0</v>
      </c>
      <c r="I162" s="8" t="str">
        <f>'Components Data Source'!I162</f>
        <v xml:space="preserve">I2C </v>
      </c>
      <c r="J162" s="8">
        <f>'Components Data Source'!J162</f>
        <v>1</v>
      </c>
      <c r="K162" s="8">
        <f>'Components Data Source'!K162</f>
        <v>1</v>
      </c>
      <c r="L162" s="8">
        <f>'Components Data Source'!L162</f>
        <v>1</v>
      </c>
      <c r="M162" s="8" t="s">
        <v>1727</v>
      </c>
      <c r="N162" s="17" t="str">
        <f>HYPERLINK('Components Data Source'!M162)</f>
        <v>https://www.flowcode.co.uk/wiki/index.php?title=Component:_ID_a1ea988c_88c9_4f96_ac26_1684e918a3de</v>
      </c>
      <c r="O162" s="8" t="s">
        <v>2704</v>
      </c>
      <c r="P162" s="8"/>
      <c r="Q162" s="8" t="str">
        <f t="shared" si="6"/>
        <v/>
      </c>
      <c r="R162" s="8" t="s">
        <v>1727</v>
      </c>
      <c r="S162" s="8"/>
      <c r="T162" s="8"/>
      <c r="U162" s="8"/>
      <c r="V162" s="8" t="s">
        <v>1730</v>
      </c>
      <c r="W162" s="8" t="s">
        <v>1730</v>
      </c>
      <c r="X162" s="8"/>
      <c r="Y162" s="8"/>
      <c r="Z162" s="18">
        <f t="shared" si="5"/>
        <v>2</v>
      </c>
      <c r="AA162" s="8"/>
      <c r="AB162" s="7"/>
      <c r="AC162" s="7"/>
      <c r="AD162" s="8" t="s">
        <v>1721</v>
      </c>
      <c r="AE162" s="8" t="s">
        <v>1727</v>
      </c>
      <c r="AF162" s="8" t="s">
        <v>1727</v>
      </c>
      <c r="AG162" s="8" t="s">
        <v>1727</v>
      </c>
      <c r="AH162" s="47"/>
      <c r="AI162" s="47">
        <f>VLOOKUP(B162,'Components Usage'!A$2:C$603,3,FALSE)</f>
        <v>1</v>
      </c>
      <c r="AJ162" s="28" t="s">
        <v>2401</v>
      </c>
    </row>
    <row r="163" spans="1:36" ht="30" hidden="1" x14ac:dyDescent="0.25">
      <c r="A163" s="16" t="str">
        <f>'Components Data Source'!A163</f>
        <v>Infrared Reflective Sensor (Grove 101020174)</v>
      </c>
      <c r="B163" s="8" t="str">
        <f>'Components Data Source'!B163</f>
        <v>F3B8EED1-FEF6-4C1B-B62D-8EFC84B1BE35</v>
      </c>
      <c r="C163" s="41" t="str">
        <f>'Components Data Source'!C163</f>
        <v>Grove_Infrared_Reflective_Sensor.fcpx</v>
      </c>
      <c r="D163" s="8" t="str">
        <f>'Components Data Source'!D163</f>
        <v>Components\IO_Source\Grove\Infrared Reflective Sensor.fcfx</v>
      </c>
      <c r="E163" s="8" t="str">
        <f>'Components Data Source'!E163</f>
        <v>SENSORS</v>
      </c>
      <c r="F163" s="8" t="str">
        <f>'Components Data Source'!F163</f>
        <v>LIGHT</v>
      </c>
      <c r="G163" s="8">
        <f>'Components Data Source'!G163</f>
        <v>0</v>
      </c>
      <c r="H163" s="8">
        <f>'Components Data Source'!H163</f>
        <v>0</v>
      </c>
      <c r="I163" s="8">
        <f>'Components Data Source'!I163</f>
        <v>0</v>
      </c>
      <c r="J163" s="8">
        <f>'Components Data Source'!J163</f>
        <v>1</v>
      </c>
      <c r="K163" s="8">
        <f>'Components Data Source'!K163</f>
        <v>1</v>
      </c>
      <c r="L163" s="8">
        <f>'Components Data Source'!L163</f>
        <v>0</v>
      </c>
      <c r="M163" s="8" t="s">
        <v>1727</v>
      </c>
      <c r="N163" s="17" t="str">
        <f>HYPERLINK('Components Data Source'!M163)</f>
        <v>https://www.flowcode.co.uk/wiki/index.php?title=Component:_ID_f3b8eed1_fef6_4c1b_b62d_8efc84b1be35</v>
      </c>
      <c r="O163" s="8" t="s">
        <v>1721</v>
      </c>
      <c r="P163" s="8"/>
      <c r="Q163" s="8" t="str">
        <f t="shared" si="6"/>
        <v/>
      </c>
      <c r="R163" s="8" t="s">
        <v>2520</v>
      </c>
      <c r="S163" s="8"/>
      <c r="T163" s="8"/>
      <c r="U163" s="8"/>
      <c r="V163" s="8" t="s">
        <v>1730</v>
      </c>
      <c r="W163" s="8" t="s">
        <v>1730</v>
      </c>
      <c r="X163" s="8"/>
      <c r="Y163" s="8"/>
      <c r="Z163" s="18">
        <f t="shared" si="5"/>
        <v>0</v>
      </c>
      <c r="AA163" s="8"/>
      <c r="AB163" s="7"/>
      <c r="AC163" s="7"/>
      <c r="AD163" s="8" t="s">
        <v>1721</v>
      </c>
      <c r="AE163" s="8" t="s">
        <v>1727</v>
      </c>
      <c r="AF163" s="8" t="s">
        <v>1727</v>
      </c>
      <c r="AG163" s="8" t="s">
        <v>1727</v>
      </c>
      <c r="AH163" s="47"/>
      <c r="AI163" s="47">
        <f>VLOOKUP(B163,'Components Usage'!A$2:C$603,3,FALSE)</f>
        <v>2</v>
      </c>
      <c r="AJ163" s="28" t="s">
        <v>2401</v>
      </c>
    </row>
    <row r="164" spans="1:36" hidden="1" x14ac:dyDescent="0.25">
      <c r="A164" s="16" t="str">
        <f>'Components Data Source'!A164</f>
        <v>LED Bar v2.0 (Grove 104020006)</v>
      </c>
      <c r="B164" s="8" t="str">
        <f>'Components Data Source'!B164</f>
        <v>6664B695-2A8F-4247-AE55-110B38270877</v>
      </c>
      <c r="C164" s="41" t="str">
        <f>'Components Data Source'!C164</f>
        <v>Grove_LED_Bar.fcpx</v>
      </c>
      <c r="D164" s="8" t="str">
        <f>'Components Data Source'!D164</f>
        <v>Components\IO_Source\Grove\LED Bar v2.0.fcfx</v>
      </c>
      <c r="E164" s="8" t="str">
        <f>'Components Data Source'!E164</f>
        <v>SENSORS</v>
      </c>
      <c r="F164" s="8" t="str">
        <f>'Components Data Source'!F164</f>
        <v>LEDS</v>
      </c>
      <c r="G164" s="8">
        <f>'Components Data Source'!G164</f>
        <v>0</v>
      </c>
      <c r="H164" s="8">
        <f>'Components Data Source'!H164</f>
        <v>0</v>
      </c>
      <c r="I164" s="8">
        <f>'Components Data Source'!I164</f>
        <v>0</v>
      </c>
      <c r="J164" s="8">
        <f>'Components Data Source'!J164</f>
        <v>1</v>
      </c>
      <c r="K164" s="8">
        <f>'Components Data Source'!K164</f>
        <v>1</v>
      </c>
      <c r="L164" s="8">
        <f>'Components Data Source'!L164</f>
        <v>0</v>
      </c>
      <c r="M164" s="8" t="s">
        <v>1727</v>
      </c>
      <c r="N164" s="17" t="str">
        <f>HYPERLINK('Components Data Source'!M164)</f>
        <v>https://www.flowcode.co.uk/wiki/index.php?title=Component:_ID_6664b695_2a8f_4247_ae55_110b38270877</v>
      </c>
      <c r="O164" s="8" t="s">
        <v>1721</v>
      </c>
      <c r="P164" s="8"/>
      <c r="Q164" s="8" t="str">
        <f t="shared" si="6"/>
        <v/>
      </c>
      <c r="R164" s="8" t="s">
        <v>1727</v>
      </c>
      <c r="S164" s="8"/>
      <c r="T164" s="8"/>
      <c r="U164" s="8"/>
      <c r="V164" s="8" t="s">
        <v>1730</v>
      </c>
      <c r="W164" s="8" t="s">
        <v>1730</v>
      </c>
      <c r="X164" s="8"/>
      <c r="Y164" s="8"/>
      <c r="Z164" s="18">
        <f t="shared" si="5"/>
        <v>2</v>
      </c>
      <c r="AA164" s="8"/>
      <c r="AB164" s="7"/>
      <c r="AC164" s="7"/>
      <c r="AD164" s="8" t="s">
        <v>1721</v>
      </c>
      <c r="AE164" s="8" t="s">
        <v>1727</v>
      </c>
      <c r="AF164" s="8" t="s">
        <v>1727</v>
      </c>
      <c r="AG164" s="8" t="s">
        <v>1727</v>
      </c>
      <c r="AH164" s="47"/>
      <c r="AI164" s="47">
        <f>VLOOKUP(B164,'Components Usage'!A$2:C$603,3,FALSE)</f>
        <v>3</v>
      </c>
      <c r="AJ164" s="28" t="s">
        <v>2401</v>
      </c>
    </row>
    <row r="165" spans="1:36" hidden="1" x14ac:dyDescent="0.25">
      <c r="A165" s="16" t="str">
        <f>'Components Data Source'!A165</f>
        <v>Light Sensor (Grove 101020132)</v>
      </c>
      <c r="B165" s="8" t="str">
        <f>'Components Data Source'!B165</f>
        <v>9C5B7454-E67D-4111-B220-BF8E5FF8B174</v>
      </c>
      <c r="C165" s="41" t="str">
        <f>'Components Data Source'!C165</f>
        <v>Grove_Light_Sensor.fcpx</v>
      </c>
      <c r="D165" s="8" t="str">
        <f>'Components Data Source'!D165</f>
        <v>Components\IO_Source\Grove\Light Sensor.fcfx</v>
      </c>
      <c r="E165" s="8" t="str">
        <f>'Components Data Source'!E165</f>
        <v>SENSORS</v>
      </c>
      <c r="F165" s="8" t="str">
        <f>'Components Data Source'!F165</f>
        <v>LIGHT</v>
      </c>
      <c r="G165" s="8">
        <f>'Components Data Source'!G165</f>
        <v>0</v>
      </c>
      <c r="H165" s="8">
        <f>'Components Data Source'!H165</f>
        <v>0</v>
      </c>
      <c r="I165" s="8">
        <f>'Components Data Source'!I165</f>
        <v>0</v>
      </c>
      <c r="J165" s="8">
        <f>'Components Data Source'!J165</f>
        <v>1</v>
      </c>
      <c r="K165" s="8">
        <f>'Components Data Source'!K165</f>
        <v>1</v>
      </c>
      <c r="L165" s="8">
        <f>'Components Data Source'!L165</f>
        <v>0</v>
      </c>
      <c r="M165" s="8" t="s">
        <v>1727</v>
      </c>
      <c r="N165" s="17" t="str">
        <f>HYPERLINK('Components Data Source'!M165)</f>
        <v>https://www.flowcode.co.uk/wiki/index.php?title=Component:_ID_9c5b7454_e67d_4111_b220_bf8e5ff8b174</v>
      </c>
      <c r="O165" s="8" t="s">
        <v>1721</v>
      </c>
      <c r="P165" s="8"/>
      <c r="Q165" s="8" t="str">
        <f t="shared" si="6"/>
        <v/>
      </c>
      <c r="R165" s="8" t="s">
        <v>1721</v>
      </c>
      <c r="S165" s="8" t="s">
        <v>1721</v>
      </c>
      <c r="T165" s="8" t="s">
        <v>1727</v>
      </c>
      <c r="U165" s="8" t="s">
        <v>1727</v>
      </c>
      <c r="V165" s="8" t="s">
        <v>1731</v>
      </c>
      <c r="W165" s="8" t="s">
        <v>1731</v>
      </c>
      <c r="X165" s="8" t="s">
        <v>1721</v>
      </c>
      <c r="Y165" s="8" t="s">
        <v>1721</v>
      </c>
      <c r="Z165" s="18">
        <f t="shared" si="5"/>
        <v>1</v>
      </c>
      <c r="AA165" s="8"/>
      <c r="AB165" s="7"/>
      <c r="AC165" s="7"/>
      <c r="AD165" s="8" t="s">
        <v>1721</v>
      </c>
      <c r="AE165" s="8" t="s">
        <v>1727</v>
      </c>
      <c r="AF165" s="8" t="s">
        <v>1727</v>
      </c>
      <c r="AG165" s="8" t="s">
        <v>1727</v>
      </c>
      <c r="AH165" s="47"/>
      <c r="AI165" s="47">
        <f>VLOOKUP(B165,'Components Usage'!A$2:C$603,3,FALSE)</f>
        <v>2</v>
      </c>
      <c r="AJ165" s="28" t="s">
        <v>2401</v>
      </c>
    </row>
    <row r="166" spans="1:36" hidden="1" x14ac:dyDescent="0.25">
      <c r="A166" s="16" t="str">
        <f>'Components Data Source'!A166</f>
        <v>PIR Motion (Grove 101020020)</v>
      </c>
      <c r="B166" s="8" t="str">
        <f>'Components Data Source'!B166</f>
        <v>CCBD6829-44C8-4011-954B-C39DD93ADBED</v>
      </c>
      <c r="C166" s="41" t="str">
        <f>'Components Data Source'!C166</f>
        <v>Grove_PIR_Motion_Sensor.fcpx</v>
      </c>
      <c r="D166" s="8" t="str">
        <f>'Components Data Source'!D166</f>
        <v>Components\IO_Source\Grove\PIR Motion Sensor.fcfx</v>
      </c>
      <c r="E166" s="8" t="str">
        <f>'Components Data Source'!E166</f>
        <v>SENSORS</v>
      </c>
      <c r="F166" s="8" t="str">
        <f>'Components Data Source'!F166</f>
        <v>LIGHT</v>
      </c>
      <c r="G166" s="8">
        <f>'Components Data Source'!G166</f>
        <v>0</v>
      </c>
      <c r="H166" s="8">
        <f>'Components Data Source'!H166</f>
        <v>0</v>
      </c>
      <c r="I166" s="8">
        <f>'Components Data Source'!I166</f>
        <v>0</v>
      </c>
      <c r="J166" s="8">
        <f>'Components Data Source'!J166</f>
        <v>1</v>
      </c>
      <c r="K166" s="8">
        <f>'Components Data Source'!K166</f>
        <v>1</v>
      </c>
      <c r="L166" s="8">
        <f>'Components Data Source'!L166</f>
        <v>0</v>
      </c>
      <c r="M166" s="8" t="s">
        <v>1727</v>
      </c>
      <c r="N166" s="17" t="str">
        <f>HYPERLINK('Components Data Source'!M166)</f>
        <v>https://www.flowcode.co.uk/wiki/index.php?title=Component:_ID_ccbd6829_44c8_4011_954b_c39dd93adbed</v>
      </c>
      <c r="O166" s="8" t="s">
        <v>1721</v>
      </c>
      <c r="P166" s="8"/>
      <c r="Q166" s="8" t="str">
        <f t="shared" si="6"/>
        <v/>
      </c>
      <c r="R166" s="1" t="s">
        <v>1721</v>
      </c>
      <c r="S166" s="8" t="s">
        <v>1721</v>
      </c>
      <c r="T166" s="8" t="s">
        <v>1727</v>
      </c>
      <c r="U166" s="8" t="s">
        <v>1727</v>
      </c>
      <c r="V166" s="1" t="s">
        <v>1731</v>
      </c>
      <c r="W166" s="1" t="s">
        <v>1731</v>
      </c>
      <c r="X166" s="8" t="s">
        <v>1721</v>
      </c>
      <c r="Y166" s="8" t="s">
        <v>1721</v>
      </c>
      <c r="Z166" s="18">
        <f t="shared" si="5"/>
        <v>1</v>
      </c>
      <c r="AA166" s="8"/>
      <c r="AB166" s="7"/>
      <c r="AC166" s="7"/>
      <c r="AD166" s="8" t="s">
        <v>1721</v>
      </c>
      <c r="AE166" s="8" t="s">
        <v>1727</v>
      </c>
      <c r="AF166" s="8" t="s">
        <v>2401</v>
      </c>
      <c r="AG166" s="8" t="s">
        <v>1727</v>
      </c>
      <c r="AH166" s="47"/>
      <c r="AI166" s="47">
        <f>VLOOKUP(B166,'Components Usage'!A$2:C$603,3,FALSE)</f>
        <v>3</v>
      </c>
      <c r="AJ166" s="28" t="s">
        <v>2401</v>
      </c>
    </row>
    <row r="167" spans="1:36" hidden="1" x14ac:dyDescent="0.25">
      <c r="A167" s="16" t="str">
        <f>'Components Data Source'!A167</f>
        <v>Relay (Grove 103020005)</v>
      </c>
      <c r="B167" s="8" t="str">
        <f>'Components Data Source'!B167</f>
        <v>2F95990B-1DC6-4CB4-A6B1-E000A487B702</v>
      </c>
      <c r="C167" s="41" t="str">
        <f>'Components Data Source'!C167</f>
        <v>Grove_Relay.fcpx</v>
      </c>
      <c r="D167" s="8" t="str">
        <f>'Components Data Source'!D167</f>
        <v>Components\IO_Source\Grove\Relay.fcfx</v>
      </c>
      <c r="E167" s="8" t="str">
        <f>'Components Data Source'!E167</f>
        <v>SENSORS</v>
      </c>
      <c r="F167" s="8" t="str">
        <f>'Components Data Source'!F167</f>
        <v>GENERAL OUTPUT</v>
      </c>
      <c r="G167" s="8">
        <f>'Components Data Source'!G167</f>
        <v>0</v>
      </c>
      <c r="H167" s="8">
        <f>'Components Data Source'!H167</f>
        <v>0</v>
      </c>
      <c r="I167" s="8">
        <f>'Components Data Source'!I167</f>
        <v>0</v>
      </c>
      <c r="J167" s="8">
        <f>'Components Data Source'!J167</f>
        <v>1</v>
      </c>
      <c r="K167" s="8">
        <f>'Components Data Source'!K167</f>
        <v>1</v>
      </c>
      <c r="L167" s="8">
        <f>'Components Data Source'!L167</f>
        <v>0</v>
      </c>
      <c r="M167" s="8" t="s">
        <v>1727</v>
      </c>
      <c r="N167" s="17" t="str">
        <f>HYPERLINK('Components Data Source'!M167)</f>
        <v>https://www.flowcode.co.uk/wiki/index.php?title=Component:_ID_2f95990b_1dc6_4cb4_a6b1_e000a487b702</v>
      </c>
      <c r="O167" s="8" t="s">
        <v>1721</v>
      </c>
      <c r="P167" s="8"/>
      <c r="Q167" s="8" t="str">
        <f t="shared" si="6"/>
        <v/>
      </c>
      <c r="R167" s="1" t="s">
        <v>1721</v>
      </c>
      <c r="S167" s="8" t="s">
        <v>1721</v>
      </c>
      <c r="T167" s="8" t="s">
        <v>1727</v>
      </c>
      <c r="U167" s="8" t="s">
        <v>1727</v>
      </c>
      <c r="V167" s="1" t="s">
        <v>1731</v>
      </c>
      <c r="W167" s="1" t="s">
        <v>1731</v>
      </c>
      <c r="X167" s="8" t="s">
        <v>1721</v>
      </c>
      <c r="Y167" s="8" t="s">
        <v>1721</v>
      </c>
      <c r="Z167" s="18">
        <f t="shared" si="5"/>
        <v>1</v>
      </c>
      <c r="AA167" s="8"/>
      <c r="AB167" s="7" t="s">
        <v>2482</v>
      </c>
      <c r="AC167" s="7"/>
      <c r="AD167" s="8" t="s">
        <v>1721</v>
      </c>
      <c r="AE167" s="8" t="s">
        <v>2401</v>
      </c>
      <c r="AF167" s="8" t="s">
        <v>2401</v>
      </c>
      <c r="AG167" s="8" t="s">
        <v>1727</v>
      </c>
      <c r="AH167" s="47"/>
      <c r="AI167" s="47">
        <f>VLOOKUP(B167,'Components Usage'!A$2:C$603,3,FALSE)</f>
        <v>34</v>
      </c>
      <c r="AJ167" s="28" t="s">
        <v>2401</v>
      </c>
    </row>
    <row r="168" spans="1:36" ht="30" hidden="1" x14ac:dyDescent="0.25">
      <c r="A168" s="16" t="str">
        <f>'Components Data Source'!A168</f>
        <v>Rotary Angle Sensor (Grove 101020017)</v>
      </c>
      <c r="B168" s="8" t="str">
        <f>'Components Data Source'!B168</f>
        <v>27104EB6-255F-486E-AD25-B8512B2CC2D4</v>
      </c>
      <c r="C168" s="41" t="str">
        <f>'Components Data Source'!C168</f>
        <v>Grove_Rotary_Angle_Sensor.fcpx</v>
      </c>
      <c r="D168" s="8" t="str">
        <f>'Components Data Source'!D168</f>
        <v>Components\IO_Source\Grove\Rotary Angle Sensor.fcfx</v>
      </c>
      <c r="E168" s="8" t="str">
        <f>'Components Data Source'!E168</f>
        <v>BASICIO</v>
      </c>
      <c r="F168" s="8">
        <f>'Components Data Source'!F168</f>
        <v>0</v>
      </c>
      <c r="G168" s="8">
        <f>'Components Data Source'!G168</f>
        <v>0</v>
      </c>
      <c r="H168" s="8">
        <f>'Components Data Source'!H168</f>
        <v>0</v>
      </c>
      <c r="I168" s="8">
        <f>'Components Data Source'!I168</f>
        <v>0</v>
      </c>
      <c r="J168" s="8">
        <f>'Components Data Source'!J168</f>
        <v>1</v>
      </c>
      <c r="K168" s="8">
        <f>'Components Data Source'!K168</f>
        <v>1</v>
      </c>
      <c r="L168" s="8">
        <f>'Components Data Source'!L168</f>
        <v>0</v>
      </c>
      <c r="M168" s="8" t="s">
        <v>1727</v>
      </c>
      <c r="N168" s="17" t="str">
        <f>HYPERLINK('Components Data Source'!M168)</f>
        <v>https://www.flowcode.co.uk/wiki/index.php?title=Component:_ID_27104eb6_255f_486e_ad25_b8512b2cc2d4</v>
      </c>
      <c r="O168" s="8" t="s">
        <v>1721</v>
      </c>
      <c r="P168" s="8"/>
      <c r="Q168" s="8" t="str">
        <f t="shared" si="6"/>
        <v/>
      </c>
      <c r="R168" s="8" t="s">
        <v>1721</v>
      </c>
      <c r="S168" s="8" t="s">
        <v>1727</v>
      </c>
      <c r="T168" s="8"/>
      <c r="U168" s="8"/>
      <c r="V168" s="8" t="s">
        <v>1730</v>
      </c>
      <c r="W168" s="8" t="s">
        <v>1730</v>
      </c>
      <c r="X168" s="8"/>
      <c r="Y168" s="8"/>
      <c r="Z168" s="18">
        <f t="shared" si="5"/>
        <v>0</v>
      </c>
      <c r="AA168" s="8" t="s">
        <v>1721</v>
      </c>
      <c r="AB168" s="7" t="s">
        <v>2574</v>
      </c>
      <c r="AC168" s="7"/>
      <c r="AD168" s="8" t="s">
        <v>1721</v>
      </c>
      <c r="AE168" s="8" t="s">
        <v>1727</v>
      </c>
      <c r="AF168" s="8" t="s">
        <v>2401</v>
      </c>
      <c r="AG168" s="8" t="s">
        <v>1727</v>
      </c>
      <c r="AH168" s="47"/>
      <c r="AI168" s="47">
        <f>VLOOKUP(B168,'Components Usage'!A$2:C$603,3,FALSE)</f>
        <v>4</v>
      </c>
      <c r="AJ168" s="28" t="s">
        <v>2401</v>
      </c>
    </row>
    <row r="169" spans="1:36" hidden="1" x14ac:dyDescent="0.25">
      <c r="A169" s="16" t="str">
        <f>'Components Data Source'!A169</f>
        <v>Sound Sensor (Grove 101020023)</v>
      </c>
      <c r="B169" s="8" t="str">
        <f>'Components Data Source'!B169</f>
        <v>3BB0EBA4-8AE3-442B-8653-507D1BDE8BE0</v>
      </c>
      <c r="C169" s="41" t="str">
        <f>'Components Data Source'!C169</f>
        <v>Grove_Sound_Sensor.fcpx</v>
      </c>
      <c r="D169" s="8" t="str">
        <f>'Components Data Source'!D169</f>
        <v>Components\IO_Source\Grove\Sound Sensor.fcfx</v>
      </c>
      <c r="E169" s="8" t="str">
        <f>'Components Data Source'!E169</f>
        <v>SENSORS</v>
      </c>
      <c r="F169" s="8" t="str">
        <f>'Components Data Source'!F169</f>
        <v>AUDIO</v>
      </c>
      <c r="G169" s="8">
        <f>'Components Data Source'!G169</f>
        <v>0</v>
      </c>
      <c r="H169" s="8">
        <f>'Components Data Source'!H169</f>
        <v>0</v>
      </c>
      <c r="I169" s="8">
        <f>'Components Data Source'!I169</f>
        <v>0</v>
      </c>
      <c r="J169" s="8">
        <f>'Components Data Source'!J169</f>
        <v>1</v>
      </c>
      <c r="K169" s="8">
        <f>'Components Data Source'!K169</f>
        <v>1</v>
      </c>
      <c r="L169" s="8">
        <f>'Components Data Source'!L169</f>
        <v>0</v>
      </c>
      <c r="M169" s="8" t="s">
        <v>1727</v>
      </c>
      <c r="N169" s="17" t="str">
        <f>HYPERLINK('Components Data Source'!M169)</f>
        <v>https://www.flowcode.co.uk/wiki/index.php?title=Component:_ID_3bb0eba4_8ae3_442b_8653_507d1bde8be0</v>
      </c>
      <c r="O169" s="8" t="s">
        <v>1721</v>
      </c>
      <c r="P169" s="8"/>
      <c r="Q169" s="8" t="str">
        <f t="shared" si="6"/>
        <v/>
      </c>
      <c r="R169" s="1" t="s">
        <v>1721</v>
      </c>
      <c r="S169" s="1" t="s">
        <v>1721</v>
      </c>
      <c r="T169" s="1" t="s">
        <v>1727</v>
      </c>
      <c r="U169" s="1" t="s">
        <v>1727</v>
      </c>
      <c r="V169" s="1" t="s">
        <v>1731</v>
      </c>
      <c r="W169" s="1" t="s">
        <v>1731</v>
      </c>
      <c r="X169" s="1" t="s">
        <v>1721</v>
      </c>
      <c r="Y169" s="8" t="s">
        <v>1721</v>
      </c>
      <c r="Z169" s="18">
        <f t="shared" si="5"/>
        <v>1</v>
      </c>
      <c r="AA169" s="8" t="s">
        <v>1727</v>
      </c>
      <c r="AB169" s="6" t="s">
        <v>2440</v>
      </c>
      <c r="AC169" s="7"/>
      <c r="AD169" s="8" t="s">
        <v>1721</v>
      </c>
      <c r="AE169" s="8" t="s">
        <v>1727</v>
      </c>
      <c r="AF169" s="8" t="s">
        <v>1727</v>
      </c>
      <c r="AG169" s="8" t="s">
        <v>1727</v>
      </c>
      <c r="AH169" s="47"/>
      <c r="AI169" s="47">
        <f>VLOOKUP(B169,'Components Usage'!A$2:C$603,3,FALSE)</f>
        <v>5</v>
      </c>
      <c r="AJ169" s="28" t="s">
        <v>2401</v>
      </c>
    </row>
    <row r="170" spans="1:36" ht="30" hidden="1" x14ac:dyDescent="0.25">
      <c r="A170" s="16" t="str">
        <f>'Components Data Source'!A170</f>
        <v>Temperature Sensor (Grove 101020015)</v>
      </c>
      <c r="B170" s="8" t="str">
        <f>'Components Data Source'!B170</f>
        <v>DE8DCAB3-C23B-48B4-A88E-3EB8B584109F</v>
      </c>
      <c r="C170" s="41" t="str">
        <f>'Components Data Source'!C170</f>
        <v>Grove_Temperature_Sensor.fcpx</v>
      </c>
      <c r="D170" s="8" t="str">
        <f>'Components Data Source'!D170</f>
        <v>Components\IO_Source\Grove\TemperatureSensor.fcfx</v>
      </c>
      <c r="E170" s="8" t="str">
        <f>'Components Data Source'!E170</f>
        <v>SENSORS</v>
      </c>
      <c r="F170" s="8" t="str">
        <f>'Components Data Source'!F170</f>
        <v>ENVIRONMENTAL</v>
      </c>
      <c r="G170" s="8">
        <f>'Components Data Source'!G170</f>
        <v>0</v>
      </c>
      <c r="H170" s="8">
        <f>'Components Data Source'!H170</f>
        <v>0</v>
      </c>
      <c r="I170" s="8">
        <f>'Components Data Source'!I170</f>
        <v>0</v>
      </c>
      <c r="J170" s="8">
        <f>'Components Data Source'!J170</f>
        <v>1</v>
      </c>
      <c r="K170" s="8">
        <f>'Components Data Source'!K170</f>
        <v>1</v>
      </c>
      <c r="L170" s="8">
        <f>'Components Data Source'!L170</f>
        <v>0</v>
      </c>
      <c r="M170" s="8" t="s">
        <v>1727</v>
      </c>
      <c r="N170" s="17" t="str">
        <f>HYPERLINK('Components Data Source'!M170)</f>
        <v>https://www.flowcode.co.uk/wiki/index.php?title=Component:_ID_de8dcab3_c23b_48b4_a88e_3eb8b584109f</v>
      </c>
      <c r="O170" s="8" t="s">
        <v>2589</v>
      </c>
      <c r="P170" s="8"/>
      <c r="Q170" s="8" t="str">
        <f t="shared" si="6"/>
        <v/>
      </c>
      <c r="R170" s="1" t="s">
        <v>1721</v>
      </c>
      <c r="S170" s="1" t="s">
        <v>1721</v>
      </c>
      <c r="T170" s="1" t="s">
        <v>1727</v>
      </c>
      <c r="U170" s="1" t="s">
        <v>1727</v>
      </c>
      <c r="V170" s="1" t="s">
        <v>1731</v>
      </c>
      <c r="W170" s="1" t="s">
        <v>1731</v>
      </c>
      <c r="X170" s="1" t="s">
        <v>1721</v>
      </c>
      <c r="Y170" s="8" t="s">
        <v>1721</v>
      </c>
      <c r="Z170" s="18">
        <f t="shared" si="5"/>
        <v>1</v>
      </c>
      <c r="AA170" s="8"/>
      <c r="AB170" s="7"/>
      <c r="AC170" s="7"/>
      <c r="AD170" s="8" t="s">
        <v>1721</v>
      </c>
      <c r="AE170" s="8" t="s">
        <v>1727</v>
      </c>
      <c r="AF170" s="8" t="s">
        <v>1727</v>
      </c>
      <c r="AG170" s="8" t="s">
        <v>1727</v>
      </c>
      <c r="AH170" s="47"/>
      <c r="AI170" s="47">
        <f>VLOOKUP(B170,'Components Usage'!A$2:C$603,3,FALSE)</f>
        <v>4</v>
      </c>
      <c r="AJ170" s="28" t="s">
        <v>2401</v>
      </c>
    </row>
    <row r="171" spans="1:36" hidden="1" x14ac:dyDescent="0.25">
      <c r="A171" s="16" t="str">
        <f>'Components Data Source'!A171</f>
        <v>Ultrasonic Ranger (Grove 101020010)</v>
      </c>
      <c r="B171" s="8" t="str">
        <f>'Components Data Source'!B171</f>
        <v>06C52475-F44F-41F3-AAE7-9DDEEE44FC06</v>
      </c>
      <c r="C171" s="41" t="str">
        <f>'Components Data Source'!C171</f>
        <v>Grove_Ultrasonic_Ranger.fcpx</v>
      </c>
      <c r="D171" s="8" t="str">
        <f>'Components Data Source'!D171</f>
        <v>Components\IO_Source\Grove\Ultrasonic Ranger.fcfx</v>
      </c>
      <c r="E171" s="8" t="str">
        <f>'Components Data Source'!E171</f>
        <v>SENSORS</v>
      </c>
      <c r="F171" s="8" t="str">
        <f>'Components Data Source'!F171</f>
        <v>AUDIO</v>
      </c>
      <c r="G171" s="8">
        <f>'Components Data Source'!G171</f>
        <v>0</v>
      </c>
      <c r="H171" s="8">
        <f>'Components Data Source'!H171</f>
        <v>0</v>
      </c>
      <c r="I171" s="8">
        <f>'Components Data Source'!I171</f>
        <v>0</v>
      </c>
      <c r="J171" s="8">
        <f>'Components Data Source'!J171</f>
        <v>1</v>
      </c>
      <c r="K171" s="8">
        <f>'Components Data Source'!K171</f>
        <v>1</v>
      </c>
      <c r="L171" s="8">
        <f>'Components Data Source'!L171</f>
        <v>0</v>
      </c>
      <c r="M171" s="8" t="s">
        <v>1727</v>
      </c>
      <c r="N171" s="17" t="str">
        <f>HYPERLINK('Components Data Source'!M171)</f>
        <v>https://www.flowcode.co.uk/wiki/index.php?title=Component:_ID_06c52475_f44f_41f3_aae7_9ddeee44fc06</v>
      </c>
      <c r="O171" s="8" t="s">
        <v>1721</v>
      </c>
      <c r="P171" s="8"/>
      <c r="Q171" s="8" t="str">
        <f t="shared" si="6"/>
        <v/>
      </c>
      <c r="R171" s="1" t="s">
        <v>1721</v>
      </c>
      <c r="S171" s="1" t="s">
        <v>1721</v>
      </c>
      <c r="T171" s="8" t="s">
        <v>1727</v>
      </c>
      <c r="U171" s="8" t="s">
        <v>1727</v>
      </c>
      <c r="V171" s="1" t="s">
        <v>1731</v>
      </c>
      <c r="W171" s="1" t="s">
        <v>1731</v>
      </c>
      <c r="X171" s="8" t="s">
        <v>1721</v>
      </c>
      <c r="Y171" s="8" t="s">
        <v>1721</v>
      </c>
      <c r="Z171" s="18">
        <f t="shared" si="5"/>
        <v>1</v>
      </c>
      <c r="AA171" s="8"/>
      <c r="AB171" s="7"/>
      <c r="AC171" s="7"/>
      <c r="AD171" s="8" t="s">
        <v>1721</v>
      </c>
      <c r="AE171" s="8" t="s">
        <v>1721</v>
      </c>
      <c r="AF171" s="8" t="s">
        <v>2401</v>
      </c>
      <c r="AG171" s="8" t="s">
        <v>1721</v>
      </c>
      <c r="AH171" s="47"/>
      <c r="AI171" s="47">
        <f>VLOOKUP(B171,'Components Usage'!A$2:C$603,3,FALSE)</f>
        <v>16</v>
      </c>
      <c r="AJ171" s="28" t="s">
        <v>2401</v>
      </c>
    </row>
    <row r="172" spans="1:36" hidden="1" x14ac:dyDescent="0.25">
      <c r="A172" s="16" t="str">
        <f>'Components Data Source'!A172</f>
        <v>Water Sensor (Grove 101020018)</v>
      </c>
      <c r="B172" s="8" t="str">
        <f>'Components Data Source'!B172</f>
        <v>4B57CCB5-9E55-4D0E-8961-43F6FCAEC2D7</v>
      </c>
      <c r="C172" s="41" t="str">
        <f>'Components Data Source'!C172</f>
        <v>Grove_Water_Sensor.fcpx</v>
      </c>
      <c r="D172" s="8" t="str">
        <f>'Components Data Source'!D172</f>
        <v>Components\IO_Source\Grove\Grove Water Sensor.fcfx</v>
      </c>
      <c r="E172" s="8" t="str">
        <f>'Components Data Source'!E172</f>
        <v>SENSORS</v>
      </c>
      <c r="F172" s="8" t="str">
        <f>'Components Data Source'!F172</f>
        <v>ENVIRONMENTAL</v>
      </c>
      <c r="G172" s="8">
        <f>'Components Data Source'!G172</f>
        <v>0</v>
      </c>
      <c r="H172" s="8">
        <f>'Components Data Source'!H172</f>
        <v>0</v>
      </c>
      <c r="I172" s="8">
        <f>'Components Data Source'!I172</f>
        <v>0</v>
      </c>
      <c r="J172" s="8">
        <f>'Components Data Source'!J172</f>
        <v>1</v>
      </c>
      <c r="K172" s="8">
        <f>'Components Data Source'!K172</f>
        <v>1</v>
      </c>
      <c r="L172" s="8">
        <f>'Components Data Source'!L172</f>
        <v>0</v>
      </c>
      <c r="M172" s="8" t="s">
        <v>1727</v>
      </c>
      <c r="N172" s="17" t="str">
        <f>HYPERLINK('Components Data Source'!M172)</f>
        <v>https://www.flowcode.co.uk/wiki/index.php?title=Component:_ID_4b57ccb5_9e55_4d0e_8961_43f6fcaec2d7</v>
      </c>
      <c r="O172" s="8" t="s">
        <v>1721</v>
      </c>
      <c r="P172" s="8"/>
      <c r="Q172" s="8" t="str">
        <f t="shared" si="6"/>
        <v/>
      </c>
      <c r="R172" s="1" t="s">
        <v>1721</v>
      </c>
      <c r="S172" s="1" t="s">
        <v>1721</v>
      </c>
      <c r="T172" s="1" t="s">
        <v>1727</v>
      </c>
      <c r="U172" s="1" t="s">
        <v>1721</v>
      </c>
      <c r="V172" s="1" t="s">
        <v>1731</v>
      </c>
      <c r="W172" s="1" t="s">
        <v>1731</v>
      </c>
      <c r="X172" s="1" t="s">
        <v>1721</v>
      </c>
      <c r="Y172" s="8" t="s">
        <v>1721</v>
      </c>
      <c r="Z172" s="18">
        <f t="shared" si="5"/>
        <v>1</v>
      </c>
      <c r="AA172" s="8"/>
      <c r="AB172" s="7" t="s">
        <v>2482</v>
      </c>
      <c r="AC172" s="7"/>
      <c r="AD172" s="8" t="s">
        <v>1721</v>
      </c>
      <c r="AE172" s="8" t="s">
        <v>1727</v>
      </c>
      <c r="AF172" s="8" t="s">
        <v>1727</v>
      </c>
      <c r="AG172" s="8" t="s">
        <v>1727</v>
      </c>
      <c r="AH172" s="47"/>
      <c r="AI172" s="47">
        <f>VLOOKUP(B172,'Components Usage'!A$2:C$603,3,FALSE)</f>
        <v>2</v>
      </c>
      <c r="AJ172" s="28" t="s">
        <v>2401</v>
      </c>
    </row>
    <row r="173" spans="1:36" ht="30" hidden="1" x14ac:dyDescent="0.25">
      <c r="A173" s="16" t="str">
        <f>'Components Data Source'!A173</f>
        <v>Gyroscope 3-Axis SPI (L3GD20)</v>
      </c>
      <c r="B173" s="8" t="str">
        <f>'Components Data Source'!B173</f>
        <v>593B7216-0A11-465C-9CF5-3B809503A72C</v>
      </c>
      <c r="C173" s="41" t="str">
        <f>'Components Data Source'!C173</f>
        <v>Gyro_L3GD20.fcpx</v>
      </c>
      <c r="D173" s="8" t="str">
        <f>'Components Data Source'!D173</f>
        <v>Components\IO_Source\Sensors\Gyroscope_L3GD20_SPI.fcfx</v>
      </c>
      <c r="E173" s="8" t="str">
        <f>'Components Data Source'!E173</f>
        <v>SENSORS</v>
      </c>
      <c r="F173" s="8" t="str">
        <f>'Components Data Source'!F173</f>
        <v>MOVEMENT &amp;AMP; ORIENTATION</v>
      </c>
      <c r="G173" s="8">
        <f>'Components Data Source'!G173</f>
        <v>0</v>
      </c>
      <c r="H173" s="8">
        <f>'Components Data Source'!H173</f>
        <v>0</v>
      </c>
      <c r="I173" s="8" t="str">
        <f>'Components Data Source'!I173</f>
        <v xml:space="preserve">SPI </v>
      </c>
      <c r="J173" s="8">
        <f>'Components Data Source'!J173</f>
        <v>1</v>
      </c>
      <c r="K173" s="8">
        <f>'Components Data Source'!K173</f>
        <v>1</v>
      </c>
      <c r="L173" s="8">
        <f>'Components Data Source'!L173</f>
        <v>1</v>
      </c>
      <c r="M173" s="8" t="s">
        <v>1727</v>
      </c>
      <c r="N173" s="17" t="str">
        <f>HYPERLINK('Components Data Source'!M173)</f>
        <v>https://www.flowcode.co.uk/wiki/index.php?title=Component:_ID_593b7216_0a11_465c_9cf5_3b809503a72c</v>
      </c>
      <c r="O173" s="8" t="s">
        <v>1721</v>
      </c>
      <c r="P173" s="8" t="s">
        <v>2774</v>
      </c>
      <c r="Q173" s="8" t="str">
        <f t="shared" si="6"/>
        <v/>
      </c>
      <c r="R173" s="1" t="s">
        <v>1721</v>
      </c>
      <c r="S173" s="1" t="s">
        <v>1721</v>
      </c>
      <c r="T173" s="1" t="s">
        <v>1721</v>
      </c>
      <c r="U173" s="1" t="s">
        <v>1721</v>
      </c>
      <c r="V173" s="1" t="s">
        <v>1731</v>
      </c>
      <c r="W173" s="1" t="s">
        <v>1180</v>
      </c>
      <c r="X173" s="1" t="s">
        <v>1721</v>
      </c>
      <c r="Y173" s="8" t="s">
        <v>1721</v>
      </c>
      <c r="Z173" s="18">
        <f t="shared" si="5"/>
        <v>1</v>
      </c>
      <c r="AA173" s="8"/>
      <c r="AB173" s="6" t="s">
        <v>2443</v>
      </c>
      <c r="AC173" s="7"/>
      <c r="AD173" s="8" t="s">
        <v>1721</v>
      </c>
      <c r="AE173" s="8" t="s">
        <v>1727</v>
      </c>
      <c r="AF173" s="8" t="s">
        <v>1727</v>
      </c>
      <c r="AG173" s="8" t="s">
        <v>1727</v>
      </c>
      <c r="AH173" s="47"/>
      <c r="AI173" s="47">
        <f>VLOOKUP(B173,'Components Usage'!A$2:C$603,3,FALSE)</f>
        <v>0</v>
      </c>
      <c r="AJ173" s="28" t="s">
        <v>2401</v>
      </c>
    </row>
    <row r="174" spans="1:36" hidden="1" x14ac:dyDescent="0.25">
      <c r="A174" s="16" t="str">
        <f>'Components Data Source'!A174</f>
        <v>Magnetometer 3-Axis(HMC5883L)</v>
      </c>
      <c r="B174" s="8" t="str">
        <f>'Components Data Source'!B174</f>
        <v>4C2256C0-4453-4369-8C36-09770D223A09</v>
      </c>
      <c r="C174" s="41" t="str">
        <f>'Components Data Source'!C174</f>
        <v>HMC5883_Magnetometer.fcpx</v>
      </c>
      <c r="D174" s="8" t="str">
        <f>'Components Data Source'!D174</f>
        <v>Components\IO_Source\Sensors\Magnetometer_HMC5883.fcfx</v>
      </c>
      <c r="E174" s="8" t="str">
        <f>'Components Data Source'!E174</f>
        <v>SENSORS</v>
      </c>
      <c r="F174" s="8" t="str">
        <f>'Components Data Source'!F174</f>
        <v>MOVEMENT &amp;AMP; ORIENTATION</v>
      </c>
      <c r="G174" s="8">
        <f>'Components Data Source'!G174</f>
        <v>0</v>
      </c>
      <c r="H174" s="8">
        <f>'Components Data Source'!H174</f>
        <v>0</v>
      </c>
      <c r="I174" s="8" t="str">
        <f>'Components Data Source'!I174</f>
        <v xml:space="preserve">I2C </v>
      </c>
      <c r="J174" s="8">
        <f>'Components Data Source'!J174</f>
        <v>1</v>
      </c>
      <c r="K174" s="8">
        <f>'Components Data Source'!K174</f>
        <v>1</v>
      </c>
      <c r="L174" s="8">
        <f>'Components Data Source'!L174</f>
        <v>1</v>
      </c>
      <c r="M174" s="8" t="s">
        <v>1727</v>
      </c>
      <c r="N174" s="17" t="str">
        <f>HYPERLINK('Components Data Source'!M174)</f>
        <v>https://www.flowcode.co.uk/wiki/index.php?title=Component:_ID_4c2256c0_4453_4369_8c36_09770d223a09</v>
      </c>
      <c r="O174" s="8" t="s">
        <v>1721</v>
      </c>
      <c r="P174" s="8" t="s">
        <v>2774</v>
      </c>
      <c r="Q174" s="8" t="str">
        <f t="shared" si="6"/>
        <v/>
      </c>
      <c r="R174" s="1" t="s">
        <v>1721</v>
      </c>
      <c r="S174" s="1" t="s">
        <v>1721</v>
      </c>
      <c r="T174" s="1" t="s">
        <v>1721</v>
      </c>
      <c r="U174" s="1" t="s">
        <v>1721</v>
      </c>
      <c r="V174" s="1" t="s">
        <v>1731</v>
      </c>
      <c r="W174" s="1" t="s">
        <v>1175</v>
      </c>
      <c r="X174" s="1" t="s">
        <v>1721</v>
      </c>
      <c r="Y174" s="8" t="s">
        <v>2401</v>
      </c>
      <c r="Z174" s="18">
        <f t="shared" si="5"/>
        <v>3</v>
      </c>
      <c r="AA174" s="8"/>
      <c r="AB174" s="11" t="s">
        <v>2446</v>
      </c>
      <c r="AC174" s="7"/>
      <c r="AD174" s="8" t="s">
        <v>1721</v>
      </c>
      <c r="AE174" s="8" t="s">
        <v>1721</v>
      </c>
      <c r="AF174" s="8" t="s">
        <v>1727</v>
      </c>
      <c r="AG174" s="8" t="s">
        <v>1721</v>
      </c>
      <c r="AH174" s="47"/>
      <c r="AI174" s="47">
        <f>VLOOKUP(B174,'Components Usage'!A$2:C$603,3,FALSE)</f>
        <v>1</v>
      </c>
      <c r="AJ174" s="28" t="s">
        <v>2401</v>
      </c>
    </row>
    <row r="175" spans="1:36" ht="30" hidden="1" x14ac:dyDescent="0.25">
      <c r="A175" s="16" t="str">
        <f>'Components Data Source'!A175</f>
        <v>Temp / Humidity(HTS221)</v>
      </c>
      <c r="B175" s="8" t="str">
        <f>'Components Data Source'!B175</f>
        <v>66E6F00D-D894-49DE-A768-02997EAF45E1</v>
      </c>
      <c r="C175" s="41" t="str">
        <f>'Components Data Source'!C175</f>
        <v>HTS221.fcpx</v>
      </c>
      <c r="D175" s="8" t="str">
        <f>'Components Data Source'!D175</f>
        <v>Components\IO_Source\Sensors\Humidity_HTS221.fcfx</v>
      </c>
      <c r="E175" s="8" t="str">
        <f>'Components Data Source'!E175</f>
        <v>SENSORS</v>
      </c>
      <c r="F175" s="8" t="str">
        <f>'Components Data Source'!F175</f>
        <v>ENVIRONMENTAL</v>
      </c>
      <c r="G175" s="8">
        <f>'Components Data Source'!G175</f>
        <v>0</v>
      </c>
      <c r="H175" s="8">
        <f>'Components Data Source'!H175</f>
        <v>0</v>
      </c>
      <c r="I175" s="8" t="str">
        <f>'Components Data Source'!I175</f>
        <v xml:space="preserve">I2C </v>
      </c>
      <c r="J175" s="8">
        <f>'Components Data Source'!J175</f>
        <v>1</v>
      </c>
      <c r="K175" s="8">
        <f>'Components Data Source'!K175</f>
        <v>1</v>
      </c>
      <c r="L175" s="8">
        <f>'Components Data Source'!L175</f>
        <v>1</v>
      </c>
      <c r="M175" s="8" t="s">
        <v>1727</v>
      </c>
      <c r="N175" s="17" t="str">
        <f>HYPERLINK('Components Data Source'!M175)</f>
        <v>https://www.flowcode.co.uk/wiki/index.php?title=Component:_ID_66e6f00d_d894_49de_a768_02997eaf45e1</v>
      </c>
      <c r="O175" s="8" t="s">
        <v>1721</v>
      </c>
      <c r="P175" s="8"/>
      <c r="Q175" s="8" t="str">
        <f t="shared" si="6"/>
        <v/>
      </c>
      <c r="R175" s="1" t="s">
        <v>1721</v>
      </c>
      <c r="S175" s="1" t="s">
        <v>1721</v>
      </c>
      <c r="T175" s="1" t="s">
        <v>1721</v>
      </c>
      <c r="U175" s="1" t="s">
        <v>1721</v>
      </c>
      <c r="V175" s="1" t="s">
        <v>1731</v>
      </c>
      <c r="W175" s="1" t="s">
        <v>1175</v>
      </c>
      <c r="X175" s="1" t="s">
        <v>1721</v>
      </c>
      <c r="Y175" s="8" t="s">
        <v>1721</v>
      </c>
      <c r="Z175" s="18">
        <f t="shared" si="5"/>
        <v>1</v>
      </c>
      <c r="AA175" s="8" t="s">
        <v>1727</v>
      </c>
      <c r="AB175" s="11" t="s">
        <v>2457</v>
      </c>
      <c r="AC175" s="7"/>
      <c r="AD175" s="8" t="s">
        <v>1721</v>
      </c>
      <c r="AE175" s="8" t="s">
        <v>1727</v>
      </c>
      <c r="AF175" s="8" t="s">
        <v>1727</v>
      </c>
      <c r="AG175" s="8" t="s">
        <v>1727</v>
      </c>
      <c r="AH175" s="47"/>
      <c r="AI175" s="47">
        <f>VLOOKUP(B175,'Components Usage'!A$2:C$603,3,FALSE)</f>
        <v>0</v>
      </c>
      <c r="AJ175" s="28" t="s">
        <v>2401</v>
      </c>
    </row>
    <row r="176" spans="1:36" hidden="1" x14ac:dyDescent="0.25">
      <c r="A176" s="16" t="str">
        <f>'Components Data Source'!A176</f>
        <v>Load Cell(HX711)</v>
      </c>
      <c r="B176" s="8" t="str">
        <f>'Components Data Source'!B176</f>
        <v>E8EC17BD-A898-44D2-83AF-968C96826948</v>
      </c>
      <c r="C176" s="41" t="str">
        <f>'Components Data Source'!C176</f>
        <v>HX711.fcpx</v>
      </c>
      <c r="D176" s="8" t="str">
        <f>'Components Data Source'!D176</f>
        <v>Components\IO_Source\Sensors\HX711.fcfx</v>
      </c>
      <c r="E176" s="8" t="str">
        <f>'Components Data Source'!E176</f>
        <v>SENSORS</v>
      </c>
      <c r="F176" s="8" t="str">
        <f>'Components Data Source'!F176</f>
        <v>FORCE</v>
      </c>
      <c r="G176" s="8">
        <f>'Components Data Source'!G176</f>
        <v>0</v>
      </c>
      <c r="H176" s="8">
        <f>'Components Data Source'!H176</f>
        <v>0</v>
      </c>
      <c r="I176" s="8">
        <f>'Components Data Source'!I176</f>
        <v>0</v>
      </c>
      <c r="J176" s="8">
        <f>'Components Data Source'!J176</f>
        <v>1</v>
      </c>
      <c r="K176" s="8">
        <f>'Components Data Source'!K176</f>
        <v>1</v>
      </c>
      <c r="L176" s="8">
        <f>'Components Data Source'!L176</f>
        <v>0</v>
      </c>
      <c r="M176" s="8" t="s">
        <v>1727</v>
      </c>
      <c r="N176" s="17" t="str">
        <f>HYPERLINK('Components Data Source'!M176)</f>
        <v>https://www.flowcode.co.uk/wiki/index.php?title=Component:_ID_e8ec17bd_a898_44d2_83af_968c96826948</v>
      </c>
      <c r="O176" s="8" t="s">
        <v>1721</v>
      </c>
      <c r="P176" s="8"/>
      <c r="Q176" s="8" t="str">
        <f t="shared" si="6"/>
        <v/>
      </c>
      <c r="R176" s="8" t="s">
        <v>1721</v>
      </c>
      <c r="S176" s="8" t="s">
        <v>1721</v>
      </c>
      <c r="T176" s="8" t="s">
        <v>1727</v>
      </c>
      <c r="U176" s="8" t="s">
        <v>1727</v>
      </c>
      <c r="V176" s="8" t="s">
        <v>1731</v>
      </c>
      <c r="W176" s="8" t="s">
        <v>1731</v>
      </c>
      <c r="X176" s="8" t="s">
        <v>1721</v>
      </c>
      <c r="Y176" s="8" t="s">
        <v>1721</v>
      </c>
      <c r="Z176" s="18">
        <f t="shared" si="5"/>
        <v>1</v>
      </c>
      <c r="AA176" s="8"/>
      <c r="AB176" s="7"/>
      <c r="AC176" s="7"/>
      <c r="AD176" s="8" t="s">
        <v>1721</v>
      </c>
      <c r="AE176" s="8" t="s">
        <v>1721</v>
      </c>
      <c r="AF176" s="8" t="s">
        <v>1727</v>
      </c>
      <c r="AG176" s="8" t="s">
        <v>1721</v>
      </c>
      <c r="AH176" s="47"/>
      <c r="AI176" s="47">
        <f>VLOOKUP(B176,'Components Usage'!A$2:C$603,3,FALSE)</f>
        <v>13</v>
      </c>
      <c r="AJ176" s="28" t="s">
        <v>2401</v>
      </c>
    </row>
    <row r="177" spans="1:36" hidden="1" x14ac:dyDescent="0.25">
      <c r="A177" s="16" t="str">
        <f>'Components Data Source'!A177</f>
        <v>Hall Effect Analog</v>
      </c>
      <c r="B177" s="8" t="str">
        <f>'Components Data Source'!B177</f>
        <v>C14492DA-A844-40E6-AE29-50E58864B237</v>
      </c>
      <c r="C177" s="41" t="str">
        <f>'Components Data Source'!C177</f>
        <v>Hall_Analog.fcpx</v>
      </c>
      <c r="D177" s="8" t="str">
        <f>'Components Data Source'!D177</f>
        <v>Components\IO_Source\Sensors\HallEffect_Analog.fcfx</v>
      </c>
      <c r="E177" s="8" t="str">
        <f>'Components Data Source'!E177</f>
        <v>SENSORS</v>
      </c>
      <c r="F177" s="8" t="str">
        <f>'Components Data Source'!F177</f>
        <v>MAGNETIC</v>
      </c>
      <c r="G177" s="8">
        <f>'Components Data Source'!G177</f>
        <v>0</v>
      </c>
      <c r="H177" s="8">
        <f>'Components Data Source'!H177</f>
        <v>0</v>
      </c>
      <c r="I177" s="8">
        <f>'Components Data Source'!I177</f>
        <v>0</v>
      </c>
      <c r="J177" s="8">
        <f>'Components Data Source'!J177</f>
        <v>1</v>
      </c>
      <c r="K177" s="8">
        <f>'Components Data Source'!K177</f>
        <v>1</v>
      </c>
      <c r="L177" s="8">
        <f>'Components Data Source'!L177</f>
        <v>0</v>
      </c>
      <c r="M177" s="8" t="s">
        <v>1727</v>
      </c>
      <c r="N177" s="17" t="str">
        <f>HYPERLINK('Components Data Source'!M177)</f>
        <v>https://www.flowcode.co.uk/wiki/index.php?title=Component:_ID_c14492da_a844_40e6_ae29_50e58864b237</v>
      </c>
      <c r="O177" s="8" t="s">
        <v>1721</v>
      </c>
      <c r="P177" s="8"/>
      <c r="Q177" s="8" t="str">
        <f t="shared" si="6"/>
        <v/>
      </c>
      <c r="R177" s="8" t="s">
        <v>1721</v>
      </c>
      <c r="S177" s="8" t="s">
        <v>1721</v>
      </c>
      <c r="T177" s="8" t="s">
        <v>1727</v>
      </c>
      <c r="U177" s="8" t="s">
        <v>1727</v>
      </c>
      <c r="V177" s="8" t="s">
        <v>1731</v>
      </c>
      <c r="W177" s="8" t="s">
        <v>1731</v>
      </c>
      <c r="X177" s="8" t="s">
        <v>1721</v>
      </c>
      <c r="Y177" s="8" t="s">
        <v>1721</v>
      </c>
      <c r="Z177" s="18">
        <f t="shared" si="5"/>
        <v>1</v>
      </c>
      <c r="AA177" s="8"/>
      <c r="AB177" s="7"/>
      <c r="AC177" s="7"/>
      <c r="AD177" s="8" t="s">
        <v>1721</v>
      </c>
      <c r="AE177" s="8" t="s">
        <v>1727</v>
      </c>
      <c r="AF177" s="8" t="s">
        <v>2401</v>
      </c>
      <c r="AG177" s="8" t="s">
        <v>1727</v>
      </c>
      <c r="AH177" s="47"/>
      <c r="AI177" s="47">
        <f>VLOOKUP(B177,'Components Usage'!A$2:C$603,3,FALSE)</f>
        <v>1</v>
      </c>
      <c r="AJ177" s="28" t="s">
        <v>2401</v>
      </c>
    </row>
    <row r="178" spans="1:36" hidden="1" x14ac:dyDescent="0.25">
      <c r="A178" s="16" t="str">
        <f>'Components Data Source'!A178</f>
        <v>Hall Effect Digital</v>
      </c>
      <c r="B178" s="8" t="str">
        <f>'Components Data Source'!B178</f>
        <v>655234DB-5700-4206-934F-56E499EDBFF9</v>
      </c>
      <c r="C178" s="41" t="str">
        <f>'Components Data Source'!C178</f>
        <v>Hall_Digital.fcpx</v>
      </c>
      <c r="D178" s="8" t="str">
        <f>'Components Data Source'!D178</f>
        <v>Components\IO_Source\Sensors\HallEffect_Digital.fcfx</v>
      </c>
      <c r="E178" s="8" t="str">
        <f>'Components Data Source'!E178</f>
        <v>SENSORS</v>
      </c>
      <c r="F178" s="8" t="str">
        <f>'Components Data Source'!F178</f>
        <v>MAGNETIC</v>
      </c>
      <c r="G178" s="8">
        <f>'Components Data Source'!G178</f>
        <v>0</v>
      </c>
      <c r="H178" s="8">
        <f>'Components Data Source'!H178</f>
        <v>0</v>
      </c>
      <c r="I178" s="8">
        <f>'Components Data Source'!I178</f>
        <v>0</v>
      </c>
      <c r="J178" s="8">
        <f>'Components Data Source'!J178</f>
        <v>1</v>
      </c>
      <c r="K178" s="8">
        <f>'Components Data Source'!K178</f>
        <v>1</v>
      </c>
      <c r="L178" s="8">
        <f>'Components Data Source'!L178</f>
        <v>0</v>
      </c>
      <c r="M178" s="8" t="s">
        <v>1727</v>
      </c>
      <c r="N178" s="17" t="str">
        <f>HYPERLINK('Components Data Source'!M178)</f>
        <v>https://www.flowcode.co.uk/wiki/index.php?title=Component:_ID_655234db_5700_4206_934f_56e499edbff9</v>
      </c>
      <c r="O178" s="8" t="s">
        <v>1721</v>
      </c>
      <c r="P178" s="8"/>
      <c r="Q178" s="8" t="str">
        <f t="shared" si="6"/>
        <v/>
      </c>
      <c r="R178" s="8" t="s">
        <v>2520</v>
      </c>
      <c r="S178" s="8"/>
      <c r="T178" s="8"/>
      <c r="U178" s="8"/>
      <c r="V178" s="8" t="s">
        <v>1730</v>
      </c>
      <c r="W178" s="8" t="s">
        <v>1730</v>
      </c>
      <c r="X178" s="8"/>
      <c r="Y178" s="8"/>
      <c r="Z178" s="18">
        <f t="shared" si="5"/>
        <v>0</v>
      </c>
      <c r="AA178" s="8"/>
      <c r="AB178" s="7" t="s">
        <v>2514</v>
      </c>
      <c r="AC178" s="7"/>
      <c r="AD178" s="8" t="s">
        <v>1721</v>
      </c>
      <c r="AE178" s="8" t="s">
        <v>1721</v>
      </c>
      <c r="AF178" s="8" t="s">
        <v>2401</v>
      </c>
      <c r="AG178" s="8" t="s">
        <v>1721</v>
      </c>
      <c r="AH178" s="47"/>
      <c r="AI178" s="47">
        <f>VLOOKUP(B178,'Components Usage'!A$2:C$603,3,FALSE)</f>
        <v>1</v>
      </c>
      <c r="AJ178" s="28" t="s">
        <v>2401</v>
      </c>
    </row>
    <row r="179" spans="1:36" hidden="1" x14ac:dyDescent="0.25">
      <c r="A179" s="16" t="str">
        <f>'Components Data Source'!A179</f>
        <v>Hopper</v>
      </c>
      <c r="B179" s="8" t="str">
        <f>'Components Data Source'!B179</f>
        <v>CC493328-7354-44DE-B2F1-B70AFAC30DFF</v>
      </c>
      <c r="C179" s="41" t="str">
        <f>'Components Data Source'!C179</f>
        <v>Hopper.fcpx</v>
      </c>
      <c r="D179" s="8" t="str">
        <f>'Components Data Source'!D179</f>
        <v>Components\IO_Source\SCADA\Hopper.fcfx</v>
      </c>
      <c r="E179" s="8" t="str">
        <f>'Components Data Source'!E179</f>
        <v>SCADA</v>
      </c>
      <c r="F179" s="8" t="str">
        <f>'Components Data Source'!F179</f>
        <v>INDUSTRIAL</v>
      </c>
      <c r="G179" s="8">
        <f>'Components Data Source'!G179</f>
        <v>0</v>
      </c>
      <c r="H179" s="8">
        <f>'Components Data Source'!H179</f>
        <v>0</v>
      </c>
      <c r="I179" s="8">
        <f>'Components Data Source'!I179</f>
        <v>0</v>
      </c>
      <c r="J179" s="8">
        <f>'Components Data Source'!J179</f>
        <v>1</v>
      </c>
      <c r="K179" s="8">
        <f>'Components Data Source'!K179</f>
        <v>1</v>
      </c>
      <c r="L179" s="8">
        <f>'Components Data Source'!L179</f>
        <v>1</v>
      </c>
      <c r="M179" s="8" t="s">
        <v>1727</v>
      </c>
      <c r="N179" s="17" t="str">
        <f>HYPERLINK('Components Data Source'!M179)</f>
        <v>https://www.flowcode.co.uk/wiki/index.php?title=Component:_ID_cc493328_7354_44de_b2f1_b70afac30dff</v>
      </c>
      <c r="O179" s="8" t="s">
        <v>1721</v>
      </c>
      <c r="P179" s="8" t="s">
        <v>2774</v>
      </c>
      <c r="Q179" s="8" t="str">
        <f t="shared" si="6"/>
        <v/>
      </c>
      <c r="R179" s="8" t="s">
        <v>1727</v>
      </c>
      <c r="S179" s="8" t="s">
        <v>1727</v>
      </c>
      <c r="T179" s="8"/>
      <c r="U179" s="8"/>
      <c r="V179" s="8" t="s">
        <v>1730</v>
      </c>
      <c r="W179" s="8" t="s">
        <v>1730</v>
      </c>
      <c r="X179" s="8"/>
      <c r="Y179" s="8"/>
      <c r="Z179" s="18">
        <f t="shared" si="5"/>
        <v>2</v>
      </c>
      <c r="AA179" s="8"/>
      <c r="AB179" s="7"/>
      <c r="AC179" s="7"/>
      <c r="AD179" s="8" t="s">
        <v>1721</v>
      </c>
      <c r="AE179" s="8" t="s">
        <v>1721</v>
      </c>
      <c r="AF179" s="8" t="s">
        <v>2401</v>
      </c>
      <c r="AG179" s="8" t="s">
        <v>1721</v>
      </c>
      <c r="AH179" s="47"/>
      <c r="AI179" s="47">
        <f>VLOOKUP(B179,'Components Usage'!A$2:C$603,3,FALSE)</f>
        <v>7</v>
      </c>
      <c r="AJ179" s="28" t="s">
        <v>2401</v>
      </c>
    </row>
    <row r="180" spans="1:36" hidden="1" x14ac:dyDescent="0.25">
      <c r="A180" s="16" t="str">
        <f>'Components Data Source'!A180</f>
        <v>Temp / Humidity(SHT21)</v>
      </c>
      <c r="B180" s="8" t="str">
        <f>'Components Data Source'!B180</f>
        <v>75D7DA2A-C682-4622-AC86-B6EB9ED7A88E</v>
      </c>
      <c r="C180" s="41" t="str">
        <f>'Components Data Source'!C180</f>
        <v>Humidity_SHT21.fcpx</v>
      </c>
      <c r="D180" s="8" t="str">
        <f>'Components Data Source'!D180</f>
        <v>Components\IO_Source\Sensors\Humidity_SHT21.fcfx</v>
      </c>
      <c r="E180" s="8" t="str">
        <f>'Components Data Source'!E180</f>
        <v>SENSORS</v>
      </c>
      <c r="F180" s="8" t="str">
        <f>'Components Data Source'!F180</f>
        <v>ENVIRONMENTAL</v>
      </c>
      <c r="G180" s="8">
        <f>'Components Data Source'!G180</f>
        <v>0</v>
      </c>
      <c r="H180" s="8">
        <f>'Components Data Source'!H180</f>
        <v>0</v>
      </c>
      <c r="I180" s="8" t="str">
        <f>'Components Data Source'!I180</f>
        <v xml:space="preserve">I2C </v>
      </c>
      <c r="J180" s="8">
        <f>'Components Data Source'!J180</f>
        <v>1</v>
      </c>
      <c r="K180" s="8">
        <f>'Components Data Source'!K180</f>
        <v>1</v>
      </c>
      <c r="L180" s="8">
        <f>'Components Data Source'!L180</f>
        <v>1</v>
      </c>
      <c r="M180" s="8" t="s">
        <v>1727</v>
      </c>
      <c r="N180" s="17" t="str">
        <f>HYPERLINK('Components Data Source'!M180)</f>
        <v>https://www.flowcode.co.uk/wiki/index.php?title=Component:_ID_75d7da2a_c682_4622_ac86_b6eb9ed7a88e</v>
      </c>
      <c r="O180" s="8" t="s">
        <v>1721</v>
      </c>
      <c r="P180" s="8"/>
      <c r="Q180" s="8" t="str">
        <f t="shared" si="6"/>
        <v/>
      </c>
      <c r="R180" s="8" t="s">
        <v>1721</v>
      </c>
      <c r="S180" s="8" t="s">
        <v>1721</v>
      </c>
      <c r="T180" s="8" t="s">
        <v>1721</v>
      </c>
      <c r="U180" s="8" t="s">
        <v>1721</v>
      </c>
      <c r="V180" s="8" t="s">
        <v>1731</v>
      </c>
      <c r="W180" s="8" t="s">
        <v>1175</v>
      </c>
      <c r="X180" s="8" t="s">
        <v>1721</v>
      </c>
      <c r="Y180" s="8" t="s">
        <v>1721</v>
      </c>
      <c r="Z180" s="18">
        <f t="shared" si="5"/>
        <v>1</v>
      </c>
      <c r="AA180" s="8"/>
      <c r="AB180" s="9"/>
      <c r="AC180" s="7"/>
      <c r="AD180" s="8" t="s">
        <v>1721</v>
      </c>
      <c r="AE180" s="8" t="s">
        <v>1727</v>
      </c>
      <c r="AF180" s="8" t="s">
        <v>1727</v>
      </c>
      <c r="AG180" s="8" t="s">
        <v>1727</v>
      </c>
      <c r="AH180" s="47"/>
      <c r="AI180" s="47">
        <f>VLOOKUP(B180,'Components Usage'!A$2:C$603,3,FALSE)</f>
        <v>1</v>
      </c>
      <c r="AJ180" s="28" t="s">
        <v>2401</v>
      </c>
    </row>
    <row r="181" spans="1:36" hidden="1" x14ac:dyDescent="0.25">
      <c r="A181" s="16" t="str">
        <f>'Components Data Source'!A181</f>
        <v>Temp / Humidity(SHT31)</v>
      </c>
      <c r="B181" s="8" t="str">
        <f>'Components Data Source'!B181</f>
        <v>4475D8E8-4F60-48BE-8A27-E91D85FBABAE</v>
      </c>
      <c r="C181" s="41" t="str">
        <f>'Components Data Source'!C181</f>
        <v>Humidity_SHT31.fcpx</v>
      </c>
      <c r="D181" s="8" t="str">
        <f>'Components Data Source'!D181</f>
        <v>Components\IO_Source\Sensors\Humidity_SHT31.fcfx</v>
      </c>
      <c r="E181" s="8" t="str">
        <f>'Components Data Source'!E181</f>
        <v>SENSORS</v>
      </c>
      <c r="F181" s="8" t="str">
        <f>'Components Data Source'!F181</f>
        <v>ENVIRONMENTAL</v>
      </c>
      <c r="G181" s="8">
        <f>'Components Data Source'!G181</f>
        <v>0</v>
      </c>
      <c r="H181" s="8">
        <f>'Components Data Source'!H181</f>
        <v>0</v>
      </c>
      <c r="I181" s="8" t="str">
        <f>'Components Data Source'!I181</f>
        <v xml:space="preserve">I2C </v>
      </c>
      <c r="J181" s="8">
        <f>'Components Data Source'!J181</f>
        <v>1</v>
      </c>
      <c r="K181" s="8">
        <f>'Components Data Source'!K181</f>
        <v>1</v>
      </c>
      <c r="L181" s="8">
        <f>'Components Data Source'!L181</f>
        <v>1</v>
      </c>
      <c r="M181" s="8" t="s">
        <v>1727</v>
      </c>
      <c r="N181" s="17" t="str">
        <f>HYPERLINK('Components Data Source'!M181)</f>
        <v>https://www.flowcode.co.uk/wiki/index.php?title=Component:_ID_4475d8e8_4f60_48be_8a27_e91d85fbabae</v>
      </c>
      <c r="O181" s="8" t="s">
        <v>1721</v>
      </c>
      <c r="P181" s="8"/>
      <c r="Q181" s="8" t="str">
        <f t="shared" si="6"/>
        <v/>
      </c>
      <c r="R181" s="8" t="s">
        <v>1721</v>
      </c>
      <c r="S181" s="8" t="s">
        <v>1721</v>
      </c>
      <c r="T181" s="8" t="s">
        <v>1721</v>
      </c>
      <c r="U181" s="8" t="s">
        <v>1721</v>
      </c>
      <c r="V181" s="8" t="s">
        <v>1731</v>
      </c>
      <c r="W181" s="8" t="s">
        <v>1175</v>
      </c>
      <c r="X181" s="8" t="s">
        <v>1721</v>
      </c>
      <c r="Y181" s="8" t="s">
        <v>1721</v>
      </c>
      <c r="Z181" s="18">
        <f t="shared" si="5"/>
        <v>1</v>
      </c>
      <c r="AA181" s="8"/>
      <c r="AB181" s="9"/>
      <c r="AC181" s="7"/>
      <c r="AD181" s="8" t="s">
        <v>1721</v>
      </c>
      <c r="AE181" s="8" t="s">
        <v>1727</v>
      </c>
      <c r="AF181" s="8" t="s">
        <v>1727</v>
      </c>
      <c r="AG181" s="8" t="s">
        <v>1727</v>
      </c>
      <c r="AH181" s="47"/>
      <c r="AI181" s="47">
        <f>VLOOKUP(B181,'Components Usage'!A$2:C$603,3,FALSE)</f>
        <v>7</v>
      </c>
      <c r="AJ181" s="28" t="s">
        <v>2401</v>
      </c>
    </row>
    <row r="182" spans="1:36" x14ac:dyDescent="0.25">
      <c r="A182" s="16" t="str">
        <f>'Components Data Source'!A182</f>
        <v>I2C Multiplexer (TCA9548A)</v>
      </c>
      <c r="B182" s="8" t="str">
        <f>'Components Data Source'!B182</f>
        <v>5915B437-6925-4D90-A0F8-F91702837BDB</v>
      </c>
      <c r="C182" s="41" t="str">
        <f>'Components Data Source'!C182</f>
        <v>I2CMultiplex.fcpx</v>
      </c>
      <c r="D182" s="8" t="str">
        <f>'Components Data Source'!D182</f>
        <v>Components\IO_Source\I2C_Multiplexer_TCA9548A.fcfx</v>
      </c>
      <c r="E182" s="8" t="str">
        <f>'Components Data Source'!E182</f>
        <v>FREE</v>
      </c>
      <c r="F182" s="8" t="str">
        <f>'Components Data Source'!F182</f>
        <v>COMMS: SYSTEM</v>
      </c>
      <c r="G182" s="8">
        <f>'Components Data Source'!G182</f>
        <v>0</v>
      </c>
      <c r="H182" s="8">
        <f>'Components Data Source'!H182</f>
        <v>0</v>
      </c>
      <c r="I182" s="8" t="str">
        <f>'Components Data Source'!I182</f>
        <v xml:space="preserve">I2C </v>
      </c>
      <c r="J182" s="8">
        <f>'Components Data Source'!J182</f>
        <v>1</v>
      </c>
      <c r="K182" s="8">
        <f>'Components Data Source'!K182</f>
        <v>1</v>
      </c>
      <c r="L182" s="8">
        <f>'Components Data Source'!L182</f>
        <v>0</v>
      </c>
      <c r="M182" s="8" t="s">
        <v>1727</v>
      </c>
      <c r="N182" s="17" t="str">
        <f>HYPERLINK('Components Data Source'!M182)</f>
        <v>https://www.flowcode.co.uk/wiki/index.php?title=Component:_ID_5915b437_6925_4d90_a0f8_f91702837bdb</v>
      </c>
      <c r="O182" s="8" t="s">
        <v>1721</v>
      </c>
      <c r="P182" s="8"/>
      <c r="Q182" s="8" t="str">
        <f t="shared" si="6"/>
        <v/>
      </c>
      <c r="R182" s="8" t="s">
        <v>1721</v>
      </c>
      <c r="S182" s="8" t="s">
        <v>1721</v>
      </c>
      <c r="T182" s="8" t="s">
        <v>1721</v>
      </c>
      <c r="U182" s="8" t="s">
        <v>1721</v>
      </c>
      <c r="V182" s="8" t="s">
        <v>1731</v>
      </c>
      <c r="W182" s="8" t="s">
        <v>1175</v>
      </c>
      <c r="X182" s="8"/>
      <c r="Y182" s="8"/>
      <c r="Z182" s="18">
        <f t="shared" si="5"/>
        <v>0</v>
      </c>
      <c r="AA182" s="8"/>
      <c r="AB182" s="7"/>
      <c r="AC182" s="7"/>
      <c r="AD182" s="8" t="s">
        <v>1721</v>
      </c>
      <c r="AE182" s="8" t="s">
        <v>1721</v>
      </c>
      <c r="AF182" s="8" t="s">
        <v>1727</v>
      </c>
      <c r="AG182" s="8" t="s">
        <v>1721</v>
      </c>
      <c r="AH182" s="47"/>
      <c r="AI182" s="47">
        <f>VLOOKUP(B182,'Components Usage'!A$2:C$603,3,FALSE)</f>
        <v>0</v>
      </c>
      <c r="AJ182" s="28" t="s">
        <v>2401</v>
      </c>
    </row>
    <row r="183" spans="1:36" hidden="1" x14ac:dyDescent="0.25">
      <c r="A183" s="16" t="str">
        <f>'Components Data Source'!A183</f>
        <v>I2C Master</v>
      </c>
      <c r="B183" s="8" t="str">
        <f>'Components Data Source'!B183</f>
        <v>24219805-113D-4B12-B6BD-E1B0B0C33981</v>
      </c>
      <c r="C183" s="41" t="str">
        <f>'Components Data Source'!C183</f>
        <v>I2C_Master.fcpx</v>
      </c>
      <c r="D183" s="8" t="str">
        <f>'Components Data Source'!D183</f>
        <v>Components\IO_Source\I2C_Master.fcfx</v>
      </c>
      <c r="E183" s="8" t="str">
        <f>'Components Data Source'!E183</f>
        <v>COMMSA</v>
      </c>
      <c r="F183" s="8" t="str">
        <f>'Components Data Source'!F183</f>
        <v>COMMS: INTERFACE</v>
      </c>
      <c r="G183" s="8" t="str">
        <f>'Components Data Source'!G183</f>
        <v xml:space="preserve">COMMS: INTERFACE </v>
      </c>
      <c r="H183" s="8">
        <f>'Components Data Source'!H183</f>
        <v>0</v>
      </c>
      <c r="I183" s="8" t="str">
        <f>'Components Data Source'!I183</f>
        <v xml:space="preserve">I2C </v>
      </c>
      <c r="J183" s="8">
        <f>'Components Data Source'!J183</f>
        <v>1</v>
      </c>
      <c r="K183" s="8">
        <f>'Components Data Source'!K183</f>
        <v>1</v>
      </c>
      <c r="L183" s="8">
        <f>'Components Data Source'!L183</f>
        <v>1</v>
      </c>
      <c r="M183" s="8" t="s">
        <v>1727</v>
      </c>
      <c r="N183" s="17" t="str">
        <f>HYPERLINK('Components Data Source'!M183)</f>
        <v>https://www.flowcode.co.uk/wiki/index.php?title=Component:_ID_24219805_113d_4b12_b6bd_e1b0b0c33981</v>
      </c>
      <c r="O183" s="8" t="s">
        <v>1721</v>
      </c>
      <c r="P183" s="8"/>
      <c r="Q183" s="8" t="str">
        <f t="shared" si="6"/>
        <v/>
      </c>
      <c r="R183" s="1" t="s">
        <v>1721</v>
      </c>
      <c r="S183" s="1" t="s">
        <v>1721</v>
      </c>
      <c r="T183" s="1" t="s">
        <v>1721</v>
      </c>
      <c r="U183" s="1" t="s">
        <v>1721</v>
      </c>
      <c r="V183" s="1" t="s">
        <v>1731</v>
      </c>
      <c r="W183" s="1" t="s">
        <v>1175</v>
      </c>
      <c r="X183" s="1" t="s">
        <v>1721</v>
      </c>
      <c r="Y183" s="8" t="s">
        <v>1721</v>
      </c>
      <c r="Z183" s="18">
        <f t="shared" si="5"/>
        <v>1</v>
      </c>
      <c r="AA183" s="8"/>
      <c r="AB183" s="7"/>
      <c r="AC183" s="7"/>
      <c r="AD183" s="8" t="s">
        <v>1721</v>
      </c>
      <c r="AE183" s="8" t="s">
        <v>1721</v>
      </c>
      <c r="AF183" s="8" t="s">
        <v>1727</v>
      </c>
      <c r="AG183" s="8" t="s">
        <v>1721</v>
      </c>
      <c r="AH183" s="47"/>
      <c r="AI183" s="47">
        <f>VLOOKUP(B183,'Components Usage'!A$2:C$603,3,FALSE)</f>
        <v>181</v>
      </c>
      <c r="AJ183" s="28" t="s">
        <v>2401</v>
      </c>
    </row>
    <row r="184" spans="1:36" hidden="1" x14ac:dyDescent="0.25">
      <c r="A184" s="16" t="str">
        <f>'Components Data Source'!A184</f>
        <v>I2C Slave</v>
      </c>
      <c r="B184" s="8" t="str">
        <f>'Components Data Source'!B184</f>
        <v>EAC43FDA-0BC5-4B08-881C-6D3E364F2EFF</v>
      </c>
      <c r="C184" s="41" t="str">
        <f>'Components Data Source'!C184</f>
        <v>I2C_Slave.fcpx</v>
      </c>
      <c r="D184" s="8" t="str">
        <f>'Components Data Source'!D184</f>
        <v>Components\IO_Source\I2C_Slave.fcfx</v>
      </c>
      <c r="E184" s="8" t="str">
        <f>'Components Data Source'!E184</f>
        <v>COMMSC</v>
      </c>
      <c r="F184" s="8" t="str">
        <f>'Components Data Source'!F184</f>
        <v>COMMS: INTERFACE</v>
      </c>
      <c r="G184" s="8">
        <f>'Components Data Source'!G184</f>
        <v>0</v>
      </c>
      <c r="H184" s="8">
        <f>'Components Data Source'!H184</f>
        <v>0</v>
      </c>
      <c r="I184" s="8" t="str">
        <f>'Components Data Source'!I184</f>
        <v xml:space="preserve">I2C </v>
      </c>
      <c r="J184" s="8">
        <f>'Components Data Source'!J184</f>
        <v>1</v>
      </c>
      <c r="K184" s="8">
        <f>'Components Data Source'!K184</f>
        <v>1</v>
      </c>
      <c r="L184" s="8">
        <f>'Components Data Source'!L184</f>
        <v>0</v>
      </c>
      <c r="M184" s="8" t="s">
        <v>1727</v>
      </c>
      <c r="N184" s="17" t="str">
        <f>HYPERLINK('Components Data Source'!M184)</f>
        <v>https://www.flowcode.co.uk/wiki/index.php?title=Component:_ID_eac43fda_0bc5_4b08_881c_6d3e364f2eff</v>
      </c>
      <c r="O184" s="8" t="s">
        <v>1721</v>
      </c>
      <c r="P184" s="8"/>
      <c r="Q184" s="8" t="str">
        <f t="shared" si="6"/>
        <v/>
      </c>
      <c r="R184" s="1" t="s">
        <v>1721</v>
      </c>
      <c r="S184" s="1" t="s">
        <v>1721</v>
      </c>
      <c r="T184" s="1" t="s">
        <v>1721</v>
      </c>
      <c r="U184" s="1" t="s">
        <v>1721</v>
      </c>
      <c r="V184" s="1" t="s">
        <v>1731</v>
      </c>
      <c r="W184" s="1" t="s">
        <v>1175</v>
      </c>
      <c r="X184" s="1" t="s">
        <v>1721</v>
      </c>
      <c r="Y184" s="8" t="s">
        <v>1721</v>
      </c>
      <c r="Z184" s="18">
        <f t="shared" si="5"/>
        <v>1</v>
      </c>
      <c r="AA184" s="8"/>
      <c r="AB184" s="7"/>
      <c r="AC184" s="7"/>
      <c r="AD184" s="8" t="s">
        <v>1721</v>
      </c>
      <c r="AE184" s="8" t="s">
        <v>1721</v>
      </c>
      <c r="AF184" s="8" t="s">
        <v>1727</v>
      </c>
      <c r="AG184" s="8" t="s">
        <v>1721</v>
      </c>
      <c r="AH184" s="47"/>
      <c r="AI184" s="47">
        <f>VLOOKUP(B184,'Components Usage'!A$2:C$603,3,FALSE)</f>
        <v>2</v>
      </c>
      <c r="AJ184" s="28" t="s">
        <v>2401</v>
      </c>
    </row>
    <row r="185" spans="1:36" x14ac:dyDescent="0.25">
      <c r="A185" s="16" t="str">
        <f>'Components Data Source'!A185</f>
        <v>I2S Master/Slave ESP32</v>
      </c>
      <c r="B185" s="8" t="str">
        <f>'Components Data Source'!B185</f>
        <v>081AF1A1-DA0B-426D-9CA6-58D8313D1499</v>
      </c>
      <c r="C185" s="41" t="str">
        <f>'Components Data Source'!C185</f>
        <v>I2S.fcpx</v>
      </c>
      <c r="D185" s="8" t="str">
        <f>'Components Data Source'!D185</f>
        <v>Components\CAL_Source\I2S.fcfx</v>
      </c>
      <c r="E185" s="8" t="str">
        <f>'Components Data Source'!E185</f>
        <v>FREE</v>
      </c>
      <c r="F185" s="8" t="str">
        <f>'Components Data Source'!F185</f>
        <v>COMMS: INTERFACE</v>
      </c>
      <c r="G185" s="8">
        <f>'Components Data Source'!G185</f>
        <v>0</v>
      </c>
      <c r="H185" s="8">
        <f>'Components Data Source'!H185</f>
        <v>0</v>
      </c>
      <c r="I185" s="8" t="str">
        <f>'Components Data Source'!I185</f>
        <v xml:space="preserve">I2S </v>
      </c>
      <c r="J185" s="8">
        <f>'Components Data Source'!J185</f>
        <v>1</v>
      </c>
      <c r="K185" s="8">
        <f>'Components Data Source'!K185</f>
        <v>1</v>
      </c>
      <c r="L185" s="8">
        <f>'Components Data Source'!L185</f>
        <v>0</v>
      </c>
      <c r="M185" s="8" t="s">
        <v>1727</v>
      </c>
      <c r="N185" s="17" t="str">
        <f>HYPERLINK('Components Data Source'!M185)</f>
        <v>https://www.flowcode.co.uk/wiki/index.php?title=Component:_ID_081af1a1_da0b_426d_9ca6_58d8313d1499</v>
      </c>
      <c r="O185" s="8" t="s">
        <v>1721</v>
      </c>
      <c r="P185" s="8"/>
      <c r="Q185" s="8" t="str">
        <f t="shared" si="6"/>
        <v/>
      </c>
      <c r="R185" s="8" t="s">
        <v>1721</v>
      </c>
      <c r="S185" s="8" t="s">
        <v>1721</v>
      </c>
      <c r="T185" s="8" t="s">
        <v>1727</v>
      </c>
      <c r="U185" s="8" t="s">
        <v>1721</v>
      </c>
      <c r="V185" s="8" t="s">
        <v>1731</v>
      </c>
      <c r="W185" s="8" t="s">
        <v>1731</v>
      </c>
      <c r="X185" s="8" t="s">
        <v>1721</v>
      </c>
      <c r="Y185" s="8" t="s">
        <v>1721</v>
      </c>
      <c r="Z185" s="18">
        <f t="shared" si="5"/>
        <v>1</v>
      </c>
      <c r="AA185" s="8"/>
      <c r="AB185" s="7" t="s">
        <v>2484</v>
      </c>
      <c r="AC185" s="7"/>
      <c r="AD185" s="8" t="s">
        <v>1721</v>
      </c>
      <c r="AE185" s="8" t="s">
        <v>1727</v>
      </c>
      <c r="AF185" s="8" t="s">
        <v>1727</v>
      </c>
      <c r="AG185" s="8" t="s">
        <v>1727</v>
      </c>
      <c r="AH185" s="47"/>
      <c r="AI185" s="47">
        <f>VLOOKUP(B185,'Components Usage'!A$2:C$603,3,FALSE)</f>
        <v>9</v>
      </c>
      <c r="AJ185" s="28" t="s">
        <v>2401</v>
      </c>
    </row>
    <row r="186" spans="1:36" x14ac:dyDescent="0.25">
      <c r="A186" s="16" t="str">
        <f>'Components Data Source'!A186</f>
        <v>Image</v>
      </c>
      <c r="B186" s="8" t="str">
        <f>'Components Data Source'!B186</f>
        <v>4BC379D2-B6CA-4612-8557-79686BFA81BD</v>
      </c>
      <c r="C186" s="41" t="str">
        <f>'Components Data Source'!C186</f>
        <v>Image.fcpx</v>
      </c>
      <c r="D186" s="8" t="str">
        <f>'Components Data Source'!D186</f>
        <v>Components\IO_Source\2dGDI\Image.fcfx</v>
      </c>
      <c r="E186" s="8" t="str">
        <f>'Components Data Source'!E186</f>
        <v>FREE</v>
      </c>
      <c r="F186" s="8" t="str">
        <f>'Components Data Source'!F186</f>
        <v>2D SHAPES</v>
      </c>
      <c r="G186" s="8">
        <f>'Components Data Source'!G186</f>
        <v>0</v>
      </c>
      <c r="H186" s="8">
        <f>'Components Data Source'!H186</f>
        <v>0</v>
      </c>
      <c r="I186" s="8">
        <f>'Components Data Source'!I186</f>
        <v>0</v>
      </c>
      <c r="J186" s="8">
        <f>'Components Data Source'!J186</f>
        <v>1</v>
      </c>
      <c r="K186" s="8">
        <f>'Components Data Source'!K186</f>
        <v>1</v>
      </c>
      <c r="L186" s="8">
        <f>'Components Data Source'!L186</f>
        <v>1</v>
      </c>
      <c r="M186" s="8" t="s">
        <v>1727</v>
      </c>
      <c r="N186" s="17" t="str">
        <f>HYPERLINK('Components Data Source'!M186)</f>
        <v>https://www.flowcode.co.uk/wiki/index.php?title=Component:_ID_4bc379d2_b6ca_4612_8557_79686bfa81bd</v>
      </c>
      <c r="O186" s="8" t="s">
        <v>1721</v>
      </c>
      <c r="P186" s="8"/>
      <c r="Q186" s="8" t="str">
        <f t="shared" si="6"/>
        <v/>
      </c>
      <c r="R186" s="8" t="s">
        <v>2520</v>
      </c>
      <c r="S186" s="8"/>
      <c r="T186" s="8"/>
      <c r="U186" s="8"/>
      <c r="V186" s="8" t="s">
        <v>1730</v>
      </c>
      <c r="W186" s="8" t="s">
        <v>1730</v>
      </c>
      <c r="X186" s="8"/>
      <c r="Y186" s="8"/>
      <c r="Z186" s="18">
        <f t="shared" si="5"/>
        <v>0</v>
      </c>
      <c r="AA186" s="8"/>
      <c r="AB186" s="7"/>
      <c r="AC186" s="7"/>
      <c r="AD186" s="8" t="s">
        <v>1721</v>
      </c>
      <c r="AE186" s="8"/>
      <c r="AF186" s="8" t="s">
        <v>1727</v>
      </c>
      <c r="AG186" s="8" t="s">
        <v>1727</v>
      </c>
      <c r="AH186" s="47"/>
      <c r="AI186" s="47">
        <f>VLOOKUP(B186,'Components Usage'!A$2:C$603,3,FALSE)</f>
        <v>10</v>
      </c>
      <c r="AJ186" s="28"/>
    </row>
    <row r="187" spans="1:36" x14ac:dyDescent="0.25">
      <c r="A187" s="16">
        <f>'Components Data Source'!A187</f>
        <v>0</v>
      </c>
      <c r="B187" s="8" t="str">
        <f>'Components Data Source'!B187</f>
        <v>B50D5C0A-2340-4F67-B276-7BC0235DE8A3</v>
      </c>
      <c r="C187" s="41" t="str">
        <f>'Components Data Source'!C187</f>
        <v>ImageSwitch.fcpx</v>
      </c>
      <c r="D187" s="8" t="str">
        <f>'Components Data Source'!D187</f>
        <v>NULL</v>
      </c>
      <c r="E187" s="8" t="str">
        <f>'Components Data Source'!E187</f>
        <v>FREE</v>
      </c>
      <c r="F187" s="8">
        <f>'Components Data Source'!F187</f>
        <v>0</v>
      </c>
      <c r="G187" s="8">
        <f>'Components Data Source'!G187</f>
        <v>0</v>
      </c>
      <c r="H187" s="8">
        <f>'Components Data Source'!H187</f>
        <v>0</v>
      </c>
      <c r="I187" s="8">
        <f>'Components Data Source'!I187</f>
        <v>0</v>
      </c>
      <c r="J187" s="8">
        <f>'Components Data Source'!J187</f>
        <v>0</v>
      </c>
      <c r="K187" s="8">
        <f>'Components Data Source'!K187</f>
        <v>0</v>
      </c>
      <c r="L187" s="8">
        <f>'Components Data Source'!L187</f>
        <v>0</v>
      </c>
      <c r="M187" s="8" t="s">
        <v>1727</v>
      </c>
      <c r="N187" s="17" t="str">
        <f>HYPERLINK('Components Data Source'!M187)</f>
        <v>https://www.flowcode.co.uk/wiki/index.php?title=Component:_ID_b50d5c0a_2340_4f67_b276_7bc0235de8a3</v>
      </c>
      <c r="O187" s="8" t="s">
        <v>1727</v>
      </c>
      <c r="P187" s="8" t="s">
        <v>3550</v>
      </c>
      <c r="Q187" s="8" t="str">
        <f t="shared" si="6"/>
        <v/>
      </c>
      <c r="R187" s="8" t="s">
        <v>1727</v>
      </c>
      <c r="S187" s="8"/>
      <c r="T187" s="8"/>
      <c r="U187" s="8"/>
      <c r="V187" s="8" t="s">
        <v>1730</v>
      </c>
      <c r="W187" s="8" t="s">
        <v>1730</v>
      </c>
      <c r="X187" s="8"/>
      <c r="Y187" s="8"/>
      <c r="Z187" s="18">
        <f t="shared" si="5"/>
        <v>2</v>
      </c>
      <c r="AA187" s="8"/>
      <c r="AB187" s="7"/>
      <c r="AC187" s="7"/>
      <c r="AD187" s="8" t="s">
        <v>1721</v>
      </c>
      <c r="AE187" s="8" t="s">
        <v>1727</v>
      </c>
      <c r="AF187" s="8" t="s">
        <v>2401</v>
      </c>
      <c r="AG187" s="8" t="s">
        <v>1727</v>
      </c>
      <c r="AH187" s="47"/>
      <c r="AI187" s="47">
        <f>VLOOKUP(B187,'Components Usage'!A$2:C$603,3,FALSE)</f>
        <v>4</v>
      </c>
      <c r="AJ187" s="28" t="s">
        <v>2401</v>
      </c>
    </row>
    <row r="188" spans="1:36" x14ac:dyDescent="0.25">
      <c r="A188" s="16" t="str">
        <f>'Components Data Source'!A188</f>
        <v>Injector (AT)</v>
      </c>
      <c r="B188" s="8" t="str">
        <f>'Components Data Source'!B188</f>
        <v>5A237757-52E5-414B-B6E4-79C7B784C3BA</v>
      </c>
      <c r="C188" s="41" t="str">
        <f>'Components Data Source'!C188</f>
        <v>InjectorAT.fcpx</v>
      </c>
      <c r="D188" s="8" t="str">
        <f>'Components Data Source'!D188</f>
        <v>Components\IO_Source\Injectors\InjectorAT.fcfx</v>
      </c>
      <c r="E188" s="8" t="str">
        <f>'Components Data Source'!E188</f>
        <v>FREE</v>
      </c>
      <c r="F188" s="8" t="str">
        <f>'Components Data Source'!F188</f>
        <v>TEST INJECTORS</v>
      </c>
      <c r="G188" s="8">
        <f>'Components Data Source'!G188</f>
        <v>0</v>
      </c>
      <c r="H188" s="8">
        <f>'Components Data Source'!H188</f>
        <v>0</v>
      </c>
      <c r="I188" s="8">
        <f>'Components Data Source'!I188</f>
        <v>0</v>
      </c>
      <c r="J188" s="8">
        <f>'Components Data Source'!J188</f>
        <v>1</v>
      </c>
      <c r="K188" s="8">
        <f>'Components Data Source'!K188</f>
        <v>1</v>
      </c>
      <c r="L188" s="8">
        <f>'Components Data Source'!L188</f>
        <v>0</v>
      </c>
      <c r="M188" s="8" t="s">
        <v>1727</v>
      </c>
      <c r="N188" s="17" t="str">
        <f>HYPERLINK('Components Data Source'!M188)</f>
        <v>https://www.flowcode.co.uk/wiki/index.php?title=Component:_ID_5a237757_52e5_414b_b6e4_79c7b784c3ba</v>
      </c>
      <c r="O188" s="8" t="s">
        <v>1721</v>
      </c>
      <c r="P188" s="8"/>
      <c r="Q188" s="8" t="str">
        <f t="shared" si="6"/>
        <v/>
      </c>
      <c r="R188" s="8" t="s">
        <v>1721</v>
      </c>
      <c r="S188" s="8" t="s">
        <v>1721</v>
      </c>
      <c r="T188" s="8" t="s">
        <v>1721</v>
      </c>
      <c r="U188" s="8" t="s">
        <v>1721</v>
      </c>
      <c r="V188" s="8" t="s">
        <v>1183</v>
      </c>
      <c r="W188" s="8" t="s">
        <v>1731</v>
      </c>
      <c r="X188" s="8" t="s">
        <v>1721</v>
      </c>
      <c r="Y188" s="8" t="s">
        <v>1721</v>
      </c>
      <c r="Z188" s="18">
        <f t="shared" si="5"/>
        <v>1</v>
      </c>
      <c r="AA188" s="8"/>
      <c r="AB188" s="7" t="s">
        <v>2485</v>
      </c>
      <c r="AC188" s="7"/>
      <c r="AD188" s="8" t="s">
        <v>1721</v>
      </c>
      <c r="AE188" s="8" t="s">
        <v>1721</v>
      </c>
      <c r="AF188" s="8" t="s">
        <v>2401</v>
      </c>
      <c r="AG188" s="8" t="s">
        <v>1721</v>
      </c>
      <c r="AH188" s="47"/>
      <c r="AI188" s="47">
        <f>VLOOKUP(B188,'Components Usage'!A$2:C$603,3,FALSE)</f>
        <v>4</v>
      </c>
      <c r="AJ188" s="28" t="s">
        <v>2401</v>
      </c>
    </row>
    <row r="189" spans="1:36" x14ac:dyDescent="0.25">
      <c r="A189" s="16" t="str">
        <f>'Components Data Source'!A189</f>
        <v>Data Injector Template</v>
      </c>
      <c r="B189" s="8" t="str">
        <f>'Components Data Source'!B189</f>
        <v>CC936C18-5D20-42C4-B940-D3C7EA7CA802</v>
      </c>
      <c r="C189" s="41" t="str">
        <f>'Components Data Source'!C189</f>
        <v>InjectorBase.fcpx</v>
      </c>
      <c r="D189" s="8" t="str">
        <f>'Components Data Source'!D189</f>
        <v>Components\IO_Source\Injectors\InjectorBase.fcfx</v>
      </c>
      <c r="E189" s="8" t="str">
        <f>'Components Data Source'!E189</f>
        <v>FREE</v>
      </c>
      <c r="F189" s="8" t="str">
        <f>'Components Data Source'!F189</f>
        <v>COMMS DATA INJECTORS</v>
      </c>
      <c r="G189" s="8">
        <f>'Components Data Source'!G189</f>
        <v>0</v>
      </c>
      <c r="H189" s="8">
        <f>'Components Data Source'!H189</f>
        <v>0</v>
      </c>
      <c r="I189" s="8">
        <f>'Components Data Source'!I189</f>
        <v>0</v>
      </c>
      <c r="J189" s="8">
        <f>'Components Data Source'!J189</f>
        <v>1</v>
      </c>
      <c r="K189" s="8">
        <f>'Components Data Source'!K189</f>
        <v>1</v>
      </c>
      <c r="L189" s="8">
        <f>'Components Data Source'!L189</f>
        <v>1</v>
      </c>
      <c r="M189" s="8" t="s">
        <v>1727</v>
      </c>
      <c r="N189" s="17" t="str">
        <f>HYPERLINK('Components Data Source'!M189)</f>
        <v>https://www.flowcode.co.uk/wiki/index.php?title=Component:_ID_cc936c18_5d20_42c4_b940_d3c7ea7ca802</v>
      </c>
      <c r="O189" s="8" t="s">
        <v>1721</v>
      </c>
      <c r="P189" s="8"/>
      <c r="Q189" s="8" t="str">
        <f t="shared" si="6"/>
        <v/>
      </c>
      <c r="R189" s="8" t="s">
        <v>1727</v>
      </c>
      <c r="S189" s="8" t="s">
        <v>1727</v>
      </c>
      <c r="T189" s="8"/>
      <c r="U189" s="8"/>
      <c r="V189" s="8" t="s">
        <v>1730</v>
      </c>
      <c r="W189" s="8" t="s">
        <v>1730</v>
      </c>
      <c r="X189" s="8"/>
      <c r="Y189" s="8"/>
      <c r="Z189" s="18">
        <f t="shared" si="5"/>
        <v>2</v>
      </c>
      <c r="AA189" s="8" t="s">
        <v>1727</v>
      </c>
      <c r="AB189" s="7" t="s">
        <v>2525</v>
      </c>
      <c r="AC189" s="7"/>
      <c r="AD189" s="8" t="s">
        <v>1721</v>
      </c>
      <c r="AE189" s="8" t="s">
        <v>1721</v>
      </c>
      <c r="AF189" s="8" t="s">
        <v>2401</v>
      </c>
      <c r="AG189" s="8" t="s">
        <v>1721</v>
      </c>
      <c r="AH189" s="47"/>
      <c r="AI189" s="47">
        <f>VLOOKUP(B189,'Components Usage'!A$2:C$603,3,FALSE)</f>
        <v>9</v>
      </c>
      <c r="AJ189" s="28" t="s">
        <v>2401</v>
      </c>
    </row>
    <row r="190" spans="1:36" x14ac:dyDescent="0.25">
      <c r="A190" s="16" t="str">
        <f>'Components Data Source'!A190</f>
        <v>Injector (CAN)</v>
      </c>
      <c r="B190" s="8" t="str">
        <f>'Components Data Source'!B190</f>
        <v>299CB595-3E6F-4022-A728-B9DF1434262C</v>
      </c>
      <c r="C190" s="41" t="str">
        <f>'Components Data Source'!C190</f>
        <v>InjectorCAN.fcpx</v>
      </c>
      <c r="D190" s="8" t="str">
        <f>'Components Data Source'!D190</f>
        <v>Components\IO_Source\Injectors\InjectorCAN.fcfx</v>
      </c>
      <c r="E190" s="8" t="str">
        <f>'Components Data Source'!E190</f>
        <v>FREE</v>
      </c>
      <c r="F190" s="8">
        <f>'Components Data Source'!F190</f>
        <v>0</v>
      </c>
      <c r="G190" s="8">
        <f>'Components Data Source'!G190</f>
        <v>0</v>
      </c>
      <c r="H190" s="8">
        <f>'Components Data Source'!H190</f>
        <v>0</v>
      </c>
      <c r="I190" s="8">
        <f>'Components Data Source'!I190</f>
        <v>0</v>
      </c>
      <c r="J190" s="8">
        <f>'Components Data Source'!J190</f>
        <v>1</v>
      </c>
      <c r="K190" s="8">
        <f>'Components Data Source'!K190</f>
        <v>1</v>
      </c>
      <c r="L190" s="8">
        <f>'Components Data Source'!L190</f>
        <v>0</v>
      </c>
      <c r="M190" s="8" t="s">
        <v>1727</v>
      </c>
      <c r="N190" s="17" t="str">
        <f>HYPERLINK('Components Data Source'!M190)</f>
        <v>https://www.flowcode.co.uk/wiki/index.php?title=Component:_ID_299cb595_3e6f_4022_a728_b9df1434262c</v>
      </c>
      <c r="O190" s="8" t="s">
        <v>1721</v>
      </c>
      <c r="P190" s="8"/>
      <c r="Q190" s="8" t="str">
        <f t="shared" si="6"/>
        <v/>
      </c>
      <c r="R190" s="8" t="s">
        <v>1727</v>
      </c>
      <c r="S190" s="8" t="s">
        <v>1727</v>
      </c>
      <c r="T190" s="8"/>
      <c r="U190" s="8"/>
      <c r="V190" s="8" t="s">
        <v>1730</v>
      </c>
      <c r="W190" s="8" t="s">
        <v>1730</v>
      </c>
      <c r="X190" s="8"/>
      <c r="Y190" s="8"/>
      <c r="Z190" s="18">
        <f t="shared" si="5"/>
        <v>2</v>
      </c>
      <c r="AA190" s="8" t="s">
        <v>1727</v>
      </c>
      <c r="AB190" s="7" t="s">
        <v>2525</v>
      </c>
      <c r="AC190" s="7"/>
      <c r="AD190" s="8" t="s">
        <v>1721</v>
      </c>
      <c r="AE190" s="8" t="s">
        <v>1721</v>
      </c>
      <c r="AF190" s="8" t="s">
        <v>2401</v>
      </c>
      <c r="AG190" s="8" t="s">
        <v>1721</v>
      </c>
      <c r="AH190" s="47"/>
      <c r="AI190" s="47">
        <f>VLOOKUP(B190,'Components Usage'!A$2:C$603,3,FALSE)</f>
        <v>9</v>
      </c>
      <c r="AJ190" s="28" t="s">
        <v>2401</v>
      </c>
    </row>
    <row r="191" spans="1:36" x14ac:dyDescent="0.25">
      <c r="A191" s="16" t="str">
        <f>'Components Data Source'!A191</f>
        <v>Injector (COM)</v>
      </c>
      <c r="B191" s="8" t="str">
        <f>'Components Data Source'!B191</f>
        <v>002BE1AC-EFFF-4C07-95DE-1EAB087CB25E</v>
      </c>
      <c r="C191" s="41" t="str">
        <f>'Components Data Source'!C191</f>
        <v>InjectorCOM.fcpx</v>
      </c>
      <c r="D191" s="8" t="str">
        <f>'Components Data Source'!D191</f>
        <v>Components\IO_Source\Injectors\InjectorCOM.fcfx</v>
      </c>
      <c r="E191" s="8" t="str">
        <f>'Components Data Source'!E191</f>
        <v>FREE</v>
      </c>
      <c r="F191" s="8" t="str">
        <f>'Components Data Source'!F191</f>
        <v>TEST INJECTORS</v>
      </c>
      <c r="G191" s="8">
        <f>'Components Data Source'!G191</f>
        <v>0</v>
      </c>
      <c r="H191" s="8">
        <f>'Components Data Source'!H191</f>
        <v>0</v>
      </c>
      <c r="I191" s="8">
        <f>'Components Data Source'!I191</f>
        <v>0</v>
      </c>
      <c r="J191" s="8">
        <f>'Components Data Source'!J191</f>
        <v>1</v>
      </c>
      <c r="K191" s="8">
        <f>'Components Data Source'!K191</f>
        <v>1</v>
      </c>
      <c r="L191" s="8">
        <f>'Components Data Source'!L191</f>
        <v>0</v>
      </c>
      <c r="M191" s="8" t="s">
        <v>1727</v>
      </c>
      <c r="N191" s="17" t="str">
        <f>HYPERLINK('Components Data Source'!M191)</f>
        <v>https://www.flowcode.co.uk/wiki/index.php?title=Component:_ID_002be1ac_efff_4c07_95de_1eab087cb25e</v>
      </c>
      <c r="O191" s="8" t="s">
        <v>1721</v>
      </c>
      <c r="P191" s="8"/>
      <c r="Q191" s="8" t="str">
        <f t="shared" si="6"/>
        <v/>
      </c>
      <c r="R191" s="8" t="s">
        <v>1727</v>
      </c>
      <c r="S191" s="8"/>
      <c r="T191" s="8"/>
      <c r="U191" s="8"/>
      <c r="V191" s="8" t="s">
        <v>1730</v>
      </c>
      <c r="W191" s="8" t="s">
        <v>1730</v>
      </c>
      <c r="X191" s="8"/>
      <c r="Y191" s="8"/>
      <c r="Z191" s="18">
        <f t="shared" si="5"/>
        <v>2</v>
      </c>
      <c r="AA191" s="8" t="s">
        <v>1727</v>
      </c>
      <c r="AB191" s="7" t="s">
        <v>2486</v>
      </c>
      <c r="AC191" s="7"/>
      <c r="AD191" s="8" t="s">
        <v>1721</v>
      </c>
      <c r="AE191" s="8" t="s">
        <v>1727</v>
      </c>
      <c r="AF191" s="8" t="s">
        <v>2401</v>
      </c>
      <c r="AG191" s="8" t="s">
        <v>1727</v>
      </c>
      <c r="AH191" s="47"/>
      <c r="AI191" s="47">
        <f>VLOOKUP(B191,'Components Usage'!A$2:C$603,3,FALSE)</f>
        <v>27</v>
      </c>
      <c r="AJ191" s="28" t="s">
        <v>2401</v>
      </c>
    </row>
    <row r="192" spans="1:36" hidden="1" x14ac:dyDescent="0.25">
      <c r="A192" s="16" t="str">
        <f>'Components Data Source'!A192</f>
        <v>Injector (DS1307 RTC)</v>
      </c>
      <c r="B192" s="8" t="str">
        <f>'Components Data Source'!B192</f>
        <v>8D670813-9A40-4891-ACCC-C1BF864B8217</v>
      </c>
      <c r="C192" s="41" t="str">
        <f>'Components Data Source'!C192</f>
        <v>InjectorDS1307.fcpx</v>
      </c>
      <c r="D192" s="8" t="str">
        <f>'Components Data Source'!D192</f>
        <v>Components\IO_Source\Injectors\InjectorDS1307.fcfx</v>
      </c>
      <c r="E192" s="8" t="str">
        <f>'Components Data Source'!E192</f>
        <v>COMMSA</v>
      </c>
      <c r="F192" s="8">
        <f>'Components Data Source'!F192</f>
        <v>0</v>
      </c>
      <c r="G192" s="8">
        <f>'Components Data Source'!G192</f>
        <v>0</v>
      </c>
      <c r="H192" s="8">
        <f>'Components Data Source'!H192</f>
        <v>0</v>
      </c>
      <c r="I192" s="8">
        <f>'Components Data Source'!I192</f>
        <v>0</v>
      </c>
      <c r="J192" s="8">
        <f>'Components Data Source'!J192</f>
        <v>1</v>
      </c>
      <c r="K192" s="8">
        <f>'Components Data Source'!K192</f>
        <v>1</v>
      </c>
      <c r="L192" s="8">
        <f>'Components Data Source'!L192</f>
        <v>1</v>
      </c>
      <c r="M192" s="8" t="s">
        <v>1727</v>
      </c>
      <c r="N192" s="17" t="str">
        <f>HYPERLINK('Components Data Source'!M192)</f>
        <v>https://www.flowcode.co.uk/wiki/index.php?title=Component:_ID_8d670813_9a40_4891_accc_c1bf864b8217</v>
      </c>
      <c r="O192" s="8" t="s">
        <v>1721</v>
      </c>
      <c r="P192" s="8"/>
      <c r="Q192" s="8" t="str">
        <f t="shared" si="6"/>
        <v/>
      </c>
      <c r="R192" s="8" t="s">
        <v>1727</v>
      </c>
      <c r="S192" s="8"/>
      <c r="T192" s="8"/>
      <c r="U192" s="8"/>
      <c r="V192" s="8" t="s">
        <v>1730</v>
      </c>
      <c r="W192" s="8" t="s">
        <v>1730</v>
      </c>
      <c r="X192" s="8"/>
      <c r="Y192" s="8"/>
      <c r="Z192" s="18">
        <f t="shared" si="5"/>
        <v>2</v>
      </c>
      <c r="AA192" s="8" t="s">
        <v>1727</v>
      </c>
      <c r="AB192" s="7" t="s">
        <v>2524</v>
      </c>
      <c r="AC192" s="7"/>
      <c r="AD192" s="8" t="s">
        <v>1721</v>
      </c>
      <c r="AE192" s="8" t="s">
        <v>1721</v>
      </c>
      <c r="AF192" s="8" t="s">
        <v>2401</v>
      </c>
      <c r="AG192" s="8" t="s">
        <v>1721</v>
      </c>
      <c r="AH192" s="47"/>
      <c r="AI192" s="47">
        <f>VLOOKUP(B192,'Components Usage'!A$2:C$603,3,FALSE)</f>
        <v>7</v>
      </c>
      <c r="AJ192" s="28" t="s">
        <v>2401</v>
      </c>
    </row>
    <row r="193" spans="1:36" x14ac:dyDescent="0.25">
      <c r="A193" s="16" t="str">
        <f>'Components Data Source'!A193</f>
        <v>Injector (File)</v>
      </c>
      <c r="B193" s="8" t="str">
        <f>'Components Data Source'!B193</f>
        <v>50738AF3-82A5-4074-A9B8-9F8F80BE2B87</v>
      </c>
      <c r="C193" s="41" t="str">
        <f>'Components Data Source'!C193</f>
        <v>InjectorFile.fcpx</v>
      </c>
      <c r="D193" s="8" t="str">
        <f>'Components Data Source'!D193</f>
        <v>Components\IO_Source\Injectors\InjectorFile.fcfx</v>
      </c>
      <c r="E193" s="8" t="str">
        <f>'Components Data Source'!E193</f>
        <v>FREE</v>
      </c>
      <c r="F193" s="8" t="str">
        <f>'Components Data Source'!F193</f>
        <v>TEST INJECTORS</v>
      </c>
      <c r="G193" s="8">
        <f>'Components Data Source'!G193</f>
        <v>0</v>
      </c>
      <c r="H193" s="8">
        <f>'Components Data Source'!H193</f>
        <v>0</v>
      </c>
      <c r="I193" s="8">
        <f>'Components Data Source'!I193</f>
        <v>0</v>
      </c>
      <c r="J193" s="8">
        <f>'Components Data Source'!J193</f>
        <v>1</v>
      </c>
      <c r="K193" s="8">
        <f>'Components Data Source'!K193</f>
        <v>1</v>
      </c>
      <c r="L193" s="8">
        <f>'Components Data Source'!L193</f>
        <v>0</v>
      </c>
      <c r="M193" s="8" t="s">
        <v>1727</v>
      </c>
      <c r="N193" s="17" t="str">
        <f>HYPERLINK('Components Data Source'!M193)</f>
        <v>https://www.flowcode.co.uk/wiki/index.php?title=Component:_ID_50738af3_82a5_4074_a9b8_9f8f80be2b87</v>
      </c>
      <c r="O193" s="8" t="s">
        <v>1721</v>
      </c>
      <c r="P193" s="8"/>
      <c r="Q193" s="8" t="str">
        <f t="shared" si="6"/>
        <v/>
      </c>
      <c r="R193" s="8" t="s">
        <v>1721</v>
      </c>
      <c r="S193" s="8" t="s">
        <v>1721</v>
      </c>
      <c r="T193" s="8" t="s">
        <v>1721</v>
      </c>
      <c r="U193" s="8" t="s">
        <v>1721</v>
      </c>
      <c r="V193" s="8" t="s">
        <v>1734</v>
      </c>
      <c r="W193" s="8" t="s">
        <v>1731</v>
      </c>
      <c r="X193" s="8"/>
      <c r="Y193" s="8" t="s">
        <v>1727</v>
      </c>
      <c r="Z193" s="18">
        <f t="shared" si="5"/>
        <v>0</v>
      </c>
      <c r="AA193" s="8" t="s">
        <v>1721</v>
      </c>
      <c r="AB193" s="7" t="s">
        <v>2518</v>
      </c>
      <c r="AC193" s="7"/>
      <c r="AD193" s="8" t="s">
        <v>1721</v>
      </c>
      <c r="AE193" s="8" t="s">
        <v>1721</v>
      </c>
      <c r="AF193" s="8" t="s">
        <v>2401</v>
      </c>
      <c r="AG193" s="8" t="s">
        <v>1721</v>
      </c>
      <c r="AH193" s="47"/>
      <c r="AI193" s="47">
        <f>VLOOKUP(B193,'Components Usage'!A$2:C$603,3,FALSE)</f>
        <v>2</v>
      </c>
      <c r="AJ193" s="28" t="s">
        <v>2401</v>
      </c>
    </row>
    <row r="194" spans="1:36" hidden="1" x14ac:dyDescent="0.25">
      <c r="A194" s="16" t="str">
        <f>'Components Data Source'!A194</f>
        <v>Injector (GPS NMEA)</v>
      </c>
      <c r="B194" s="8" t="str">
        <f>'Components Data Source'!B194</f>
        <v>C6D16A4D-A800-4636-98C5-70F7BDE65654</v>
      </c>
      <c r="C194" s="41" t="str">
        <f>'Components Data Source'!C194</f>
        <v>InjectorGPS.fcpx</v>
      </c>
      <c r="D194" s="8" t="str">
        <f>'Components Data Source'!D194</f>
        <v>Components\IO_Source\Injectors\InjectorGPS.fcfx</v>
      </c>
      <c r="E194" s="8" t="str">
        <f>'Components Data Source'!E194</f>
        <v>COMMSB</v>
      </c>
      <c r="F194" s="8">
        <f>'Components Data Source'!F194</f>
        <v>0</v>
      </c>
      <c r="G194" s="8">
        <f>'Components Data Source'!G194</f>
        <v>0</v>
      </c>
      <c r="H194" s="8">
        <f>'Components Data Source'!H194</f>
        <v>0</v>
      </c>
      <c r="I194" s="8">
        <f>'Components Data Source'!I194</f>
        <v>0</v>
      </c>
      <c r="J194" s="8">
        <f>'Components Data Source'!J194</f>
        <v>1</v>
      </c>
      <c r="K194" s="8">
        <f>'Components Data Source'!K194</f>
        <v>1</v>
      </c>
      <c r="L194" s="8">
        <f>'Components Data Source'!L194</f>
        <v>1</v>
      </c>
      <c r="M194" s="8" t="s">
        <v>1727</v>
      </c>
      <c r="N194" s="17" t="str">
        <f>HYPERLINK('Components Data Source'!M194)</f>
        <v>https://www.flowcode.co.uk/wiki/index.php?title=Component:_ID_c6d16a4d_a800_4636_98c5_70f7bde65654</v>
      </c>
      <c r="O194" s="8" t="s">
        <v>1721</v>
      </c>
      <c r="P194" s="8"/>
      <c r="Q194" s="8" t="str">
        <f t="shared" si="6"/>
        <v/>
      </c>
      <c r="R194" s="8" t="s">
        <v>1727</v>
      </c>
      <c r="S194" s="8"/>
      <c r="T194" s="8"/>
      <c r="U194" s="8"/>
      <c r="V194" s="8" t="s">
        <v>1730</v>
      </c>
      <c r="W194" s="8" t="s">
        <v>1730</v>
      </c>
      <c r="X194" s="8"/>
      <c r="Y194" s="8" t="s">
        <v>2483</v>
      </c>
      <c r="Z194" s="18">
        <f t="shared" ref="Z194:Z257" si="7">IF(AND(R194="Y",Y194="Y"),1,IF(R194="N",2,IF(R194="",4,IF(Y194="A",3,0))))</f>
        <v>2</v>
      </c>
      <c r="AA194" s="8" t="s">
        <v>1721</v>
      </c>
      <c r="AB194" s="7" t="s">
        <v>2487</v>
      </c>
      <c r="AC194" s="7"/>
      <c r="AD194" s="8" t="s">
        <v>1721</v>
      </c>
      <c r="AE194" s="8" t="s">
        <v>1721</v>
      </c>
      <c r="AF194" s="8" t="s">
        <v>2401</v>
      </c>
      <c r="AG194" s="8" t="s">
        <v>1721</v>
      </c>
      <c r="AH194" s="47"/>
      <c r="AI194" s="47">
        <f>VLOOKUP(B194,'Components Usage'!A$2:C$603,3,FALSE)</f>
        <v>2</v>
      </c>
      <c r="AJ194" s="28" t="s">
        <v>2401</v>
      </c>
    </row>
    <row r="195" spans="1:36" x14ac:dyDescent="0.25">
      <c r="A195" s="16" t="str">
        <f>'Components Data Source'!A195</f>
        <v>Injector (Human Interface)</v>
      </c>
      <c r="B195" s="8" t="str">
        <f>'Components Data Source'!B195</f>
        <v>2ED54982-EF92-4509-A67C-7B3A72F91279</v>
      </c>
      <c r="C195" s="41" t="str">
        <f>'Components Data Source'!C195</f>
        <v>InjectorHumanInterface.fcpx</v>
      </c>
      <c r="D195" s="8" t="str">
        <f>'Components Data Source'!D195</f>
        <v>Components\IO_Source\Injectors\InjectorHI.fcfx</v>
      </c>
      <c r="E195" s="8" t="str">
        <f>'Components Data Source'!E195</f>
        <v>FREE</v>
      </c>
      <c r="F195" s="8" t="str">
        <f>'Components Data Source'!F195</f>
        <v>TEST INJECTORS</v>
      </c>
      <c r="G195" s="8">
        <f>'Components Data Source'!G195</f>
        <v>0</v>
      </c>
      <c r="H195" s="8">
        <f>'Components Data Source'!H195</f>
        <v>0</v>
      </c>
      <c r="I195" s="8">
        <f>'Components Data Source'!I195</f>
        <v>0</v>
      </c>
      <c r="J195" s="8">
        <f>'Components Data Source'!J195</f>
        <v>1</v>
      </c>
      <c r="K195" s="8">
        <f>'Components Data Source'!K195</f>
        <v>1</v>
      </c>
      <c r="L195" s="8">
        <f>'Components Data Source'!L195</f>
        <v>0</v>
      </c>
      <c r="M195" s="8" t="s">
        <v>1727</v>
      </c>
      <c r="N195" s="17" t="str">
        <f>HYPERLINK('Components Data Source'!M195)</f>
        <v>https://www.flowcode.co.uk/wiki/index.php?title=Component:_ID_2ed54982_ef92_4509_a67c_7b3a72f91279</v>
      </c>
      <c r="O195" s="8" t="s">
        <v>1721</v>
      </c>
      <c r="P195" s="8"/>
      <c r="Q195" s="8" t="str">
        <f t="shared" si="6"/>
        <v/>
      </c>
      <c r="R195" s="8" t="s">
        <v>1721</v>
      </c>
      <c r="S195" s="8" t="s">
        <v>1721</v>
      </c>
      <c r="T195" s="8" t="s">
        <v>1721</v>
      </c>
      <c r="U195" s="8" t="s">
        <v>1721</v>
      </c>
      <c r="V195" s="8" t="s">
        <v>1734</v>
      </c>
      <c r="W195" s="8" t="s">
        <v>1731</v>
      </c>
      <c r="X195" s="8"/>
      <c r="Y195" s="8" t="s">
        <v>1727</v>
      </c>
      <c r="Z195" s="18">
        <f t="shared" si="7"/>
        <v>0</v>
      </c>
      <c r="AA195" s="8" t="s">
        <v>1727</v>
      </c>
      <c r="AB195" s="7" t="s">
        <v>2517</v>
      </c>
      <c r="AC195" s="7"/>
      <c r="AD195" s="8" t="s">
        <v>1721</v>
      </c>
      <c r="AE195" s="8" t="s">
        <v>1721</v>
      </c>
      <c r="AF195" s="8" t="s">
        <v>2401</v>
      </c>
      <c r="AG195" s="8" t="s">
        <v>1721</v>
      </c>
      <c r="AH195" s="47"/>
      <c r="AI195" s="47">
        <f>VLOOKUP(B195,'Components Usage'!A$2:C$603,3,FALSE)</f>
        <v>17</v>
      </c>
      <c r="AJ195" s="28" t="s">
        <v>2401</v>
      </c>
    </row>
    <row r="196" spans="1:36" hidden="1" x14ac:dyDescent="0.25">
      <c r="A196" s="16" t="str">
        <f>'Components Data Source'!A196</f>
        <v>Injector (Loopback)</v>
      </c>
      <c r="B196" s="8" t="str">
        <f>'Components Data Source'!B196</f>
        <v>31D48D3E-01E3-4546-96E5-2E935F963166</v>
      </c>
      <c r="C196" s="41" t="str">
        <f>'Components Data Source'!C196</f>
        <v>InjectorLoopback.fcpx</v>
      </c>
      <c r="D196" s="8" t="str">
        <f>'Components Data Source'!D196</f>
        <v>Components\IO_Source\Injectors\InjectorLoopback.fcfx</v>
      </c>
      <c r="E196" s="8" t="str">
        <f>'Components Data Source'!E196</f>
        <v>COMMSA</v>
      </c>
      <c r="F196" s="8">
        <f>'Components Data Source'!F196</f>
        <v>0</v>
      </c>
      <c r="G196" s="8">
        <f>'Components Data Source'!G196</f>
        <v>0</v>
      </c>
      <c r="H196" s="8">
        <f>'Components Data Source'!H196</f>
        <v>0</v>
      </c>
      <c r="I196" s="8">
        <f>'Components Data Source'!I196</f>
        <v>0</v>
      </c>
      <c r="J196" s="8">
        <f>'Components Data Source'!J196</f>
        <v>1</v>
      </c>
      <c r="K196" s="8">
        <f>'Components Data Source'!K196</f>
        <v>1</v>
      </c>
      <c r="L196" s="8">
        <f>'Components Data Source'!L196</f>
        <v>1</v>
      </c>
      <c r="M196" s="8" t="s">
        <v>1727</v>
      </c>
      <c r="N196" s="17" t="str">
        <f>HYPERLINK('Components Data Source'!M196)</f>
        <v>https://www.flowcode.co.uk/wiki/index.php?title=Component:_ID_31d48d3e_01e3_4546_96e5_2e935f963166</v>
      </c>
      <c r="O196" s="8" t="s">
        <v>1721</v>
      </c>
      <c r="P196" s="8"/>
      <c r="Q196" s="8" t="str">
        <f t="shared" si="6"/>
        <v/>
      </c>
      <c r="R196" s="8" t="s">
        <v>1727</v>
      </c>
      <c r="S196" s="8"/>
      <c r="T196" s="8"/>
      <c r="U196" s="8"/>
      <c r="V196" s="8" t="s">
        <v>1730</v>
      </c>
      <c r="W196" s="8" t="s">
        <v>1730</v>
      </c>
      <c r="X196" s="8"/>
      <c r="Y196" s="8"/>
      <c r="Z196" s="18">
        <f t="shared" si="7"/>
        <v>2</v>
      </c>
      <c r="AA196" s="8"/>
      <c r="AB196" s="7"/>
      <c r="AC196" s="7"/>
      <c r="AD196" s="8" t="s">
        <v>1721</v>
      </c>
      <c r="AE196" s="8" t="s">
        <v>1727</v>
      </c>
      <c r="AF196" s="8" t="s">
        <v>2401</v>
      </c>
      <c r="AG196" s="8" t="s">
        <v>1727</v>
      </c>
      <c r="AH196" s="47"/>
      <c r="AI196" s="47">
        <f>VLOOKUP(B196,'Components Usage'!A$2:C$603,3,FALSE)</f>
        <v>0</v>
      </c>
      <c r="AJ196" s="28" t="s">
        <v>2401</v>
      </c>
    </row>
    <row r="197" spans="1:36" x14ac:dyDescent="0.25">
      <c r="A197" s="16" t="str">
        <f>'Components Data Source'!A197</f>
        <v>Injector (API Analog Input)</v>
      </c>
      <c r="B197" s="8" t="str">
        <f>'Components Data Source'!B197</f>
        <v>927D2882-AB2F-43E9-8690-D1D6891001EE</v>
      </c>
      <c r="C197" s="41" t="str">
        <f>'Components Data Source'!C197</f>
        <v>InjectorSCADAAnInput.fcpx</v>
      </c>
      <c r="D197" s="8" t="str">
        <f>'Components Data Source'!D197</f>
        <v>Components\IO_Source\Injectors\InjectorSCADAAnalogInput.fcfx</v>
      </c>
      <c r="E197" s="8" t="str">
        <f>'Components Data Source'!E197</f>
        <v>FREE</v>
      </c>
      <c r="F197" s="8" t="str">
        <f>'Components Data Source'!F197</f>
        <v>TEST INJECTORS</v>
      </c>
      <c r="G197" s="8">
        <f>'Components Data Source'!G197</f>
        <v>0</v>
      </c>
      <c r="H197" s="8">
        <f>'Components Data Source'!H197</f>
        <v>0</v>
      </c>
      <c r="I197" s="8">
        <f>'Components Data Source'!I197</f>
        <v>0</v>
      </c>
      <c r="J197" s="8">
        <f>'Components Data Source'!J197</f>
        <v>1</v>
      </c>
      <c r="K197" s="8">
        <f>'Components Data Source'!K197</f>
        <v>1</v>
      </c>
      <c r="L197" s="8">
        <f>'Components Data Source'!L197</f>
        <v>0</v>
      </c>
      <c r="M197" s="8" t="s">
        <v>1727</v>
      </c>
      <c r="N197" s="17" t="str">
        <f>HYPERLINK('Components Data Source'!M197)</f>
        <v>https://www.flowcode.co.uk/wiki/index.php?title=Component:_ID_927d2882_ab2f_43e9_8690_d1d6891001ee</v>
      </c>
      <c r="O197" s="8" t="s">
        <v>1721</v>
      </c>
      <c r="P197" s="8"/>
      <c r="Q197" s="8" t="str">
        <f t="shared" si="6"/>
        <v/>
      </c>
      <c r="R197" s="8" t="s">
        <v>1721</v>
      </c>
      <c r="S197" s="8" t="s">
        <v>1721</v>
      </c>
      <c r="T197" s="8" t="s">
        <v>1727</v>
      </c>
      <c r="U197" s="8" t="s">
        <v>1727</v>
      </c>
      <c r="V197" s="8" t="s">
        <v>1731</v>
      </c>
      <c r="W197" s="8" t="s">
        <v>1734</v>
      </c>
      <c r="X197" s="8"/>
      <c r="Y197" s="8" t="s">
        <v>1727</v>
      </c>
      <c r="Z197" s="18">
        <f t="shared" si="7"/>
        <v>0</v>
      </c>
      <c r="AA197" s="8" t="s">
        <v>1727</v>
      </c>
      <c r="AB197" s="7" t="s">
        <v>2517</v>
      </c>
      <c r="AC197" s="7"/>
      <c r="AD197" s="8" t="s">
        <v>1721</v>
      </c>
      <c r="AE197" s="8" t="s">
        <v>1727</v>
      </c>
      <c r="AF197" s="8" t="s">
        <v>2401</v>
      </c>
      <c r="AG197" s="8" t="s">
        <v>1727</v>
      </c>
      <c r="AH197" s="47"/>
      <c r="AI197" s="47">
        <f>VLOOKUP(B197,'Components Usage'!A$2:C$603,3,FALSE)</f>
        <v>0</v>
      </c>
      <c r="AJ197" s="28" t="s">
        <v>2401</v>
      </c>
    </row>
    <row r="198" spans="1:36" x14ac:dyDescent="0.25">
      <c r="A198" s="16" t="str">
        <f>'Components Data Source'!A198</f>
        <v>Injector (API Digital Input)</v>
      </c>
      <c r="B198" s="8" t="str">
        <f>'Components Data Source'!B198</f>
        <v>DBC62603-09E5-4A5E-8DF3-22B921D9E9E9</v>
      </c>
      <c r="C198" s="41" t="str">
        <f>'Components Data Source'!C198</f>
        <v>InjectorSCADADigInput.fcpx</v>
      </c>
      <c r="D198" s="8" t="str">
        <f>'Components Data Source'!D198</f>
        <v>Components\IO_Source\Injectors\InjectorSCADADigitalInput.fcfx</v>
      </c>
      <c r="E198" s="8" t="str">
        <f>'Components Data Source'!E198</f>
        <v>FREE</v>
      </c>
      <c r="F198" s="8" t="str">
        <f>'Components Data Source'!F198</f>
        <v>TEST INJECTORS</v>
      </c>
      <c r="G198" s="8">
        <f>'Components Data Source'!G198</f>
        <v>0</v>
      </c>
      <c r="H198" s="8">
        <f>'Components Data Source'!H198</f>
        <v>0</v>
      </c>
      <c r="I198" s="8">
        <f>'Components Data Source'!I198</f>
        <v>0</v>
      </c>
      <c r="J198" s="8">
        <f>'Components Data Source'!J198</f>
        <v>1</v>
      </c>
      <c r="K198" s="8">
        <f>'Components Data Source'!K198</f>
        <v>1</v>
      </c>
      <c r="L198" s="8">
        <f>'Components Data Source'!L198</f>
        <v>0</v>
      </c>
      <c r="M198" s="8" t="s">
        <v>1727</v>
      </c>
      <c r="N198" s="17" t="str">
        <f>HYPERLINK('Components Data Source'!M198)</f>
        <v>https://www.flowcode.co.uk/wiki/index.php?title=Component:_ID_dbc62603_09e5_4a5e_8df3_22b921d9e9e9</v>
      </c>
      <c r="O198" s="8" t="s">
        <v>1721</v>
      </c>
      <c r="P198" s="8"/>
      <c r="Q198" s="8" t="str">
        <f t="shared" si="6"/>
        <v/>
      </c>
      <c r="R198" s="8" t="s">
        <v>1721</v>
      </c>
      <c r="S198" s="8" t="s">
        <v>1721</v>
      </c>
      <c r="T198" s="8" t="s">
        <v>1727</v>
      </c>
      <c r="U198" s="8" t="s">
        <v>1727</v>
      </c>
      <c r="V198" s="8" t="s">
        <v>1731</v>
      </c>
      <c r="W198" s="8" t="s">
        <v>1734</v>
      </c>
      <c r="X198" s="8"/>
      <c r="Y198" s="8" t="s">
        <v>1727</v>
      </c>
      <c r="Z198" s="18">
        <f t="shared" si="7"/>
        <v>0</v>
      </c>
      <c r="AA198" s="8" t="s">
        <v>1727</v>
      </c>
      <c r="AB198" s="7" t="s">
        <v>2517</v>
      </c>
      <c r="AC198" s="7"/>
      <c r="AD198" s="8" t="s">
        <v>1721</v>
      </c>
      <c r="AE198" s="8" t="s">
        <v>1727</v>
      </c>
      <c r="AF198" s="8" t="s">
        <v>2401</v>
      </c>
      <c r="AG198" s="8" t="s">
        <v>1727</v>
      </c>
      <c r="AH198" s="47"/>
      <c r="AI198" s="47">
        <f>VLOOKUP(B198,'Components Usage'!A$2:C$603,3,FALSE)</f>
        <v>0</v>
      </c>
      <c r="AJ198" s="28" t="s">
        <v>2401</v>
      </c>
    </row>
    <row r="199" spans="1:36" x14ac:dyDescent="0.25">
      <c r="A199" s="16" t="str">
        <f>'Components Data Source'!A199</f>
        <v>Injector (API Digital Output)</v>
      </c>
      <c r="B199" s="8" t="str">
        <f>'Components Data Source'!B199</f>
        <v>916E4F8C-EA50-4D16-BCBB-60492D600217</v>
      </c>
      <c r="C199" s="41" t="str">
        <f>'Components Data Source'!C199</f>
        <v>InjectorSCADADigOut.fcpx</v>
      </c>
      <c r="D199" s="8" t="str">
        <f>'Components Data Source'!D199</f>
        <v>Components\IO_Source\Injectors\InjectorSCADADigitalOutput.fcfx</v>
      </c>
      <c r="E199" s="8" t="str">
        <f>'Components Data Source'!E199</f>
        <v>FREE</v>
      </c>
      <c r="F199" s="8" t="str">
        <f>'Components Data Source'!F199</f>
        <v>TEST INJECTORS</v>
      </c>
      <c r="G199" s="8">
        <f>'Components Data Source'!G199</f>
        <v>0</v>
      </c>
      <c r="H199" s="8">
        <f>'Components Data Source'!H199</f>
        <v>0</v>
      </c>
      <c r="I199" s="8">
        <f>'Components Data Source'!I199</f>
        <v>0</v>
      </c>
      <c r="J199" s="8">
        <f>'Components Data Source'!J199</f>
        <v>1</v>
      </c>
      <c r="K199" s="8">
        <f>'Components Data Source'!K199</f>
        <v>1</v>
      </c>
      <c r="L199" s="8">
        <f>'Components Data Source'!L199</f>
        <v>0</v>
      </c>
      <c r="M199" s="8" t="s">
        <v>1727</v>
      </c>
      <c r="N199" s="17" t="str">
        <f>HYPERLINK('Components Data Source'!M199)</f>
        <v>https://www.flowcode.co.uk/wiki/index.php?title=Component:_ID_916e4f8c_ea50_4d16_bcbb_60492d600217</v>
      </c>
      <c r="O199" s="8" t="s">
        <v>1721</v>
      </c>
      <c r="P199" s="8"/>
      <c r="Q199" s="8" t="str">
        <f t="shared" si="6"/>
        <v/>
      </c>
      <c r="R199" s="8" t="s">
        <v>1721</v>
      </c>
      <c r="S199" s="8" t="s">
        <v>1721</v>
      </c>
      <c r="T199" s="8" t="s">
        <v>1727</v>
      </c>
      <c r="U199" s="8" t="s">
        <v>1727</v>
      </c>
      <c r="V199" s="8" t="s">
        <v>1731</v>
      </c>
      <c r="W199" s="8" t="s">
        <v>1734</v>
      </c>
      <c r="X199" s="8"/>
      <c r="Y199" s="8" t="s">
        <v>1727</v>
      </c>
      <c r="Z199" s="18">
        <f t="shared" si="7"/>
        <v>0</v>
      </c>
      <c r="AA199" s="8" t="s">
        <v>1727</v>
      </c>
      <c r="AB199" s="7" t="s">
        <v>2517</v>
      </c>
      <c r="AC199" s="7"/>
      <c r="AD199" s="8" t="s">
        <v>1721</v>
      </c>
      <c r="AE199" s="8" t="s">
        <v>1727</v>
      </c>
      <c r="AF199" s="8" t="s">
        <v>2401</v>
      </c>
      <c r="AG199" s="8" t="s">
        <v>1727</v>
      </c>
      <c r="AH199" s="47"/>
      <c r="AI199" s="47">
        <f>VLOOKUP(B199,'Components Usage'!A$2:C$603,3,FALSE)</f>
        <v>0</v>
      </c>
      <c r="AJ199" s="28" t="s">
        <v>2401</v>
      </c>
    </row>
    <row r="200" spans="1:36" x14ac:dyDescent="0.25">
      <c r="A200" s="16" t="str">
        <f>'Components Data Source'!A200</f>
        <v>Data Transfer (API I2C)</v>
      </c>
      <c r="B200" s="8" t="str">
        <f>'Components Data Source'!B200</f>
        <v>E9F80EE2-3377-4C1F-856B-EB42DA1EFF02</v>
      </c>
      <c r="C200" s="41" t="str">
        <f>'Components Data Source'!C200</f>
        <v>InjectorSCADAI2C.fcpx</v>
      </c>
      <c r="D200" s="8" t="str">
        <f>'Components Data Source'!D200</f>
        <v>Components\IO_Source\Injectors\InjectorSCADAI2C.fcfx</v>
      </c>
      <c r="E200" s="8" t="str">
        <f>'Components Data Source'!E200</f>
        <v>FREE</v>
      </c>
      <c r="F200" s="8">
        <f>'Components Data Source'!F200</f>
        <v>0</v>
      </c>
      <c r="G200" s="8">
        <f>'Components Data Source'!G200</f>
        <v>0</v>
      </c>
      <c r="H200" s="8">
        <f>'Components Data Source'!H200</f>
        <v>0</v>
      </c>
      <c r="I200" s="8">
        <f>'Components Data Source'!I200</f>
        <v>0</v>
      </c>
      <c r="J200" s="8">
        <f>'Components Data Source'!J200</f>
        <v>1</v>
      </c>
      <c r="K200" s="8">
        <f>'Components Data Source'!K200</f>
        <v>1</v>
      </c>
      <c r="L200" s="8">
        <f>'Components Data Source'!L200</f>
        <v>0</v>
      </c>
      <c r="M200" s="8" t="s">
        <v>1727</v>
      </c>
      <c r="N200" s="17" t="str">
        <f>HYPERLINK('Components Data Source'!M200)</f>
        <v>https://www.flowcode.co.uk/wiki/index.php?title=Component:_ID_e9f80ee2_3377_4c1f_856b_eb42da1eff02</v>
      </c>
      <c r="O200" s="8" t="s">
        <v>1721</v>
      </c>
      <c r="P200" s="8"/>
      <c r="Q200" s="8" t="str">
        <f t="shared" si="6"/>
        <v/>
      </c>
      <c r="R200" s="8" t="s">
        <v>1721</v>
      </c>
      <c r="S200" s="8" t="s">
        <v>1721</v>
      </c>
      <c r="T200" s="8" t="s">
        <v>1721</v>
      </c>
      <c r="U200" s="8" t="s">
        <v>1721</v>
      </c>
      <c r="V200" s="8" t="s">
        <v>1175</v>
      </c>
      <c r="W200" s="8" t="s">
        <v>1734</v>
      </c>
      <c r="X200" s="8"/>
      <c r="Y200" s="8" t="s">
        <v>1727</v>
      </c>
      <c r="Z200" s="18">
        <f t="shared" si="7"/>
        <v>0</v>
      </c>
      <c r="AA200" s="8" t="s">
        <v>1727</v>
      </c>
      <c r="AB200" s="7" t="s">
        <v>2525</v>
      </c>
      <c r="AC200" s="7"/>
      <c r="AD200" s="8" t="s">
        <v>1721</v>
      </c>
      <c r="AE200" s="8" t="s">
        <v>1727</v>
      </c>
      <c r="AF200" s="8" t="s">
        <v>2401</v>
      </c>
      <c r="AG200" s="8" t="s">
        <v>1727</v>
      </c>
      <c r="AH200" s="47"/>
      <c r="AI200" s="47">
        <f>VLOOKUP(B200,'Components Usage'!A$2:C$603,3,FALSE)</f>
        <v>22</v>
      </c>
      <c r="AJ200" s="28" t="s">
        <v>2401</v>
      </c>
    </row>
    <row r="201" spans="1:36" x14ac:dyDescent="0.25">
      <c r="A201" s="16" t="str">
        <f>'Components Data Source'!A201</f>
        <v>Data Transfer (API SPI)</v>
      </c>
      <c r="B201" s="8" t="str">
        <f>'Components Data Source'!B201</f>
        <v>08D6AAD0-FFE7-4C11-AF82-0FAA2CB6ABCF</v>
      </c>
      <c r="C201" s="41" t="str">
        <f>'Components Data Source'!C201</f>
        <v>InjectorSCADASPI.fcpx</v>
      </c>
      <c r="D201" s="8" t="str">
        <f>'Components Data Source'!D201</f>
        <v>Components\IO_Source\Injectors\InjectorSCADASPI.fcfx</v>
      </c>
      <c r="E201" s="8" t="str">
        <f>'Components Data Source'!E201</f>
        <v>FREE</v>
      </c>
      <c r="F201" s="8">
        <f>'Components Data Source'!F201</f>
        <v>0</v>
      </c>
      <c r="G201" s="8">
        <f>'Components Data Source'!G201</f>
        <v>0</v>
      </c>
      <c r="H201" s="8">
        <f>'Components Data Source'!H201</f>
        <v>0</v>
      </c>
      <c r="I201" s="8">
        <f>'Components Data Source'!I201</f>
        <v>0</v>
      </c>
      <c r="J201" s="8">
        <f>'Components Data Source'!J201</f>
        <v>1</v>
      </c>
      <c r="K201" s="8">
        <f>'Components Data Source'!K201</f>
        <v>1</v>
      </c>
      <c r="L201" s="8">
        <f>'Components Data Source'!L201</f>
        <v>0</v>
      </c>
      <c r="M201" s="8" t="s">
        <v>1727</v>
      </c>
      <c r="N201" s="17" t="str">
        <f>HYPERLINK('Components Data Source'!M201)</f>
        <v>https://www.flowcode.co.uk/wiki/index.php?title=Component:_ID_08d6aad0_ffe7_4c11_af82_0faa2cb6abcf</v>
      </c>
      <c r="O201" s="8" t="s">
        <v>1721</v>
      </c>
      <c r="P201" s="8"/>
      <c r="Q201" s="8" t="str">
        <f t="shared" si="6"/>
        <v/>
      </c>
      <c r="R201" s="8" t="s">
        <v>1721</v>
      </c>
      <c r="S201" s="8" t="s">
        <v>1721</v>
      </c>
      <c r="T201" s="8" t="s">
        <v>1721</v>
      </c>
      <c r="U201" s="8" t="s">
        <v>1721</v>
      </c>
      <c r="V201" s="8" t="s">
        <v>1180</v>
      </c>
      <c r="W201" s="8" t="s">
        <v>1734</v>
      </c>
      <c r="X201" s="8"/>
      <c r="Y201" s="8" t="s">
        <v>1727</v>
      </c>
      <c r="Z201" s="18">
        <f t="shared" si="7"/>
        <v>0</v>
      </c>
      <c r="AA201" s="8" t="s">
        <v>1727</v>
      </c>
      <c r="AB201" s="7" t="s">
        <v>2525</v>
      </c>
      <c r="AC201" s="7"/>
      <c r="AD201" s="8" t="s">
        <v>1721</v>
      </c>
      <c r="AE201" s="8" t="s">
        <v>1727</v>
      </c>
      <c r="AF201" s="8" t="s">
        <v>2401</v>
      </c>
      <c r="AG201" s="8" t="s">
        <v>1727</v>
      </c>
      <c r="AH201" s="47"/>
      <c r="AI201" s="47">
        <f>VLOOKUP(B201,'Components Usage'!A$2:C$603,3,FALSE)</f>
        <v>31</v>
      </c>
      <c r="AJ201" s="28" t="s">
        <v>2401</v>
      </c>
    </row>
    <row r="202" spans="1:36" x14ac:dyDescent="0.25">
      <c r="A202" s="16" t="str">
        <f>'Components Data Source'!A202</f>
        <v>Data Transfer (API UART)</v>
      </c>
      <c r="B202" s="8" t="str">
        <f>'Components Data Source'!B202</f>
        <v>1B5ACB6C-D16D-483B-9868-CF406165AC55</v>
      </c>
      <c r="C202" s="41" t="str">
        <f>'Components Data Source'!C202</f>
        <v>InjectorSCADAUART.fcpx</v>
      </c>
      <c r="D202" s="8" t="str">
        <f>'Components Data Source'!D202</f>
        <v>Components\IO_Source\Injectors\InjectorSCADAUART.fcfx</v>
      </c>
      <c r="E202" s="8" t="str">
        <f>'Components Data Source'!E202</f>
        <v>FREE</v>
      </c>
      <c r="F202" s="8">
        <f>'Components Data Source'!F202</f>
        <v>0</v>
      </c>
      <c r="G202" s="8">
        <f>'Components Data Source'!G202</f>
        <v>0</v>
      </c>
      <c r="H202" s="8">
        <f>'Components Data Source'!H202</f>
        <v>0</v>
      </c>
      <c r="I202" s="8">
        <f>'Components Data Source'!I202</f>
        <v>0</v>
      </c>
      <c r="J202" s="8">
        <f>'Components Data Source'!J202</f>
        <v>1</v>
      </c>
      <c r="K202" s="8">
        <f>'Components Data Source'!K202</f>
        <v>1</v>
      </c>
      <c r="L202" s="8">
        <f>'Components Data Source'!L202</f>
        <v>0</v>
      </c>
      <c r="M202" s="8" t="s">
        <v>1727</v>
      </c>
      <c r="N202" s="17" t="str">
        <f>HYPERLINK('Components Data Source'!M202)</f>
        <v>https://www.flowcode.co.uk/wiki/index.php?title=Component:_ID_1b5acb6c_d16d_483b_9868_cf406165ac55</v>
      </c>
      <c r="O202" s="8" t="s">
        <v>1721</v>
      </c>
      <c r="P202" s="8"/>
      <c r="Q202" s="8" t="str">
        <f t="shared" si="6"/>
        <v/>
      </c>
      <c r="R202" s="8" t="s">
        <v>1721</v>
      </c>
      <c r="S202" s="8" t="s">
        <v>1721</v>
      </c>
      <c r="T202" s="8" t="s">
        <v>1721</v>
      </c>
      <c r="U202" s="8" t="s">
        <v>1721</v>
      </c>
      <c r="V202" s="8" t="s">
        <v>1183</v>
      </c>
      <c r="W202" s="8" t="s">
        <v>1734</v>
      </c>
      <c r="X202" s="8"/>
      <c r="Y202" s="8" t="s">
        <v>1727</v>
      </c>
      <c r="Z202" s="18">
        <f t="shared" si="7"/>
        <v>0</v>
      </c>
      <c r="AA202" s="8" t="s">
        <v>1727</v>
      </c>
      <c r="AB202" s="7" t="s">
        <v>2525</v>
      </c>
      <c r="AC202" s="7"/>
      <c r="AD202" s="8" t="s">
        <v>1721</v>
      </c>
      <c r="AE202" s="8" t="s">
        <v>1727</v>
      </c>
      <c r="AF202" s="8" t="s">
        <v>2401</v>
      </c>
      <c r="AG202" s="8" t="s">
        <v>1727</v>
      </c>
      <c r="AH202" s="47"/>
      <c r="AI202" s="47">
        <f>VLOOKUP(B202,'Components Usage'!A$2:C$603,3,FALSE)</f>
        <v>20</v>
      </c>
      <c r="AJ202" s="28" t="s">
        <v>2401</v>
      </c>
    </row>
    <row r="203" spans="1:36" x14ac:dyDescent="0.25">
      <c r="A203" s="16" t="str">
        <f>'Components Data Source'!A203</f>
        <v>Injector (Flowcode vNet)</v>
      </c>
      <c r="B203" s="8" t="str">
        <f>'Components Data Source'!B203</f>
        <v>B81AB4D7-BE8F-4DDD-B5DC-937BDA03DC82</v>
      </c>
      <c r="C203" s="41" t="str">
        <f>'Components Data Source'!C203</f>
        <v>InjectorVnet.fcpx</v>
      </c>
      <c r="D203" s="8" t="str">
        <f>'Components Data Source'!D203</f>
        <v>Components\IO_Source\Injectors\InjectorVnet.fcfx</v>
      </c>
      <c r="E203" s="8" t="str">
        <f>'Components Data Source'!E203</f>
        <v>FREE</v>
      </c>
      <c r="F203" s="8" t="str">
        <f>'Components Data Source'!F203</f>
        <v>TEST INJECTORS</v>
      </c>
      <c r="G203" s="8">
        <f>'Components Data Source'!G203</f>
        <v>0</v>
      </c>
      <c r="H203" s="8">
        <f>'Components Data Source'!H203</f>
        <v>0</v>
      </c>
      <c r="I203" s="8">
        <f>'Components Data Source'!I203</f>
        <v>0</v>
      </c>
      <c r="J203" s="8">
        <f>'Components Data Source'!J203</f>
        <v>1</v>
      </c>
      <c r="K203" s="8">
        <f>'Components Data Source'!K203</f>
        <v>1</v>
      </c>
      <c r="L203" s="8">
        <f>'Components Data Source'!L203</f>
        <v>0</v>
      </c>
      <c r="M203" s="8" t="s">
        <v>1727</v>
      </c>
      <c r="N203" s="17" t="str">
        <f>HYPERLINK('Components Data Source'!M203)</f>
        <v>https://www.flowcode.co.uk/wiki/index.php?title=Component:_ID_b81ab4d7_be8f_4ddd_b5dc_937bda03dc82</v>
      </c>
      <c r="O203" s="8" t="s">
        <v>1721</v>
      </c>
      <c r="P203" s="8"/>
      <c r="Q203" s="8" t="str">
        <f t="shared" si="6"/>
        <v/>
      </c>
      <c r="R203" s="8" t="s">
        <v>1721</v>
      </c>
      <c r="S203" s="8" t="s">
        <v>1721</v>
      </c>
      <c r="T203" s="8" t="s">
        <v>1721</v>
      </c>
      <c r="U203" s="8" t="s">
        <v>1721</v>
      </c>
      <c r="V203" s="8" t="s">
        <v>1183</v>
      </c>
      <c r="W203" s="8" t="s">
        <v>1731</v>
      </c>
      <c r="X203" s="8"/>
      <c r="Y203" s="8" t="s">
        <v>1721</v>
      </c>
      <c r="Z203" s="18">
        <f t="shared" si="7"/>
        <v>1</v>
      </c>
      <c r="AA203" s="8"/>
      <c r="AB203" s="7"/>
      <c r="AC203" s="7"/>
      <c r="AD203" s="8" t="s">
        <v>1721</v>
      </c>
      <c r="AE203" s="8" t="s">
        <v>1721</v>
      </c>
      <c r="AF203" s="8" t="s">
        <v>1721</v>
      </c>
      <c r="AG203" s="8" t="s">
        <v>1721</v>
      </c>
      <c r="AH203" s="47"/>
      <c r="AI203" s="47">
        <f>VLOOKUP(B203,'Components Usage'!A$2:C$603,3,FALSE)</f>
        <v>19</v>
      </c>
      <c r="AJ203" s="28" t="s">
        <v>2401</v>
      </c>
    </row>
    <row r="204" spans="1:36" x14ac:dyDescent="0.25">
      <c r="A204" s="16" t="str">
        <f>'Components Data Source'!A204</f>
        <v>Input Message Box</v>
      </c>
      <c r="B204" s="8" t="str">
        <f>'Components Data Source'!B204</f>
        <v>6ED9452D-1AE7-4F70-991C-6D8085A2D923</v>
      </c>
      <c r="C204" s="41" t="str">
        <f>'Components Data Source'!C204</f>
        <v>InputMessageBox.fcpx</v>
      </c>
      <c r="D204" s="8" t="str">
        <f>'Components Data Source'!D204</f>
        <v>Components\IO_Source\SCADA\DialogueInputs.fcsx</v>
      </c>
      <c r="E204" s="8" t="str">
        <f>'Components Data Source'!E204</f>
        <v>FREE</v>
      </c>
      <c r="F204" s="8" t="str">
        <f>'Components Data Source'!F204</f>
        <v xml:space="preserve">CONTROLS </v>
      </c>
      <c r="G204" s="8" t="str">
        <f>'Components Data Source'!G204</f>
        <v>RUNTIME TOOLS</v>
      </c>
      <c r="H204" s="8">
        <f>'Components Data Source'!H204</f>
        <v>0</v>
      </c>
      <c r="I204" s="8">
        <f>'Components Data Source'!I204</f>
        <v>0</v>
      </c>
      <c r="J204" s="8">
        <f>'Components Data Source'!J204</f>
        <v>1</v>
      </c>
      <c r="K204" s="8">
        <f>'Components Data Source'!K204</f>
        <v>1</v>
      </c>
      <c r="L204" s="8">
        <f>'Components Data Source'!L204</f>
        <v>1</v>
      </c>
      <c r="M204" s="8" t="s">
        <v>1727</v>
      </c>
      <c r="N204" s="17" t="str">
        <f>HYPERLINK('Components Data Source'!M204)</f>
        <v>https://www.flowcode.co.uk/wiki/index.php?title=Component:_ID_6ed9452d_1ae7_4f70_991c_6d8085a2d923</v>
      </c>
      <c r="O204" s="8" t="s">
        <v>1721</v>
      </c>
      <c r="P204" s="8"/>
      <c r="Q204" s="8" t="str">
        <f t="shared" si="6"/>
        <v/>
      </c>
      <c r="R204" s="1" t="s">
        <v>1721</v>
      </c>
      <c r="S204" s="1" t="s">
        <v>1721</v>
      </c>
      <c r="T204" s="1" t="s">
        <v>1727</v>
      </c>
      <c r="U204" s="1" t="s">
        <v>1727</v>
      </c>
      <c r="V204" s="1" t="s">
        <v>1731</v>
      </c>
      <c r="W204" s="1" t="s">
        <v>1731</v>
      </c>
      <c r="X204" s="1" t="s">
        <v>1721</v>
      </c>
      <c r="Y204" s="8" t="s">
        <v>1721</v>
      </c>
      <c r="Z204" s="18">
        <f t="shared" si="7"/>
        <v>1</v>
      </c>
      <c r="AA204" s="8"/>
      <c r="AB204" s="7"/>
      <c r="AC204" s="7"/>
      <c r="AD204" s="8" t="s">
        <v>1721</v>
      </c>
      <c r="AE204" s="8" t="s">
        <v>1727</v>
      </c>
      <c r="AF204" s="8" t="s">
        <v>2401</v>
      </c>
      <c r="AG204" s="8" t="s">
        <v>1727</v>
      </c>
      <c r="AH204" s="47"/>
      <c r="AI204" s="47">
        <f>VLOOKUP(B204,'Components Usage'!A$2:C$603,3,FALSE)</f>
        <v>5</v>
      </c>
      <c r="AJ204" s="28" t="s">
        <v>2401</v>
      </c>
    </row>
    <row r="205" spans="1:36" x14ac:dyDescent="0.25">
      <c r="A205" s="16" t="str">
        <f>'Components Data Source'!A205</f>
        <v>IntOsc Helper</v>
      </c>
      <c r="B205" s="8" t="str">
        <f>'Components Data Source'!B205</f>
        <v>3E5CC6D0-3E36-46B8-BC40-F238A5735B6E</v>
      </c>
      <c r="C205" s="41" t="str">
        <f>'Components Data Source'!C205</f>
        <v>IntOscHelper.fcpx</v>
      </c>
      <c r="D205" s="8" t="str">
        <f>'Components Data Source'!D205</f>
        <v>Components\Ctrl_Source\IntOsc Helper.fcfx</v>
      </c>
      <c r="E205" s="8" t="str">
        <f>'Components Data Source'!E205</f>
        <v>FREE</v>
      </c>
      <c r="F205" s="8" t="str">
        <f>'Components Data Source'!F205</f>
        <v>MATRIX TOOLS</v>
      </c>
      <c r="G205" s="8">
        <f>'Components Data Source'!G205</f>
        <v>0</v>
      </c>
      <c r="H205" s="8">
        <f>'Components Data Source'!H205</f>
        <v>0</v>
      </c>
      <c r="I205" s="8">
        <f>'Components Data Source'!I205</f>
        <v>0</v>
      </c>
      <c r="J205" s="8">
        <f>'Components Data Source'!J205</f>
        <v>1</v>
      </c>
      <c r="K205" s="8">
        <f>'Components Data Source'!K205</f>
        <v>1</v>
      </c>
      <c r="L205" s="8">
        <f>'Components Data Source'!L205</f>
        <v>0</v>
      </c>
      <c r="M205" s="8" t="s">
        <v>1727</v>
      </c>
      <c r="N205" s="17" t="str">
        <f>HYPERLINK('Components Data Source'!M205)</f>
        <v>https://www.flowcode.co.uk/wiki/index.php?title=Component:_ID_3e5cc6d0_3e36_46b8_bc40_f238a5735b6e</v>
      </c>
      <c r="O205" s="8" t="s">
        <v>1721</v>
      </c>
      <c r="P205" s="8"/>
      <c r="Q205" s="8" t="str">
        <f t="shared" si="6"/>
        <v/>
      </c>
      <c r="R205" s="8" t="s">
        <v>1721</v>
      </c>
      <c r="S205" s="8" t="s">
        <v>1721</v>
      </c>
      <c r="T205" s="8" t="s">
        <v>1727</v>
      </c>
      <c r="U205" s="8" t="s">
        <v>1727</v>
      </c>
      <c r="V205" s="8" t="s">
        <v>1731</v>
      </c>
      <c r="W205" s="8" t="s">
        <v>1731</v>
      </c>
      <c r="X205" s="8" t="s">
        <v>1721</v>
      </c>
      <c r="Y205" s="8" t="s">
        <v>1721</v>
      </c>
      <c r="Z205" s="18">
        <f t="shared" si="7"/>
        <v>1</v>
      </c>
      <c r="AA205" s="8"/>
      <c r="AB205" s="7"/>
      <c r="AC205" s="7"/>
      <c r="AD205" s="8" t="s">
        <v>1721</v>
      </c>
      <c r="AE205" s="8" t="s">
        <v>1721</v>
      </c>
      <c r="AF205" s="8" t="s">
        <v>2401</v>
      </c>
      <c r="AG205" s="8" t="s">
        <v>1721</v>
      </c>
      <c r="AH205" s="47"/>
      <c r="AI205" s="47">
        <f>VLOOKUP(B205,'Components Usage'!A$2:C$603,3,FALSE)</f>
        <v>62</v>
      </c>
      <c r="AJ205" s="28" t="s">
        <v>2401</v>
      </c>
    </row>
    <row r="206" spans="1:36" x14ac:dyDescent="0.25">
      <c r="A206" s="16" t="str">
        <f>'Components Data Source'!A206</f>
        <v>IoT Made Easy</v>
      </c>
      <c r="B206" s="8" t="str">
        <f>'Components Data Source'!B206</f>
        <v>2740A93B-32A9-48D1-8FC3-089D13B50BB5</v>
      </c>
      <c r="C206" s="41" t="str">
        <f>'Components Data Source'!C206</f>
        <v>IoTMadeEasy.fcpx</v>
      </c>
      <c r="D206" s="8" t="str">
        <f>'Components Data Source'!D206</f>
        <v>Components\IO_Source\IoT\IoTMadeEasy.fcfx</v>
      </c>
      <c r="E206" s="8" t="str">
        <f>'Components Data Source'!E206</f>
        <v>FREE</v>
      </c>
      <c r="F206" s="8" t="str">
        <f>'Components Data Source'!F206</f>
        <v>COMMS: IOT/CLOUD</v>
      </c>
      <c r="G206" s="8">
        <f>'Components Data Source'!G206</f>
        <v>0</v>
      </c>
      <c r="H206" s="8">
        <f>'Components Data Source'!H206</f>
        <v>0</v>
      </c>
      <c r="I206" s="8">
        <f>'Components Data Source'!I206</f>
        <v>0</v>
      </c>
      <c r="J206" s="8">
        <f>'Components Data Source'!J206</f>
        <v>1</v>
      </c>
      <c r="K206" s="8">
        <f>'Components Data Source'!K206</f>
        <v>1</v>
      </c>
      <c r="L206" s="8">
        <f>'Components Data Source'!L206</f>
        <v>1</v>
      </c>
      <c r="M206" s="8" t="s">
        <v>1727</v>
      </c>
      <c r="N206" s="17" t="str">
        <f>HYPERLINK('Components Data Source'!M206)</f>
        <v>https://www.flowcode.co.uk/wiki/index.php?title=Component:_ID_2740a93b_32a9_48d1_8fc3_089d13b50bb5</v>
      </c>
      <c r="O206" s="8" t="s">
        <v>1721</v>
      </c>
      <c r="P206" s="8"/>
      <c r="Q206" s="8" t="str">
        <f t="shared" si="6"/>
        <v/>
      </c>
      <c r="R206" s="1" t="s">
        <v>1721</v>
      </c>
      <c r="S206" s="1" t="s">
        <v>1721</v>
      </c>
      <c r="T206" s="1" t="s">
        <v>1727</v>
      </c>
      <c r="U206" s="1" t="s">
        <v>1721</v>
      </c>
      <c r="V206" s="1" t="s">
        <v>1731</v>
      </c>
      <c r="W206" s="1" t="s">
        <v>1732</v>
      </c>
      <c r="X206" s="1" t="s">
        <v>1721</v>
      </c>
      <c r="Y206" s="8" t="s">
        <v>1721</v>
      </c>
      <c r="Z206" s="18">
        <f t="shared" si="7"/>
        <v>1</v>
      </c>
      <c r="AA206" s="8"/>
      <c r="AB206" s="7"/>
      <c r="AC206" s="7"/>
      <c r="AD206" s="8" t="s">
        <v>1721</v>
      </c>
      <c r="AE206" s="8" t="s">
        <v>1727</v>
      </c>
      <c r="AF206" s="8" t="s">
        <v>1727</v>
      </c>
      <c r="AG206" s="8" t="s">
        <v>1727</v>
      </c>
      <c r="AH206" s="47"/>
      <c r="AI206" s="47">
        <f>VLOOKUP(B206,'Components Usage'!A$2:C$603,3,FALSE)</f>
        <v>10</v>
      </c>
      <c r="AJ206" s="28" t="s">
        <v>2401</v>
      </c>
    </row>
    <row r="207" spans="1:36" hidden="1" x14ac:dyDescent="0.25">
      <c r="A207" s="16" t="str">
        <f>'Components Data Source'!A207</f>
        <v>IrDA (EB012 MCP1250 MCP2120)</v>
      </c>
      <c r="B207" s="8" t="str">
        <f>'Components Data Source'!B207</f>
        <v>2BFC8781-9817-4E0C-89F3-28DAC37E9A62</v>
      </c>
      <c r="C207" s="41" t="str">
        <f>'Components Data Source'!C207</f>
        <v>IrDA.fcpx</v>
      </c>
      <c r="D207" s="8" t="str">
        <f>'Components Data Source'!D207</f>
        <v>Components\IO_Source\IrDA.fcfx</v>
      </c>
      <c r="E207" s="8" t="str">
        <f>'Components Data Source'!E207</f>
        <v>COMMSB</v>
      </c>
      <c r="F207" s="8" t="str">
        <f>'Components Data Source'!F207</f>
        <v>WIRELESS</v>
      </c>
      <c r="G207" s="8">
        <f>'Components Data Source'!G207</f>
        <v>0</v>
      </c>
      <c r="H207" s="8">
        <f>'Components Data Source'!H207</f>
        <v>0</v>
      </c>
      <c r="I207" s="8" t="str">
        <f>'Components Data Source'!I207</f>
        <v xml:space="preserve">UART </v>
      </c>
      <c r="J207" s="8">
        <f>'Components Data Source'!J207</f>
        <v>1</v>
      </c>
      <c r="K207" s="8">
        <f>'Components Data Source'!K207</f>
        <v>1</v>
      </c>
      <c r="L207" s="8">
        <f>'Components Data Source'!L207</f>
        <v>0</v>
      </c>
      <c r="M207" s="8" t="s">
        <v>1727</v>
      </c>
      <c r="N207" s="17" t="str">
        <f>HYPERLINK('Components Data Source'!M207)</f>
        <v>https://www.flowcode.co.uk/wiki/index.php?title=Component:_ID_2bfc8781_9817_4e0c_89f3_28dac37e9a62</v>
      </c>
      <c r="O207" s="8" t="s">
        <v>1721</v>
      </c>
      <c r="P207" s="8"/>
      <c r="Q207" s="8" t="str">
        <f t="shared" ref="Q207:Q270" si="8">IF(L207=1,IF(K207=1,"",1),"")</f>
        <v/>
      </c>
      <c r="R207" s="1" t="s">
        <v>1721</v>
      </c>
      <c r="S207" s="1" t="s">
        <v>1721</v>
      </c>
      <c r="T207" s="1" t="s">
        <v>1721</v>
      </c>
      <c r="U207" s="1"/>
      <c r="V207" s="1" t="s">
        <v>1731</v>
      </c>
      <c r="W207" s="1" t="s">
        <v>1183</v>
      </c>
      <c r="X207" s="1" t="s">
        <v>1721</v>
      </c>
      <c r="Y207" s="8" t="s">
        <v>1721</v>
      </c>
      <c r="Z207" s="18">
        <f t="shared" si="7"/>
        <v>1</v>
      </c>
      <c r="AA207" s="8"/>
      <c r="AB207" s="6" t="s">
        <v>2441</v>
      </c>
      <c r="AC207" s="7"/>
      <c r="AD207" s="8" t="s">
        <v>1721</v>
      </c>
      <c r="AE207" s="8" t="s">
        <v>1721</v>
      </c>
      <c r="AF207" s="8" t="s">
        <v>1721</v>
      </c>
      <c r="AG207" s="8" t="s">
        <v>1721</v>
      </c>
      <c r="AH207" s="47"/>
      <c r="AI207" s="47">
        <f>VLOOKUP(B207,'Components Usage'!A$2:C$603,3,FALSE)</f>
        <v>1</v>
      </c>
      <c r="AJ207" s="28" t="s">
        <v>2401</v>
      </c>
    </row>
    <row r="208" spans="1:36" x14ac:dyDescent="0.25">
      <c r="A208" s="16" t="str">
        <f>'Components Data Source'!A208</f>
        <v>Is Sim</v>
      </c>
      <c r="B208" s="8" t="str">
        <f>'Components Data Source'!B208</f>
        <v>5F7B77E5-E979-4010-93F1-E6D98F83BD71</v>
      </c>
      <c r="C208" s="41" t="str">
        <f>'Components Data Source'!C208</f>
        <v>IsSim.fcpx</v>
      </c>
      <c r="D208" s="8" t="str">
        <f>'Components Data Source'!D208</f>
        <v>Components\IO_Source\IsSim.fcfx</v>
      </c>
      <c r="E208" s="8" t="str">
        <f>'Components Data Source'!E208</f>
        <v>FREE</v>
      </c>
      <c r="F208" s="8" t="str">
        <f>'Components Data Source'!F208</f>
        <v>MATRIX TOOLS</v>
      </c>
      <c r="G208" s="8">
        <f>'Components Data Source'!G208</f>
        <v>0</v>
      </c>
      <c r="H208" s="8">
        <f>'Components Data Source'!H208</f>
        <v>0</v>
      </c>
      <c r="I208" s="8">
        <f>'Components Data Source'!I208</f>
        <v>0</v>
      </c>
      <c r="J208" s="8">
        <f>'Components Data Source'!J208</f>
        <v>1</v>
      </c>
      <c r="K208" s="8">
        <f>'Components Data Source'!K208</f>
        <v>1</v>
      </c>
      <c r="L208" s="8">
        <f>'Components Data Source'!L208</f>
        <v>1</v>
      </c>
      <c r="M208" s="8" t="s">
        <v>1727</v>
      </c>
      <c r="N208" s="17" t="str">
        <f>HYPERLINK('Components Data Source'!M208)</f>
        <v>https://www.flowcode.co.uk/wiki/index.php?title=Component:_ID_5f7b77e5_e979_4010_93f1_e6d98f83bd71</v>
      </c>
      <c r="O208" s="8" t="s">
        <v>1721</v>
      </c>
      <c r="P208" s="8"/>
      <c r="Q208" s="8" t="str">
        <f t="shared" si="8"/>
        <v/>
      </c>
      <c r="R208" s="8" t="s">
        <v>1721</v>
      </c>
      <c r="S208" s="8" t="s">
        <v>1721</v>
      </c>
      <c r="T208" s="8" t="s">
        <v>1727</v>
      </c>
      <c r="U208" s="8" t="s">
        <v>1727</v>
      </c>
      <c r="V208" s="8" t="s">
        <v>1731</v>
      </c>
      <c r="W208" s="8" t="s">
        <v>1731</v>
      </c>
      <c r="X208" s="8" t="s">
        <v>1721</v>
      </c>
      <c r="Y208" s="8" t="s">
        <v>1721</v>
      </c>
      <c r="Z208" s="18">
        <f t="shared" si="7"/>
        <v>1</v>
      </c>
      <c r="AA208" s="8"/>
      <c r="AB208" s="7"/>
      <c r="AC208" s="7"/>
      <c r="AD208" s="8" t="s">
        <v>1721</v>
      </c>
      <c r="AE208" s="8" t="s">
        <v>1727</v>
      </c>
      <c r="AF208" s="8" t="s">
        <v>1727</v>
      </c>
      <c r="AG208" s="8" t="s">
        <v>1727</v>
      </c>
      <c r="AH208" s="47"/>
      <c r="AI208" s="47">
        <f>VLOOKUP(B208,'Components Usage'!A$2:C$603,3,FALSE)</f>
        <v>10</v>
      </c>
      <c r="AJ208" s="28" t="s">
        <v>2401</v>
      </c>
    </row>
    <row r="209" spans="1:36" hidden="1" x14ac:dyDescent="0.25">
      <c r="A209" s="16" t="str">
        <f>'Components Data Source'!A209</f>
        <v>Joystick</v>
      </c>
      <c r="B209" s="8" t="str">
        <f>'Components Data Source'!B209</f>
        <v>29E63C23-636F-4F9A-B691-BA1A717E3503</v>
      </c>
      <c r="C209" s="41" t="str">
        <f>'Components Data Source'!C209</f>
        <v>Joystick.fcpx</v>
      </c>
      <c r="D209" s="8" t="str">
        <f>'Components Data Source'!D209</f>
        <v>Components\IO_Source\SCADA\Joystick.fcfx</v>
      </c>
      <c r="E209" s="8" t="str">
        <f>'Components Data Source'!E209</f>
        <v>SCADA</v>
      </c>
      <c r="F209" s="8" t="str">
        <f>'Components Data Source'!F209</f>
        <v>CONTROLS</v>
      </c>
      <c r="G209" s="8" t="str">
        <f>'Components Data Source'!G209</f>
        <v xml:space="preserve">CONTROLS </v>
      </c>
      <c r="H209" s="8">
        <f>'Components Data Source'!H209</f>
        <v>0</v>
      </c>
      <c r="I209" s="8">
        <f>'Components Data Source'!I209</f>
        <v>0</v>
      </c>
      <c r="J209" s="8">
        <f>'Components Data Source'!J209</f>
        <v>1</v>
      </c>
      <c r="K209" s="8">
        <f>'Components Data Source'!K209</f>
        <v>1</v>
      </c>
      <c r="L209" s="8">
        <f>'Components Data Source'!L209</f>
        <v>1</v>
      </c>
      <c r="M209" s="8" t="s">
        <v>1727</v>
      </c>
      <c r="N209" s="17" t="str">
        <f>HYPERLINK('Components Data Source'!M209)</f>
        <v>https://www.flowcode.co.uk/wiki/index.php?title=Component:_ID_29e63c23_636f_4f9a_b691_ba1a717e3503</v>
      </c>
      <c r="O209" s="8" t="s">
        <v>1721</v>
      </c>
      <c r="P209" s="8"/>
      <c r="Q209" s="8" t="str">
        <f t="shared" si="8"/>
        <v/>
      </c>
      <c r="R209" s="8" t="s">
        <v>1727</v>
      </c>
      <c r="S209" s="8"/>
      <c r="T209" s="8"/>
      <c r="U209" s="8"/>
      <c r="V209" s="8" t="s">
        <v>1730</v>
      </c>
      <c r="W209" s="8" t="s">
        <v>1730</v>
      </c>
      <c r="X209" s="8"/>
      <c r="Y209" s="8"/>
      <c r="Z209" s="18">
        <f t="shared" si="7"/>
        <v>2</v>
      </c>
      <c r="AA209" s="8"/>
      <c r="AB209" s="7"/>
      <c r="AC209" s="7"/>
      <c r="AD209" s="8" t="s">
        <v>1721</v>
      </c>
      <c r="AE209" s="8" t="s">
        <v>1727</v>
      </c>
      <c r="AF209" s="8" t="s">
        <v>1727</v>
      </c>
      <c r="AG209" s="8" t="s">
        <v>1727</v>
      </c>
      <c r="AH209" s="47"/>
      <c r="AI209" s="47">
        <f>VLOOKUP(B209,'Components Usage'!A$2:C$603,3,FALSE)</f>
        <v>14</v>
      </c>
      <c r="AJ209" s="28" t="s">
        <v>2401</v>
      </c>
    </row>
    <row r="210" spans="1:36" x14ac:dyDescent="0.25">
      <c r="A210" s="16" t="str">
        <f>'Components Data Source'!A210</f>
        <v>Joystick (Sparkfun Quiic)</v>
      </c>
      <c r="B210" s="8" t="str">
        <f>'Components Data Source'!B210</f>
        <v>74571CDC-4F94-4E9A-B56B-376F36424996</v>
      </c>
      <c r="C210" s="41" t="str">
        <f>'Components Data Source'!C210</f>
        <v>Joystick_Quiic.fcpx</v>
      </c>
      <c r="D210" s="8" t="str">
        <f>'Components Data Source'!D210</f>
        <v>Components\IO_Source\Sparkfun\Sparkfun_Quiic_Joystick.fcfx</v>
      </c>
      <c r="E210" s="8" t="str">
        <f>'Components Data Source'!E210</f>
        <v>FREE</v>
      </c>
      <c r="F210" s="8" t="str">
        <f>'Components Data Source'!F210</f>
        <v>ANALOG INPUT</v>
      </c>
      <c r="G210" s="8" t="str">
        <f>'Components Data Source'!G210</f>
        <v xml:space="preserve">CONTROLS </v>
      </c>
      <c r="H210" s="8">
        <f>'Components Data Source'!H210</f>
        <v>0</v>
      </c>
      <c r="I210" s="8" t="str">
        <f>'Components Data Source'!I210</f>
        <v xml:space="preserve">I2C </v>
      </c>
      <c r="J210" s="8">
        <f>'Components Data Source'!J210</f>
        <v>1</v>
      </c>
      <c r="K210" s="8">
        <f>'Components Data Source'!K210</f>
        <v>1</v>
      </c>
      <c r="L210" s="8">
        <f>'Components Data Source'!L210</f>
        <v>1</v>
      </c>
      <c r="M210" s="8" t="s">
        <v>1727</v>
      </c>
      <c r="N210" s="17" t="str">
        <f>HYPERLINK('Components Data Source'!M210)</f>
        <v>https://www.flowcode.co.uk/wiki/index.php?title=Component:_ID_74571cdc_4f94_4e9a_b56b_376f36424996</v>
      </c>
      <c r="O210" s="8" t="s">
        <v>1721</v>
      </c>
      <c r="P210" s="8"/>
      <c r="Q210" s="8" t="str">
        <f t="shared" si="8"/>
        <v/>
      </c>
      <c r="R210" s="8" t="s">
        <v>2520</v>
      </c>
      <c r="S210" s="8"/>
      <c r="T210" s="8"/>
      <c r="U210" s="8"/>
      <c r="V210" s="8" t="s">
        <v>1730</v>
      </c>
      <c r="W210" s="8" t="s">
        <v>1730</v>
      </c>
      <c r="X210" s="8"/>
      <c r="Y210" s="8"/>
      <c r="Z210" s="18">
        <f t="shared" si="7"/>
        <v>0</v>
      </c>
      <c r="AA210" s="8"/>
      <c r="AB210" s="7"/>
      <c r="AC210" s="7"/>
      <c r="AD210" s="8" t="s">
        <v>1727</v>
      </c>
      <c r="AE210" s="8"/>
      <c r="AF210" s="8"/>
      <c r="AG210" s="8" t="s">
        <v>3633</v>
      </c>
      <c r="AH210" s="47"/>
      <c r="AI210" s="47">
        <f>VLOOKUP(B210,'Components Usage'!A$2:C$603,3,FALSE)</f>
        <v>7</v>
      </c>
      <c r="AJ210" s="28"/>
    </row>
    <row r="211" spans="1:36" hidden="1" x14ac:dyDescent="0.25">
      <c r="A211" s="16" t="str">
        <f>'Components Data Source'!A211</f>
        <v>K8055D</v>
      </c>
      <c r="B211" s="8" t="str">
        <f>'Components Data Source'!B211</f>
        <v>563F8662-1205-4508-9E07-0B54471683F3</v>
      </c>
      <c r="C211" s="41" t="str">
        <f>'Components Data Source'!C211</f>
        <v>K8055D.fcpx</v>
      </c>
      <c r="D211" s="8" t="str">
        <f>'Components Data Source'!D211</f>
        <v>Components\IO_Source\Velleman K8055\K8055D.fcsx</v>
      </c>
      <c r="E211" s="8" t="str">
        <f>'Components Data Source'!E211</f>
        <v>COMMSC</v>
      </c>
      <c r="F211" s="8" t="str">
        <f>'Components Data Source'!F211</f>
        <v>THIRD PARTY</v>
      </c>
      <c r="G211" s="8">
        <f>'Components Data Source'!G211</f>
        <v>0</v>
      </c>
      <c r="H211" s="8">
        <f>'Components Data Source'!H211</f>
        <v>0</v>
      </c>
      <c r="I211" s="8">
        <f>'Components Data Source'!I211</f>
        <v>0</v>
      </c>
      <c r="J211" s="8">
        <f>'Components Data Source'!J211</f>
        <v>1</v>
      </c>
      <c r="K211" s="8">
        <f>'Components Data Source'!K211</f>
        <v>0</v>
      </c>
      <c r="L211" s="8">
        <f>'Components Data Source'!L211</f>
        <v>1</v>
      </c>
      <c r="M211" s="8" t="s">
        <v>1727</v>
      </c>
      <c r="N211" s="17" t="str">
        <f>HYPERLINK('Components Data Source'!M211)</f>
        <v>https://www.flowcode.co.uk/wiki/index.php?title=Component:_ID_563f8662_1205_4508_9e07_0b54471683f3</v>
      </c>
      <c r="O211" s="8" t="s">
        <v>1721</v>
      </c>
      <c r="P211" s="8"/>
      <c r="Q211" s="8">
        <f t="shared" si="8"/>
        <v>1</v>
      </c>
      <c r="R211" s="8" t="s">
        <v>1727</v>
      </c>
      <c r="S211" s="8"/>
      <c r="T211" s="8"/>
      <c r="U211" s="8"/>
      <c r="V211" s="8" t="s">
        <v>1730</v>
      </c>
      <c r="W211" s="8" t="s">
        <v>1730</v>
      </c>
      <c r="X211" s="8"/>
      <c r="Y211" s="8"/>
      <c r="Z211" s="18">
        <f t="shared" si="7"/>
        <v>2</v>
      </c>
      <c r="AA211" s="8"/>
      <c r="AB211" s="7"/>
      <c r="AC211" s="7"/>
      <c r="AD211" s="8" t="s">
        <v>1721</v>
      </c>
      <c r="AE211" s="8" t="s">
        <v>1721</v>
      </c>
      <c r="AF211" s="8" t="s">
        <v>1721</v>
      </c>
      <c r="AG211" s="8" t="s">
        <v>1721</v>
      </c>
      <c r="AH211" s="47"/>
      <c r="AI211" s="47">
        <f>VLOOKUP(B211,'Components Usage'!A$2:C$603,3,FALSE)</f>
        <v>0</v>
      </c>
      <c r="AJ211" s="28" t="s">
        <v>2401</v>
      </c>
    </row>
    <row r="212" spans="1:36" x14ac:dyDescent="0.25">
      <c r="A212" s="16" t="str">
        <f>'Components Data Source'!A212</f>
        <v>Keyboard</v>
      </c>
      <c r="B212" s="8" t="str">
        <f>'Components Data Source'!B212</f>
        <v>EB9025A7-ACEC-455C-9033-BD4DD2586E05</v>
      </c>
      <c r="C212" s="41" t="str">
        <f>'Components Data Source'!C212</f>
        <v>KeyboardMonitor.fcpx</v>
      </c>
      <c r="D212" s="8" t="str">
        <f>'Components Data Source'!D212</f>
        <v>Components\IO_Source\SCADA\Keyboard.fcfx</v>
      </c>
      <c r="E212" s="8" t="str">
        <f>'Components Data Source'!E212</f>
        <v>FREE</v>
      </c>
      <c r="F212" s="8" t="str">
        <f>'Components Data Source'!F212</f>
        <v xml:space="preserve">CONTROLS </v>
      </c>
      <c r="G212" s="8" t="str">
        <f>'Components Data Source'!G212</f>
        <v>RUNTIME TOOLS</v>
      </c>
      <c r="H212" s="8">
        <f>'Components Data Source'!H212</f>
        <v>0</v>
      </c>
      <c r="I212" s="8">
        <f>'Components Data Source'!I212</f>
        <v>0</v>
      </c>
      <c r="J212" s="8">
        <f>'Components Data Source'!J212</f>
        <v>1</v>
      </c>
      <c r="K212" s="8">
        <f>'Components Data Source'!K212</f>
        <v>1</v>
      </c>
      <c r="L212" s="8">
        <f>'Components Data Source'!L212</f>
        <v>1</v>
      </c>
      <c r="M212" s="8" t="s">
        <v>1727</v>
      </c>
      <c r="N212" s="17" t="str">
        <f>HYPERLINK('Components Data Source'!M212)</f>
        <v>https://www.flowcode.co.uk/wiki/index.php?title=Component:_ID_eb9025a7_acec_455c_9033_bd4dd2586e05</v>
      </c>
      <c r="O212" s="8" t="s">
        <v>1721</v>
      </c>
      <c r="P212" s="8"/>
      <c r="Q212" s="8" t="str">
        <f t="shared" si="8"/>
        <v/>
      </c>
      <c r="R212" s="8" t="s">
        <v>1721</v>
      </c>
      <c r="S212" s="8" t="s">
        <v>1721</v>
      </c>
      <c r="T212" s="8" t="s">
        <v>1727</v>
      </c>
      <c r="U212" s="8" t="s">
        <v>1727</v>
      </c>
      <c r="V212" s="8" t="s">
        <v>1731</v>
      </c>
      <c r="W212" s="8" t="s">
        <v>1731</v>
      </c>
      <c r="X212" s="8"/>
      <c r="Y212" s="8" t="s">
        <v>1721</v>
      </c>
      <c r="Z212" s="18">
        <f t="shared" si="7"/>
        <v>1</v>
      </c>
      <c r="AA212" s="8"/>
      <c r="AB212" s="7"/>
      <c r="AC212" s="7"/>
      <c r="AD212" s="8" t="s">
        <v>1721</v>
      </c>
      <c r="AE212" s="8" t="s">
        <v>1721</v>
      </c>
      <c r="AF212" s="8" t="s">
        <v>1721</v>
      </c>
      <c r="AG212" s="8" t="s">
        <v>1721</v>
      </c>
      <c r="AH212" s="47"/>
      <c r="AI212" s="47">
        <f>VLOOKUP(B212,'Components Usage'!A$2:C$603,3,FALSE)</f>
        <v>13</v>
      </c>
      <c r="AJ212" s="28" t="s">
        <v>2401</v>
      </c>
    </row>
    <row r="213" spans="1:36" x14ac:dyDescent="0.25">
      <c r="A213" s="16" t="str">
        <f>'Components Data Source'!A213</f>
        <v>Keypad(BL0138)</v>
      </c>
      <c r="B213" s="8" t="str">
        <f>'Components Data Source'!B213</f>
        <v>B904B771-A7BC-47EC-A1EA-9D4C77AFCCF2</v>
      </c>
      <c r="C213" s="41" t="str">
        <f>'Components Data Source'!C213</f>
        <v>Keypad_BL0138.fcpx</v>
      </c>
      <c r="D213" s="8" t="str">
        <f>'Components Data Source'!D213</f>
        <v>Components\IO_Source\EB2\EBlocks2_KeyPad_BL0138.fcfx</v>
      </c>
      <c r="E213" s="8" t="str">
        <f>'Components Data Source'!E213</f>
        <v>FREE</v>
      </c>
      <c r="F213" s="8" t="str">
        <f>'Components Data Source'!F213</f>
        <v>E-BLOCKS 2</v>
      </c>
      <c r="G213" s="8">
        <f>'Components Data Source'!G213</f>
        <v>0</v>
      </c>
      <c r="H213" s="8">
        <f>'Components Data Source'!H213</f>
        <v>0</v>
      </c>
      <c r="I213" s="8">
        <f>'Components Data Source'!I213</f>
        <v>0</v>
      </c>
      <c r="J213" s="8">
        <f>'Components Data Source'!J213</f>
        <v>1</v>
      </c>
      <c r="K213" s="8">
        <f>'Components Data Source'!K213</f>
        <v>1</v>
      </c>
      <c r="L213" s="8">
        <f>'Components Data Source'!L213</f>
        <v>0</v>
      </c>
      <c r="M213" s="8" t="s">
        <v>1727</v>
      </c>
      <c r="N213" s="17" t="str">
        <f>HYPERLINK('Components Data Source'!M213)</f>
        <v>https://www.flowcode.co.uk/wiki/index.php?title=Component:_ID_b904b771_a7bc_47ec_a1ea_9d4c77afccf2</v>
      </c>
      <c r="O213" s="8" t="s">
        <v>2589</v>
      </c>
      <c r="P213" s="8"/>
      <c r="Q213" s="8" t="str">
        <f t="shared" si="8"/>
        <v/>
      </c>
      <c r="R213" s="8" t="s">
        <v>1727</v>
      </c>
      <c r="S213" s="8"/>
      <c r="T213" s="8"/>
      <c r="U213" s="8"/>
      <c r="V213" s="8" t="s">
        <v>1730</v>
      </c>
      <c r="W213" s="8" t="s">
        <v>1730</v>
      </c>
      <c r="X213" s="8"/>
      <c r="Y213" s="8"/>
      <c r="Z213" s="18">
        <f t="shared" si="7"/>
        <v>2</v>
      </c>
      <c r="AA213" s="8"/>
      <c r="AB213" s="7"/>
      <c r="AC213" s="7"/>
      <c r="AD213" s="8" t="s">
        <v>1721</v>
      </c>
      <c r="AE213" s="8" t="s">
        <v>1727</v>
      </c>
      <c r="AF213" s="8" t="s">
        <v>1727</v>
      </c>
      <c r="AG213" s="8" t="s">
        <v>1727</v>
      </c>
      <c r="AH213" s="47"/>
      <c r="AI213" s="47">
        <f>VLOOKUP(B213,'Components Usage'!A$2:C$603,3,FALSE)</f>
        <v>0</v>
      </c>
      <c r="AJ213" s="28" t="s">
        <v>2401</v>
      </c>
    </row>
    <row r="214" spans="1:36" hidden="1" x14ac:dyDescent="0.25">
      <c r="A214" s="16" t="str">
        <f>'Components Data Source'!A214</f>
        <v>Gyroscope 3-Axis(L3G4200D)</v>
      </c>
      <c r="B214" s="8" t="str">
        <f>'Components Data Source'!B214</f>
        <v>447DABF8-4E39-46A5-A3D6-A02341BEF0F0</v>
      </c>
      <c r="C214" s="41" t="str">
        <f>'Components Data Source'!C214</f>
        <v>L3G4200D_Gyroscope.fcpx</v>
      </c>
      <c r="D214" s="8" t="str">
        <f>'Components Data Source'!D214</f>
        <v>Components\IO_Source\Sensors\Gyroscope_L3G4200D.fcfx</v>
      </c>
      <c r="E214" s="8" t="str">
        <f>'Components Data Source'!E214</f>
        <v>SENSORS</v>
      </c>
      <c r="F214" s="8" t="str">
        <f>'Components Data Source'!F214</f>
        <v>MOVEMENT &amp;AMP; ORIENTATION</v>
      </c>
      <c r="G214" s="8">
        <f>'Components Data Source'!G214</f>
        <v>0</v>
      </c>
      <c r="H214" s="8">
        <f>'Components Data Source'!H214</f>
        <v>0</v>
      </c>
      <c r="I214" s="8" t="str">
        <f>'Components Data Source'!I214</f>
        <v xml:space="preserve">I2C </v>
      </c>
      <c r="J214" s="8">
        <f>'Components Data Source'!J214</f>
        <v>1</v>
      </c>
      <c r="K214" s="8">
        <f>'Components Data Source'!K214</f>
        <v>1</v>
      </c>
      <c r="L214" s="8">
        <f>'Components Data Source'!L214</f>
        <v>1</v>
      </c>
      <c r="M214" s="8" t="s">
        <v>1727</v>
      </c>
      <c r="N214" s="17" t="str">
        <f>HYPERLINK('Components Data Source'!M214)</f>
        <v>https://www.flowcode.co.uk/wiki/index.php?title=Component:_ID_447dabf8_4e39_46a5_a3d6_a02341bef0f0</v>
      </c>
      <c r="O214" s="8" t="s">
        <v>1721</v>
      </c>
      <c r="P214" s="8" t="s">
        <v>2774</v>
      </c>
      <c r="Q214" s="8" t="str">
        <f t="shared" si="8"/>
        <v/>
      </c>
      <c r="R214" s="1" t="s">
        <v>1721</v>
      </c>
      <c r="S214" s="1" t="s">
        <v>1721</v>
      </c>
      <c r="T214" s="1" t="s">
        <v>1721</v>
      </c>
      <c r="U214" s="1" t="s">
        <v>1721</v>
      </c>
      <c r="V214" s="1" t="s">
        <v>1731</v>
      </c>
      <c r="W214" s="1" t="s">
        <v>1175</v>
      </c>
      <c r="X214" s="1" t="s">
        <v>1721</v>
      </c>
      <c r="Y214" s="8" t="s">
        <v>2401</v>
      </c>
      <c r="Z214" s="18">
        <f t="shared" si="7"/>
        <v>3</v>
      </c>
      <c r="AA214" s="8"/>
      <c r="AB214" s="6" t="s">
        <v>2442</v>
      </c>
      <c r="AC214" s="7"/>
      <c r="AD214" s="8" t="s">
        <v>1721</v>
      </c>
      <c r="AE214" s="8" t="s">
        <v>1727</v>
      </c>
      <c r="AF214" s="8" t="s">
        <v>1727</v>
      </c>
      <c r="AG214" s="8" t="s">
        <v>1727</v>
      </c>
      <c r="AH214" s="47"/>
      <c r="AI214" s="47">
        <f>VLOOKUP(B214,'Components Usage'!A$2:C$603,3,FALSE)</f>
        <v>0</v>
      </c>
      <c r="AJ214" s="28" t="s">
        <v>2401</v>
      </c>
    </row>
    <row r="215" spans="1:36" hidden="1" x14ac:dyDescent="0.25">
      <c r="A215" s="16" t="str">
        <f>'Components Data Source'!A215</f>
        <v>Gyroscope 3-Axis I2C (L3GD20)</v>
      </c>
      <c r="B215" s="8" t="str">
        <f>'Components Data Source'!B215</f>
        <v>8E4553F8-FCE7-4FED-80C1-33DE9590A678</v>
      </c>
      <c r="C215" s="41" t="str">
        <f>'Components Data Source'!C215</f>
        <v>L3GD20_Gyroscope.fcpx</v>
      </c>
      <c r="D215" s="8" t="str">
        <f>'Components Data Source'!D215</f>
        <v>Components\IO_Source\Sensors\Gyroscope_L3GD20_I2C.fcfx</v>
      </c>
      <c r="E215" s="8" t="str">
        <f>'Components Data Source'!E215</f>
        <v>SENSORS</v>
      </c>
      <c r="F215" s="8" t="str">
        <f>'Components Data Source'!F215</f>
        <v>MOVEMENT &amp;AMP; ORIENTATION</v>
      </c>
      <c r="G215" s="8">
        <f>'Components Data Source'!G215</f>
        <v>0</v>
      </c>
      <c r="H215" s="8">
        <f>'Components Data Source'!H215</f>
        <v>0</v>
      </c>
      <c r="I215" s="8" t="str">
        <f>'Components Data Source'!I215</f>
        <v xml:space="preserve">I2C </v>
      </c>
      <c r="J215" s="8">
        <f>'Components Data Source'!J215</f>
        <v>1</v>
      </c>
      <c r="K215" s="8">
        <f>'Components Data Source'!K215</f>
        <v>1</v>
      </c>
      <c r="L215" s="8">
        <f>'Components Data Source'!L215</f>
        <v>1</v>
      </c>
      <c r="M215" s="8" t="s">
        <v>1727</v>
      </c>
      <c r="N215" s="17" t="str">
        <f>HYPERLINK('Components Data Source'!M215)</f>
        <v>https://www.flowcode.co.uk/wiki/index.php?title=Component:_ID_8e4553f8_fce7_4fed_80c1_33de9590a678</v>
      </c>
      <c r="O215" s="8" t="s">
        <v>1721</v>
      </c>
      <c r="P215" s="8" t="s">
        <v>2774</v>
      </c>
      <c r="Q215" s="8" t="str">
        <f t="shared" si="8"/>
        <v/>
      </c>
      <c r="R215" s="1" t="s">
        <v>1721</v>
      </c>
      <c r="S215" s="1" t="s">
        <v>1721</v>
      </c>
      <c r="T215" s="1" t="s">
        <v>1721</v>
      </c>
      <c r="U215" s="1" t="s">
        <v>1721</v>
      </c>
      <c r="V215" s="1" t="s">
        <v>1731</v>
      </c>
      <c r="W215" s="1" t="s">
        <v>1175</v>
      </c>
      <c r="X215" s="1" t="s">
        <v>1721</v>
      </c>
      <c r="Y215" s="8" t="s">
        <v>2401</v>
      </c>
      <c r="Z215" s="18">
        <f t="shared" si="7"/>
        <v>3</v>
      </c>
      <c r="AA215" s="8"/>
      <c r="AB215" s="11" t="s">
        <v>2444</v>
      </c>
      <c r="AC215" s="7"/>
      <c r="AD215" s="8" t="s">
        <v>1721</v>
      </c>
      <c r="AE215" s="8" t="s">
        <v>1727</v>
      </c>
      <c r="AF215" s="8" t="s">
        <v>1727</v>
      </c>
      <c r="AG215" s="8" t="s">
        <v>1727</v>
      </c>
      <c r="AH215" s="47"/>
      <c r="AI215" s="47">
        <f>VLOOKUP(B215,'Components Usage'!A$2:C$603,3,FALSE)</f>
        <v>0</v>
      </c>
      <c r="AJ215" s="28" t="s">
        <v>2401</v>
      </c>
    </row>
    <row r="216" spans="1:36" x14ac:dyDescent="0.25">
      <c r="A216" s="16" t="str">
        <f>'Components Data Source'!A216</f>
        <v>LoRa(LAMBDA SX1272)</v>
      </c>
      <c r="B216" s="8" t="str">
        <f>'Components Data Source'!B216</f>
        <v>EA261653-86E2-4C37-94F6-4151B318C6F5</v>
      </c>
      <c r="C216" s="41" t="str">
        <f>'Components Data Source'!C216</f>
        <v>LAMBDA_LoRa.fcpx</v>
      </c>
      <c r="D216" s="8" t="str">
        <f>'Components Data Source'!D216</f>
        <v>Components\IO_Source\LoRa_Lambda.fcfx</v>
      </c>
      <c r="E216" s="8" t="str">
        <f>'Components Data Source'!E216</f>
        <v>FREE</v>
      </c>
      <c r="F216" s="8" t="str">
        <f>'Components Data Source'!F216</f>
        <v>WIRELESS</v>
      </c>
      <c r="G216" s="8">
        <f>'Components Data Source'!G216</f>
        <v>0</v>
      </c>
      <c r="H216" s="8">
        <f>'Components Data Source'!H216</f>
        <v>0</v>
      </c>
      <c r="I216" s="8" t="str">
        <f>'Components Data Source'!I216</f>
        <v xml:space="preserve">SPI </v>
      </c>
      <c r="J216" s="8">
        <f>'Components Data Source'!J216</f>
        <v>1</v>
      </c>
      <c r="K216" s="8">
        <f>'Components Data Source'!K216</f>
        <v>1</v>
      </c>
      <c r="L216" s="8">
        <f>'Components Data Source'!L216</f>
        <v>0</v>
      </c>
      <c r="M216" s="8" t="s">
        <v>1727</v>
      </c>
      <c r="N216" s="17" t="str">
        <f>HYPERLINK('Components Data Source'!M216)</f>
        <v>https://www.flowcode.co.uk/wiki/index.php?title=Component:_ID_ea261653_86e2_4c37_94f6_4151b318c6f5</v>
      </c>
      <c r="O216" s="8" t="s">
        <v>1721</v>
      </c>
      <c r="P216" s="8"/>
      <c r="Q216" s="8" t="str">
        <f t="shared" si="8"/>
        <v/>
      </c>
      <c r="R216" s="8" t="s">
        <v>1721</v>
      </c>
      <c r="S216" s="8" t="s">
        <v>1721</v>
      </c>
      <c r="T216" s="8" t="s">
        <v>1721</v>
      </c>
      <c r="U216" s="8" t="s">
        <v>1721</v>
      </c>
      <c r="V216" s="8" t="s">
        <v>1731</v>
      </c>
      <c r="W216" s="8" t="s">
        <v>1180</v>
      </c>
      <c r="X216" s="8" t="s">
        <v>1721</v>
      </c>
      <c r="Y216" s="8" t="s">
        <v>1721</v>
      </c>
      <c r="Z216" s="18">
        <f t="shared" si="7"/>
        <v>1</v>
      </c>
      <c r="AA216" s="8"/>
      <c r="AB216" s="7"/>
      <c r="AC216" s="7"/>
      <c r="AD216" s="8" t="s">
        <v>1721</v>
      </c>
      <c r="AE216" s="8" t="s">
        <v>1727</v>
      </c>
      <c r="AF216" s="8" t="s">
        <v>1727</v>
      </c>
      <c r="AG216" s="8" t="s">
        <v>1727</v>
      </c>
      <c r="AH216" s="47"/>
      <c r="AI216" s="47">
        <f>VLOOKUP(B216,'Components Usage'!A$2:C$603,3,FALSE)</f>
        <v>6</v>
      </c>
      <c r="AJ216" s="28" t="s">
        <v>2401</v>
      </c>
    </row>
    <row r="217" spans="1:36" x14ac:dyDescent="0.25">
      <c r="A217" s="16" t="str">
        <f>'Components Data Source'!A217</f>
        <v>LCD (Generic)</v>
      </c>
      <c r="B217" s="8" t="str">
        <f>'Components Data Source'!B217</f>
        <v>0953AAC0-9C23-4C2F-9843-88954A4191EA</v>
      </c>
      <c r="C217" s="41" t="str">
        <f>'Components Data Source'!C217</f>
        <v>LCD.fcpx</v>
      </c>
      <c r="D217" s="8" t="str">
        <f>'Components Data Source'!D217</f>
        <v>Components\IO_Source\displays\LCDv2.fcfx</v>
      </c>
      <c r="E217" s="8" t="str">
        <f>'Components Data Source'!E217</f>
        <v>FREE</v>
      </c>
      <c r="F217" s="8" t="str">
        <f>'Components Data Source'!F217</f>
        <v>ALPHANUMERIC</v>
      </c>
      <c r="G217" s="8">
        <f>'Components Data Source'!G217</f>
        <v>0</v>
      </c>
      <c r="H217" s="8">
        <f>'Components Data Source'!H217</f>
        <v>0</v>
      </c>
      <c r="I217" s="8">
        <f>'Components Data Source'!I217</f>
        <v>0</v>
      </c>
      <c r="J217" s="8">
        <f>'Components Data Source'!J217</f>
        <v>1</v>
      </c>
      <c r="K217" s="8">
        <f>'Components Data Source'!K217</f>
        <v>1</v>
      </c>
      <c r="L217" s="8">
        <f>'Components Data Source'!L217</f>
        <v>0</v>
      </c>
      <c r="M217" s="8" t="s">
        <v>1727</v>
      </c>
      <c r="N217" s="17" t="str">
        <f>HYPERLINK('Components Data Source'!M217)</f>
        <v>https://www.flowcode.co.uk/wiki/index.php?title=Component:_ID_0953aac0_9c23_4c2f_9843_88954a4191ea</v>
      </c>
      <c r="O217" s="8" t="s">
        <v>1721</v>
      </c>
      <c r="P217" s="8"/>
      <c r="Q217" s="8" t="str">
        <f t="shared" si="8"/>
        <v/>
      </c>
      <c r="R217" s="8" t="s">
        <v>1727</v>
      </c>
      <c r="S217" s="8"/>
      <c r="T217" s="8"/>
      <c r="U217" s="8"/>
      <c r="V217" s="8" t="s">
        <v>1730</v>
      </c>
      <c r="W217" s="8" t="s">
        <v>1730</v>
      </c>
      <c r="X217" s="8"/>
      <c r="Y217" s="8"/>
      <c r="Z217" s="18">
        <f t="shared" si="7"/>
        <v>2</v>
      </c>
      <c r="AA217" s="8"/>
      <c r="AB217" s="7"/>
      <c r="AC217" s="7"/>
      <c r="AD217" s="8" t="s">
        <v>1721</v>
      </c>
      <c r="AE217" s="8" t="s">
        <v>1721</v>
      </c>
      <c r="AF217" s="8" t="s">
        <v>1721</v>
      </c>
      <c r="AG217" s="8" t="s">
        <v>1721</v>
      </c>
      <c r="AH217" s="47"/>
      <c r="AI217" s="47">
        <f>VLOOKUP(B217,'Components Usage'!A$2:C$603,3,FALSE)</f>
        <v>105</v>
      </c>
      <c r="AJ217" s="28" t="s">
        <v>2401</v>
      </c>
    </row>
    <row r="218" spans="1:36" hidden="1" x14ac:dyDescent="0.25">
      <c r="A218" s="16" t="str">
        <f>'Components Data Source'!A218</f>
        <v>LCD (Adafruit 16x2)</v>
      </c>
      <c r="B218" s="8" t="str">
        <f>'Components Data Source'!B218</f>
        <v>672CB410-6026-403B-AFF7-0628FE9E8140</v>
      </c>
      <c r="C218" s="41" t="str">
        <f>'Components Data Source'!C218</f>
        <v>LCDAdafruitOLED.fcpx</v>
      </c>
      <c r="D218" s="8" t="str">
        <f>'Components Data Source'!D218</f>
        <v>Components\IO_Source\displays\lcd_Adafruit_OLED.fcfx</v>
      </c>
      <c r="E218" s="8" t="str">
        <f>'Components Data Source'!E218</f>
        <v>DISPLAYS</v>
      </c>
      <c r="F218" s="8" t="str">
        <f>'Components Data Source'!F218</f>
        <v>ALPHANUMERIC</v>
      </c>
      <c r="G218" s="8">
        <f>'Components Data Source'!G218</f>
        <v>0</v>
      </c>
      <c r="H218" s="8">
        <f>'Components Data Source'!H218</f>
        <v>0</v>
      </c>
      <c r="I218" s="8">
        <f>'Components Data Source'!I218</f>
        <v>0</v>
      </c>
      <c r="J218" s="8">
        <f>'Components Data Source'!J218</f>
        <v>1</v>
      </c>
      <c r="K218" s="8">
        <f>'Components Data Source'!K218</f>
        <v>1</v>
      </c>
      <c r="L218" s="8">
        <f>'Components Data Source'!L218</f>
        <v>0</v>
      </c>
      <c r="M218" s="8" t="s">
        <v>1727</v>
      </c>
      <c r="N218" s="17" t="str">
        <f>HYPERLINK('Components Data Source'!M218)</f>
        <v>https://www.flowcode.co.uk/wiki/index.php?title=Component:_ID_672cb410_6026_403b_aff7_0628fe9e8140</v>
      </c>
      <c r="O218" s="8" t="s">
        <v>1721</v>
      </c>
      <c r="P218" s="8"/>
      <c r="Q218" s="8" t="str">
        <f t="shared" si="8"/>
        <v/>
      </c>
      <c r="R218" s="8" t="s">
        <v>1727</v>
      </c>
      <c r="S218" s="8"/>
      <c r="T218" s="8"/>
      <c r="U218" s="8"/>
      <c r="V218" s="8" t="s">
        <v>1730</v>
      </c>
      <c r="W218" s="8" t="s">
        <v>1730</v>
      </c>
      <c r="X218" s="8"/>
      <c r="Y218" s="8"/>
      <c r="Z218" s="18">
        <f t="shared" si="7"/>
        <v>2</v>
      </c>
      <c r="AA218" s="8"/>
      <c r="AB218" s="7"/>
      <c r="AC218" s="7"/>
      <c r="AD218" s="8" t="s">
        <v>1721</v>
      </c>
      <c r="AE218" s="8" t="s">
        <v>1727</v>
      </c>
      <c r="AF218" s="8" t="s">
        <v>1727</v>
      </c>
      <c r="AG218" s="8" t="s">
        <v>1721</v>
      </c>
      <c r="AH218" s="47"/>
      <c r="AI218" s="47">
        <f>VLOOKUP(B218,'Components Usage'!A$2:C$603,3,FALSE)</f>
        <v>69</v>
      </c>
      <c r="AJ218" s="28" t="s">
        <v>2401</v>
      </c>
    </row>
    <row r="219" spans="1:36" hidden="1" x14ac:dyDescent="0.25">
      <c r="A219" s="16" t="str">
        <f>'Components Data Source'!A219</f>
        <v>LCD (Adafruit 20x4)</v>
      </c>
      <c r="B219" s="8" t="str">
        <f>'Components Data Source'!B219</f>
        <v>913991DF-9BCB-475A-AE49-D9EB611B0D71</v>
      </c>
      <c r="C219" s="41" t="str">
        <f>'Components Data Source'!C219</f>
        <v>LCDAdafruitOLED4x20.fcpx</v>
      </c>
      <c r="D219" s="8" t="str">
        <f>'Components Data Source'!D219</f>
        <v>Components\IO_Source\displays\lcd_Adafruit_OLED2.fcfx</v>
      </c>
      <c r="E219" s="8" t="str">
        <f>'Components Data Source'!E219</f>
        <v>DISPLAYS</v>
      </c>
      <c r="F219" s="8" t="str">
        <f>'Components Data Source'!F219</f>
        <v>ALPHANUMERIC</v>
      </c>
      <c r="G219" s="8">
        <f>'Components Data Source'!G219</f>
        <v>0</v>
      </c>
      <c r="H219" s="8">
        <f>'Components Data Source'!H219</f>
        <v>0</v>
      </c>
      <c r="I219" s="8">
        <f>'Components Data Source'!I219</f>
        <v>0</v>
      </c>
      <c r="J219" s="8">
        <f>'Components Data Source'!J219</f>
        <v>1</v>
      </c>
      <c r="K219" s="8">
        <f>'Components Data Source'!K219</f>
        <v>1</v>
      </c>
      <c r="L219" s="8">
        <f>'Components Data Source'!L219</f>
        <v>0</v>
      </c>
      <c r="M219" s="8" t="s">
        <v>1727</v>
      </c>
      <c r="N219" s="17" t="str">
        <f>HYPERLINK('Components Data Source'!M219)</f>
        <v>https://www.flowcode.co.uk/wiki/index.php?title=Component:_ID_913991df_9bcb_475a_ae49_d9eb611b0d71</v>
      </c>
      <c r="O219" s="8" t="s">
        <v>1721</v>
      </c>
      <c r="P219" s="8"/>
      <c r="Q219" s="8" t="str">
        <f t="shared" si="8"/>
        <v/>
      </c>
      <c r="R219" s="8" t="s">
        <v>1727</v>
      </c>
      <c r="S219" s="8"/>
      <c r="T219" s="8"/>
      <c r="U219" s="8"/>
      <c r="V219" s="8" t="s">
        <v>1730</v>
      </c>
      <c r="W219" s="8" t="s">
        <v>1730</v>
      </c>
      <c r="X219" s="8"/>
      <c r="Y219" s="8"/>
      <c r="Z219" s="18">
        <f t="shared" si="7"/>
        <v>2</v>
      </c>
      <c r="AA219" s="8"/>
      <c r="AB219" s="7"/>
      <c r="AC219" s="7"/>
      <c r="AD219" s="8" t="s">
        <v>1721</v>
      </c>
      <c r="AE219" s="8" t="s">
        <v>1727</v>
      </c>
      <c r="AF219" s="8" t="s">
        <v>1727</v>
      </c>
      <c r="AG219" s="8" t="s">
        <v>1727</v>
      </c>
      <c r="AH219" s="47"/>
      <c r="AI219" s="47">
        <f>VLOOKUP(B219,'Components Usage'!A$2:C$603,3,FALSE)</f>
        <v>9</v>
      </c>
      <c r="AJ219" s="28" t="s">
        <v>2401</v>
      </c>
    </row>
    <row r="220" spans="1:36" hidden="1" x14ac:dyDescent="0.25">
      <c r="A220" s="16" t="str">
        <f>'Components Data Source'!A220</f>
        <v>LCD I2C (LCM1602)</v>
      </c>
      <c r="B220" s="8" t="str">
        <f>'Components Data Source'!B220</f>
        <v>3CF64267-8C56-47B0-84A1-A933A77716BC</v>
      </c>
      <c r="C220" s="41" t="str">
        <f>'Components Data Source'!C220</f>
        <v>LCDI2C.fcpx</v>
      </c>
      <c r="D220" s="8" t="str">
        <f>'Components Data Source'!D220</f>
        <v>Components\IO_Source\displays\LCD_I2C_LCM1602.fcfx</v>
      </c>
      <c r="E220" s="8" t="str">
        <f>'Components Data Source'!E220</f>
        <v>DISPLAYS</v>
      </c>
      <c r="F220" s="8" t="str">
        <f>'Components Data Source'!F220</f>
        <v>ALPHANUMERIC</v>
      </c>
      <c r="G220" s="8">
        <f>'Components Data Source'!G220</f>
        <v>0</v>
      </c>
      <c r="H220" s="8">
        <f>'Components Data Source'!H220</f>
        <v>0</v>
      </c>
      <c r="I220" s="8" t="str">
        <f>'Components Data Source'!I220</f>
        <v xml:space="preserve">I2C </v>
      </c>
      <c r="J220" s="8">
        <f>'Components Data Source'!J220</f>
        <v>1</v>
      </c>
      <c r="K220" s="8">
        <f>'Components Data Source'!K220</f>
        <v>1</v>
      </c>
      <c r="L220" s="8">
        <f>'Components Data Source'!L220</f>
        <v>0</v>
      </c>
      <c r="M220" s="8" t="s">
        <v>1727</v>
      </c>
      <c r="N220" s="17" t="str">
        <f>HYPERLINK('Components Data Source'!M220)</f>
        <v>https://www.flowcode.co.uk/wiki/index.php?title=Component:_ID_3cf64267_8c56_47b0_84a1_a933a77716bc</v>
      </c>
      <c r="O220" s="8" t="s">
        <v>1721</v>
      </c>
      <c r="P220" s="8"/>
      <c r="Q220" s="8" t="str">
        <f t="shared" si="8"/>
        <v/>
      </c>
      <c r="R220" s="8" t="s">
        <v>1727</v>
      </c>
      <c r="S220" s="8"/>
      <c r="T220" s="8"/>
      <c r="U220" s="8"/>
      <c r="V220" s="8" t="s">
        <v>1730</v>
      </c>
      <c r="W220" s="8" t="s">
        <v>1730</v>
      </c>
      <c r="X220" s="8"/>
      <c r="Y220" s="8"/>
      <c r="Z220" s="18">
        <f t="shared" si="7"/>
        <v>2</v>
      </c>
      <c r="AA220" s="8"/>
      <c r="AB220" s="7"/>
      <c r="AC220" s="7"/>
      <c r="AD220" s="8" t="s">
        <v>1721</v>
      </c>
      <c r="AE220" s="8" t="s">
        <v>1727</v>
      </c>
      <c r="AF220" s="8" t="s">
        <v>1727</v>
      </c>
      <c r="AG220" s="8" t="s">
        <v>1727</v>
      </c>
      <c r="AH220" s="47"/>
      <c r="AI220" s="47">
        <f>VLOOKUP(B220,'Components Usage'!A$2:C$603,3,FALSE)</f>
        <v>8</v>
      </c>
      <c r="AJ220" s="28" t="s">
        <v>2401</v>
      </c>
    </row>
    <row r="221" spans="1:36" hidden="1" x14ac:dyDescent="0.25">
      <c r="A221" s="16" t="str">
        <f>'Components Data Source'!A221</f>
        <v>LCD SPI (MiniClick)</v>
      </c>
      <c r="B221" s="8" t="str">
        <f>'Components Data Source'!B221</f>
        <v>C198E346-6B0F-4309-973C-78D7207E0B96</v>
      </c>
      <c r="C221" s="41" t="str">
        <f>'Components Data Source'!C221</f>
        <v>LCDMiniClick.fcpx</v>
      </c>
      <c r="D221" s="8" t="str">
        <f>'Components Data Source'!D221</f>
        <v>Components\IO_Source\displays\LCD_SPI_MiniClick.fcfx</v>
      </c>
      <c r="E221" s="8" t="str">
        <f>'Components Data Source'!E221</f>
        <v>DISPLAYS</v>
      </c>
      <c r="F221" s="8" t="str">
        <f>'Components Data Source'!F221</f>
        <v>ALPHANUMERIC</v>
      </c>
      <c r="G221" s="8">
        <f>'Components Data Source'!G221</f>
        <v>0</v>
      </c>
      <c r="H221" s="8">
        <f>'Components Data Source'!H221</f>
        <v>0</v>
      </c>
      <c r="I221" s="8" t="str">
        <f>'Components Data Source'!I221</f>
        <v xml:space="preserve">SPI </v>
      </c>
      <c r="J221" s="8">
        <f>'Components Data Source'!J221</f>
        <v>1</v>
      </c>
      <c r="K221" s="8">
        <f>'Components Data Source'!K221</f>
        <v>1</v>
      </c>
      <c r="L221" s="8">
        <f>'Components Data Source'!L221</f>
        <v>0</v>
      </c>
      <c r="M221" s="8" t="s">
        <v>1727</v>
      </c>
      <c r="N221" s="17" t="str">
        <f>HYPERLINK('Components Data Source'!M221)</f>
        <v>https://www.flowcode.co.uk/wiki/index.php?title=Component:_ID_c198e346_6b0f_4309_973c_78d7207e0b96</v>
      </c>
      <c r="O221" s="8" t="s">
        <v>1721</v>
      </c>
      <c r="P221" s="8"/>
      <c r="Q221" s="8" t="str">
        <f t="shared" si="8"/>
        <v/>
      </c>
      <c r="R221" s="8" t="s">
        <v>1727</v>
      </c>
      <c r="S221" s="8"/>
      <c r="T221" s="8"/>
      <c r="U221" s="8"/>
      <c r="V221" s="8" t="s">
        <v>1730</v>
      </c>
      <c r="W221" s="8" t="s">
        <v>1730</v>
      </c>
      <c r="X221" s="8"/>
      <c r="Y221" s="8"/>
      <c r="Z221" s="18">
        <f t="shared" si="7"/>
        <v>2</v>
      </c>
      <c r="AA221" s="8"/>
      <c r="AB221" s="7"/>
      <c r="AC221" s="7"/>
      <c r="AD221" s="8" t="s">
        <v>1727</v>
      </c>
      <c r="AE221" s="8"/>
      <c r="AF221" s="8"/>
      <c r="AG221" s="8" t="s">
        <v>1727</v>
      </c>
      <c r="AH221" s="47"/>
      <c r="AI221" s="47">
        <f>VLOOKUP(B221,'Components Usage'!A$2:C$603,3,FALSE)</f>
        <v>0</v>
      </c>
      <c r="AJ221" s="28"/>
    </row>
    <row r="222" spans="1:36" x14ac:dyDescent="0.25">
      <c r="A222" s="16" t="str">
        <f>'Components Data Source'!A222</f>
        <v>LCD(BL0169)</v>
      </c>
      <c r="B222" s="8" t="str">
        <f>'Components Data Source'!B222</f>
        <v>EE697D50-7FB5-4074-8CD6-996E5C386722</v>
      </c>
      <c r="C222" s="41" t="str">
        <f>'Components Data Source'!C222</f>
        <v>LCD_BL0169.fcpx</v>
      </c>
      <c r="D222" s="8" t="str">
        <f>'Components Data Source'!D222</f>
        <v>Components\IO_Source\EB2\EBlocks2_LCD_BL0169.fcfx</v>
      </c>
      <c r="E222" s="8" t="str">
        <f>'Components Data Source'!E222</f>
        <v>FREE</v>
      </c>
      <c r="F222" s="8" t="str">
        <f>'Components Data Source'!F222</f>
        <v>E-BLOCKS 2</v>
      </c>
      <c r="G222" s="8">
        <f>'Components Data Source'!G222</f>
        <v>0</v>
      </c>
      <c r="H222" s="8">
        <f>'Components Data Source'!H222</f>
        <v>0</v>
      </c>
      <c r="I222" s="8">
        <f>'Components Data Source'!I222</f>
        <v>0</v>
      </c>
      <c r="J222" s="8">
        <f>'Components Data Source'!J222</f>
        <v>1</v>
      </c>
      <c r="K222" s="8">
        <f>'Components Data Source'!K222</f>
        <v>1</v>
      </c>
      <c r="L222" s="8">
        <f>'Components Data Source'!L222</f>
        <v>0</v>
      </c>
      <c r="M222" s="8" t="s">
        <v>1727</v>
      </c>
      <c r="N222" s="17" t="str">
        <f>HYPERLINK('Components Data Source'!M222)</f>
        <v>https://www.flowcode.co.uk/wiki/index.php?title=Component:_ID_ee697d50_7fb5_4074_8cd6_996e5c386722</v>
      </c>
      <c r="O222" s="8" t="s">
        <v>2589</v>
      </c>
      <c r="P222" s="8"/>
      <c r="Q222" s="8" t="str">
        <f t="shared" si="8"/>
        <v/>
      </c>
      <c r="R222" s="8" t="s">
        <v>1727</v>
      </c>
      <c r="S222" s="8"/>
      <c r="T222" s="8"/>
      <c r="U222" s="8"/>
      <c r="V222" s="8" t="s">
        <v>1730</v>
      </c>
      <c r="W222" s="8" t="s">
        <v>1730</v>
      </c>
      <c r="X222" s="8"/>
      <c r="Y222" s="8"/>
      <c r="Z222" s="18">
        <f t="shared" si="7"/>
        <v>2</v>
      </c>
      <c r="AA222" s="8"/>
      <c r="AB222" s="7"/>
      <c r="AC222" s="7"/>
      <c r="AD222" s="8" t="s">
        <v>1721</v>
      </c>
      <c r="AE222" s="8" t="s">
        <v>1727</v>
      </c>
      <c r="AF222" s="8" t="s">
        <v>1727</v>
      </c>
      <c r="AG222" s="8" t="s">
        <v>1727</v>
      </c>
      <c r="AH222" s="47"/>
      <c r="AI222" s="47">
        <f>VLOOKUP(B222,'Components Usage'!A$2:C$603,3,FALSE)</f>
        <v>11</v>
      </c>
      <c r="AJ222" s="28" t="s">
        <v>2401</v>
      </c>
    </row>
    <row r="223" spans="1:36" hidden="1" x14ac:dyDescent="0.25">
      <c r="A223" s="16" t="str">
        <f>'Components Data Source'!A223</f>
        <v>LED Cube</v>
      </c>
      <c r="B223" s="8" t="str">
        <f>'Components Data Source'!B223</f>
        <v>B4F41FB0-9335-4A8F-A41D-284A8CFC31B5</v>
      </c>
      <c r="C223" s="41" t="str">
        <f>'Components Data Source'!C223</f>
        <v>LEDCube.fcpx</v>
      </c>
      <c r="D223" s="8" t="str">
        <f>'Components Data Source'!D223</f>
        <v>Components\IO_Source\outputs\LEDCUBE.fcfx</v>
      </c>
      <c r="E223" s="8" t="str">
        <f>'Components Data Source'!E223</f>
        <v>BASICIO</v>
      </c>
      <c r="F223" s="8" t="str">
        <f>'Components Data Source'!F223</f>
        <v>MISC CIRCUIT</v>
      </c>
      <c r="G223" s="8">
        <f>'Components Data Source'!G223</f>
        <v>0</v>
      </c>
      <c r="H223" s="8">
        <f>'Components Data Source'!H223</f>
        <v>0</v>
      </c>
      <c r="I223" s="8">
        <f>'Components Data Source'!I223</f>
        <v>0</v>
      </c>
      <c r="J223" s="8">
        <f>'Components Data Source'!J223</f>
        <v>1</v>
      </c>
      <c r="K223" s="8">
        <f>'Components Data Source'!K223</f>
        <v>1</v>
      </c>
      <c r="L223" s="8">
        <f>'Components Data Source'!L223</f>
        <v>0</v>
      </c>
      <c r="M223" s="8" t="s">
        <v>1727</v>
      </c>
      <c r="N223" s="17" t="str">
        <f>HYPERLINK('Components Data Source'!M223)</f>
        <v>https://www.flowcode.co.uk/wiki/index.php?title=Component:_ID_b4f41fb0_9335_4a8f_a41d_284a8cfc31b5</v>
      </c>
      <c r="O223" s="8" t="s">
        <v>2590</v>
      </c>
      <c r="P223" s="8" t="s">
        <v>3551</v>
      </c>
      <c r="Q223" s="8" t="str">
        <f t="shared" si="8"/>
        <v/>
      </c>
      <c r="R223" s="8" t="s">
        <v>1727</v>
      </c>
      <c r="S223" s="8"/>
      <c r="T223" s="8"/>
      <c r="U223" s="8"/>
      <c r="V223" s="8" t="s">
        <v>1730</v>
      </c>
      <c r="W223" s="8" t="s">
        <v>1730</v>
      </c>
      <c r="X223" s="8"/>
      <c r="Y223" s="8"/>
      <c r="Z223" s="18">
        <f t="shared" si="7"/>
        <v>2</v>
      </c>
      <c r="AA223" s="8"/>
      <c r="AB223" s="7"/>
      <c r="AC223" s="7"/>
      <c r="AD223" s="8" t="s">
        <v>1721</v>
      </c>
      <c r="AE223" s="8" t="s">
        <v>1727</v>
      </c>
      <c r="AF223" s="8" t="s">
        <v>1727</v>
      </c>
      <c r="AG223" s="8" t="s">
        <v>1727</v>
      </c>
      <c r="AH223" s="47"/>
      <c r="AI223" s="47">
        <f>VLOOKUP(B223,'Components Usage'!A$2:C$603,3,FALSE)</f>
        <v>1</v>
      </c>
      <c r="AJ223" s="28" t="s">
        <v>2401</v>
      </c>
    </row>
    <row r="224" spans="1:36" hidden="1" x14ac:dyDescent="0.25">
      <c r="A224" s="16" t="str">
        <f>'Components Data Source'!A224</f>
        <v>LED Matrix(HT16K33)</v>
      </c>
      <c r="B224" s="8" t="str">
        <f>'Components Data Source'!B224</f>
        <v>EF9CB184-0167-4D3E-A63B-6E0FAAD72391</v>
      </c>
      <c r="C224" s="41" t="str">
        <f>'Components Data Source'!C224</f>
        <v>LEDMatrixHT16K33.fcpx</v>
      </c>
      <c r="D224" s="8" t="str">
        <f>'Components Data Source'!D224</f>
        <v>Components\IO_Source\outputs\LED Matrix HT16K33.fcfx</v>
      </c>
      <c r="E224" s="8" t="str">
        <f>'Components Data Source'!E224</f>
        <v>BASICIO</v>
      </c>
      <c r="F224" s="8" t="str">
        <f>'Components Data Source'!F224</f>
        <v>LEDS</v>
      </c>
      <c r="G224" s="8">
        <f>'Components Data Source'!G224</f>
        <v>0</v>
      </c>
      <c r="H224" s="8">
        <f>'Components Data Source'!H224</f>
        <v>0</v>
      </c>
      <c r="I224" s="8" t="str">
        <f>'Components Data Source'!I224</f>
        <v xml:space="preserve">I2C </v>
      </c>
      <c r="J224" s="8">
        <f>'Components Data Source'!J224</f>
        <v>1</v>
      </c>
      <c r="K224" s="8">
        <f>'Components Data Source'!K224</f>
        <v>1</v>
      </c>
      <c r="L224" s="8">
        <f>'Components Data Source'!L224</f>
        <v>0</v>
      </c>
      <c r="M224" s="8" t="s">
        <v>1727</v>
      </c>
      <c r="N224" s="17" t="str">
        <f>HYPERLINK('Components Data Source'!M224)</f>
        <v>https://www.flowcode.co.uk/wiki/index.php?title=Component:_ID_ef9cb184_0167_4d3e_a63b_6e0faad72391</v>
      </c>
      <c r="O224" s="8" t="s">
        <v>1721</v>
      </c>
      <c r="P224" s="8"/>
      <c r="Q224" s="8" t="str">
        <f t="shared" si="8"/>
        <v/>
      </c>
      <c r="R224" s="8" t="s">
        <v>1727</v>
      </c>
      <c r="S224" s="8"/>
      <c r="T224" s="8"/>
      <c r="U224" s="8"/>
      <c r="V224" s="8" t="s">
        <v>1730</v>
      </c>
      <c r="W224" s="8" t="s">
        <v>1730</v>
      </c>
      <c r="X224" s="8"/>
      <c r="Y224" s="8"/>
      <c r="Z224" s="18">
        <f t="shared" si="7"/>
        <v>2</v>
      </c>
      <c r="AA224" s="8"/>
      <c r="AB224" s="7"/>
      <c r="AC224" s="7"/>
      <c r="AD224" s="8" t="s">
        <v>1721</v>
      </c>
      <c r="AE224" s="8" t="s">
        <v>1721</v>
      </c>
      <c r="AF224" s="8" t="s">
        <v>1721</v>
      </c>
      <c r="AG224" s="8" t="s">
        <v>1721</v>
      </c>
      <c r="AH224" s="47"/>
      <c r="AI224" s="47">
        <f>VLOOKUP(B224,'Components Usage'!A$2:C$603,3,FALSE)</f>
        <v>3</v>
      </c>
      <c r="AJ224" s="28" t="s">
        <v>2401</v>
      </c>
    </row>
    <row r="225" spans="1:36" hidden="1" x14ac:dyDescent="0.25">
      <c r="A225" s="16" t="str">
        <f>'Components Data Source'!A225</f>
        <v>LED Matrix (Parallel)</v>
      </c>
      <c r="B225" s="8" t="str">
        <f>'Components Data Source'!B225</f>
        <v>24BEF796-E0E3-4195-A76D-920FDBA5EA79</v>
      </c>
      <c r="C225" s="41" t="str">
        <f>'Components Data Source'!C225</f>
        <v>LEDMatrixParrallel.fcpx</v>
      </c>
      <c r="D225" s="8" t="str">
        <f>'Components Data Source'!D225</f>
        <v>Components\IO_Source\outputs\LED Matrix Parrallel.fcfx</v>
      </c>
      <c r="E225" s="8" t="str">
        <f>'Components Data Source'!E225</f>
        <v>BASICIO</v>
      </c>
      <c r="F225" s="8" t="str">
        <f>'Components Data Source'!F225</f>
        <v>LEDS</v>
      </c>
      <c r="G225" s="8">
        <f>'Components Data Source'!G225</f>
        <v>0</v>
      </c>
      <c r="H225" s="8">
        <f>'Components Data Source'!H225</f>
        <v>0</v>
      </c>
      <c r="I225" s="8">
        <f>'Components Data Source'!I225</f>
        <v>0</v>
      </c>
      <c r="J225" s="8">
        <f>'Components Data Source'!J225</f>
        <v>1</v>
      </c>
      <c r="K225" s="8">
        <f>'Components Data Source'!K225</f>
        <v>1</v>
      </c>
      <c r="L225" s="8">
        <f>'Components Data Source'!L225</f>
        <v>0</v>
      </c>
      <c r="M225" s="8" t="s">
        <v>1727</v>
      </c>
      <c r="N225" s="17" t="str">
        <f>HYPERLINK('Components Data Source'!M225)</f>
        <v>https://www.flowcode.co.uk/wiki/index.php?title=Component:_ID_24bef796_e0e3_4195_a76d_920fdba5ea79</v>
      </c>
      <c r="O225" s="8" t="s">
        <v>1721</v>
      </c>
      <c r="P225" s="8"/>
      <c r="Q225" s="8" t="str">
        <f t="shared" si="8"/>
        <v/>
      </c>
      <c r="R225" s="8" t="s">
        <v>1727</v>
      </c>
      <c r="S225" s="8"/>
      <c r="T225" s="8"/>
      <c r="U225" s="8"/>
      <c r="V225" s="8" t="s">
        <v>1730</v>
      </c>
      <c r="W225" s="8" t="s">
        <v>1730</v>
      </c>
      <c r="X225" s="8"/>
      <c r="Y225" s="8"/>
      <c r="Z225" s="18">
        <f t="shared" si="7"/>
        <v>2</v>
      </c>
      <c r="AA225" s="8"/>
      <c r="AB225" s="7"/>
      <c r="AC225" s="7"/>
      <c r="AD225" s="8" t="s">
        <v>1721</v>
      </c>
      <c r="AE225" s="8" t="s">
        <v>1721</v>
      </c>
      <c r="AF225" s="8" t="s">
        <v>1721</v>
      </c>
      <c r="AG225" s="8" t="s">
        <v>1721</v>
      </c>
      <c r="AH225" s="47"/>
      <c r="AI225" s="47">
        <f>VLOOKUP(B225,'Components Usage'!A$2:C$603,3,FALSE)</f>
        <v>2</v>
      </c>
      <c r="AJ225" s="28" t="s">
        <v>2401</v>
      </c>
    </row>
    <row r="226" spans="1:36" hidden="1" x14ac:dyDescent="0.25">
      <c r="A226" s="16" t="str">
        <f>'Components Data Source'!A226</f>
        <v>LED Matrix (Serial)</v>
      </c>
      <c r="B226" s="8" t="str">
        <f>'Components Data Source'!B226</f>
        <v>5A88C882-0396-44F3-A67B-F236244800D1</v>
      </c>
      <c r="C226" s="41" t="str">
        <f>'Components Data Source'!C226</f>
        <v>LEDMatrixSerial.fcpx</v>
      </c>
      <c r="D226" s="8" t="str">
        <f>'Components Data Source'!D226</f>
        <v>Components\IO_Source\outputs\LED Matrix.fcfx</v>
      </c>
      <c r="E226" s="8" t="str">
        <f>'Components Data Source'!E226</f>
        <v>BASICIO</v>
      </c>
      <c r="F226" s="8" t="str">
        <f>'Components Data Source'!F226</f>
        <v>LEDS</v>
      </c>
      <c r="G226" s="8">
        <f>'Components Data Source'!G226</f>
        <v>0</v>
      </c>
      <c r="H226" s="8">
        <f>'Components Data Source'!H226</f>
        <v>0</v>
      </c>
      <c r="I226" s="8">
        <f>'Components Data Source'!I226</f>
        <v>0</v>
      </c>
      <c r="J226" s="8">
        <f>'Components Data Source'!J226</f>
        <v>1</v>
      </c>
      <c r="K226" s="8">
        <f>'Components Data Source'!K226</f>
        <v>1</v>
      </c>
      <c r="L226" s="8">
        <f>'Components Data Source'!L226</f>
        <v>0</v>
      </c>
      <c r="M226" s="8" t="s">
        <v>1727</v>
      </c>
      <c r="N226" s="17" t="str">
        <f>HYPERLINK('Components Data Source'!M226)</f>
        <v>https://www.flowcode.co.uk/wiki/index.php?title=Component:_ID_5a88c882_0396_44f3_a67b_f236244800d1</v>
      </c>
      <c r="O226" s="8" t="s">
        <v>1721</v>
      </c>
      <c r="P226" s="8"/>
      <c r="Q226" s="8" t="str">
        <f t="shared" si="8"/>
        <v/>
      </c>
      <c r="R226" s="8" t="s">
        <v>1727</v>
      </c>
      <c r="S226" s="8"/>
      <c r="T226" s="8"/>
      <c r="U226" s="8"/>
      <c r="V226" s="8" t="s">
        <v>1730</v>
      </c>
      <c r="W226" s="8" t="s">
        <v>1730</v>
      </c>
      <c r="X226" s="8"/>
      <c r="Y226" s="8"/>
      <c r="Z226" s="18">
        <f t="shared" si="7"/>
        <v>2</v>
      </c>
      <c r="AA226" s="8"/>
      <c r="AB226" s="7"/>
      <c r="AC226" s="7"/>
      <c r="AD226" s="8" t="s">
        <v>1721</v>
      </c>
      <c r="AE226" s="8" t="s">
        <v>1721</v>
      </c>
      <c r="AF226" s="8" t="s">
        <v>1721</v>
      </c>
      <c r="AG226" s="8" t="s">
        <v>1721</v>
      </c>
      <c r="AH226" s="47"/>
      <c r="AI226" s="47">
        <f>VLOOKUP(B226,'Components Usage'!A$2:C$603,3,FALSE)</f>
        <v>2</v>
      </c>
      <c r="AJ226" s="28" t="s">
        <v>2401</v>
      </c>
    </row>
    <row r="227" spans="1:36" x14ac:dyDescent="0.25">
      <c r="A227" s="16" t="str">
        <f>'Components Data Source'!A227</f>
        <v>Simulation 7 Seg</v>
      </c>
      <c r="B227" s="8" t="str">
        <f>'Components Data Source'!B227</f>
        <v>66DC78FD-B0C7-42F8-AAEA-CCBB291001FB</v>
      </c>
      <c r="C227" s="41" t="str">
        <f>'Components Data Source'!C227</f>
        <v>LED_7Seg_Sim.fcpx</v>
      </c>
      <c r="D227" s="8" t="str">
        <f>'Components Data Source'!D227</f>
        <v>Components\IO_Source\outputs\led_7seg_sim.fcfx</v>
      </c>
      <c r="E227" s="8" t="str">
        <f>'Components Data Source'!E227</f>
        <v>FREE</v>
      </c>
      <c r="F227" s="8" t="str">
        <f>'Components Data Source'!F227</f>
        <v>ADVANCED SHAPES</v>
      </c>
      <c r="G227" s="8">
        <f>'Components Data Source'!G227</f>
        <v>0</v>
      </c>
      <c r="H227" s="8">
        <f>'Components Data Source'!H227</f>
        <v>0</v>
      </c>
      <c r="I227" s="8">
        <f>'Components Data Source'!I227</f>
        <v>0</v>
      </c>
      <c r="J227" s="8">
        <f>'Components Data Source'!J227</f>
        <v>1</v>
      </c>
      <c r="K227" s="8">
        <f>'Components Data Source'!K227</f>
        <v>1</v>
      </c>
      <c r="L227" s="8">
        <f>'Components Data Source'!L227</f>
        <v>1</v>
      </c>
      <c r="M227" s="8" t="s">
        <v>1727</v>
      </c>
      <c r="N227" s="17" t="str">
        <f>HYPERLINK('Components Data Source'!M227)</f>
        <v>https://www.flowcode.co.uk/wiki/index.php?title=Component:_ID_66dc78fd_b0c7_42f8_aaea_ccbb291001fb</v>
      </c>
      <c r="O227" s="8" t="s">
        <v>1721</v>
      </c>
      <c r="P227" s="8"/>
      <c r="Q227" s="8" t="str">
        <f t="shared" si="8"/>
        <v/>
      </c>
      <c r="R227" s="8" t="s">
        <v>1727</v>
      </c>
      <c r="S227" s="8"/>
      <c r="T227" s="8"/>
      <c r="U227" s="8"/>
      <c r="V227" s="8" t="s">
        <v>1730</v>
      </c>
      <c r="W227" s="8" t="s">
        <v>1730</v>
      </c>
      <c r="X227" s="8"/>
      <c r="Y227" s="8"/>
      <c r="Z227" s="18">
        <f t="shared" si="7"/>
        <v>2</v>
      </c>
      <c r="AA227" s="8"/>
      <c r="AB227" s="7"/>
      <c r="AC227" s="7"/>
      <c r="AD227" s="8" t="s">
        <v>1721</v>
      </c>
      <c r="AE227" s="8" t="s">
        <v>2401</v>
      </c>
      <c r="AF227" s="8" t="s">
        <v>2401</v>
      </c>
      <c r="AG227" s="8" t="s">
        <v>1727</v>
      </c>
      <c r="AH227" s="47"/>
      <c r="AI227" s="47">
        <f>VLOOKUP(B227,'Components Usage'!A$2:C$603,3,FALSE)</f>
        <v>1</v>
      </c>
      <c r="AJ227" s="28"/>
    </row>
    <row r="228" spans="1:36" hidden="1" x14ac:dyDescent="0.25">
      <c r="A228" s="16" t="str">
        <f>'Components Data Source'!A228</f>
        <v>RGB LED APA102C</v>
      </c>
      <c r="B228" s="8" t="str">
        <f>'Components Data Source'!B228</f>
        <v>0161E243-0CA0-497D-88BE-76351CF4DFA1</v>
      </c>
      <c r="C228" s="41" t="str">
        <f>'Components Data Source'!C228</f>
        <v>LED_APA102C.fcpx</v>
      </c>
      <c r="D228" s="8" t="str">
        <f>'Components Data Source'!D228</f>
        <v>Components\IO_Source\outputs\LED_APA102C.fcfx</v>
      </c>
      <c r="E228" s="8" t="str">
        <f>'Components Data Source'!E228</f>
        <v>BASICIO</v>
      </c>
      <c r="F228" s="22" t="str">
        <f>'Components Data Source'!F228</f>
        <v>LEDS</v>
      </c>
      <c r="G228" s="22">
        <f>'Components Data Source'!G228</f>
        <v>0</v>
      </c>
      <c r="H228" s="22">
        <f>'Components Data Source'!H228</f>
        <v>0</v>
      </c>
      <c r="I228" s="22" t="str">
        <f>'Components Data Source'!I228</f>
        <v xml:space="preserve">SPI </v>
      </c>
      <c r="J228" s="22">
        <f>'Components Data Source'!J228</f>
        <v>1</v>
      </c>
      <c r="K228" s="8">
        <f>'Components Data Source'!K228</f>
        <v>1</v>
      </c>
      <c r="L228" s="8">
        <f>'Components Data Source'!L228</f>
        <v>0</v>
      </c>
      <c r="M228" s="8" t="s">
        <v>1727</v>
      </c>
      <c r="N228" s="17" t="str">
        <f>HYPERLINK('Components Data Source'!M228)</f>
        <v>https://www.flowcode.co.uk/wiki/index.php?title=Component:_ID_0161e243_0ca0_497d_88be_76351cf4dfa1</v>
      </c>
      <c r="O228" s="8" t="s">
        <v>1721</v>
      </c>
      <c r="P228" s="8"/>
      <c r="Q228" s="22" t="str">
        <f t="shared" si="8"/>
        <v/>
      </c>
      <c r="R228" s="8" t="s">
        <v>1727</v>
      </c>
      <c r="S228" s="8" t="s">
        <v>1727</v>
      </c>
      <c r="T228" s="8"/>
      <c r="U228" s="8"/>
      <c r="V228" s="8" t="s">
        <v>1730</v>
      </c>
      <c r="W228" s="8" t="s">
        <v>1730</v>
      </c>
      <c r="X228" s="8"/>
      <c r="Y228" s="8"/>
      <c r="Z228" s="23">
        <f t="shared" si="7"/>
        <v>2</v>
      </c>
      <c r="AA228" s="22" t="s">
        <v>1727</v>
      </c>
      <c r="AB228" s="26" t="s">
        <v>2519</v>
      </c>
      <c r="AC228" s="7"/>
      <c r="AD228" s="8" t="s">
        <v>1721</v>
      </c>
      <c r="AE228" s="8" t="s">
        <v>1727</v>
      </c>
      <c r="AF228" s="8" t="s">
        <v>1727</v>
      </c>
      <c r="AG228" s="8" t="s">
        <v>1727</v>
      </c>
      <c r="AH228" s="47"/>
      <c r="AI228" s="47">
        <f>VLOOKUP(B228,'Components Usage'!A$2:C$603,3,FALSE)</f>
        <v>0</v>
      </c>
      <c r="AJ228" s="28" t="s">
        <v>2401</v>
      </c>
    </row>
    <row r="229" spans="1:36" x14ac:dyDescent="0.25">
      <c r="A229" s="16" t="str">
        <f>'Components Data Source'!A229</f>
        <v>LED(BL0167)</v>
      </c>
      <c r="B229" s="8" t="str">
        <f>'Components Data Source'!B229</f>
        <v>103AAB27-2EA3-483C-9710-FC3C495288A7</v>
      </c>
      <c r="C229" s="41" t="str">
        <f>'Components Data Source'!C229</f>
        <v>LED_BL0167.fcpx</v>
      </c>
      <c r="D229" s="8" t="str">
        <f>'Components Data Source'!D229</f>
        <v>Components\IO_Source\EB2\EBlocks2_LED_BL0167.fcfx</v>
      </c>
      <c r="E229" s="8" t="str">
        <f>'Components Data Source'!E229</f>
        <v>FREE</v>
      </c>
      <c r="F229" s="8" t="str">
        <f>'Components Data Source'!F229</f>
        <v>E-BLOCKS 2</v>
      </c>
      <c r="G229" s="8">
        <f>'Components Data Source'!G229</f>
        <v>0</v>
      </c>
      <c r="H229" s="8">
        <f>'Components Data Source'!H229</f>
        <v>0</v>
      </c>
      <c r="I229" s="8">
        <f>'Components Data Source'!I229</f>
        <v>0</v>
      </c>
      <c r="J229" s="8">
        <f>'Components Data Source'!J229</f>
        <v>1</v>
      </c>
      <c r="K229" s="8">
        <f>'Components Data Source'!K229</f>
        <v>1</v>
      </c>
      <c r="L229" s="8">
        <f>'Components Data Source'!L229</f>
        <v>0</v>
      </c>
      <c r="M229" s="8" t="s">
        <v>1727</v>
      </c>
      <c r="N229" s="17" t="str">
        <f>HYPERLINK('Components Data Source'!M229)</f>
        <v>https://www.flowcode.co.uk/wiki/index.php?title=Component:_ID_103aab27_2ea3_483c_9710_fc3c495288a7</v>
      </c>
      <c r="O229" s="8" t="s">
        <v>2589</v>
      </c>
      <c r="P229" s="8"/>
      <c r="Q229" s="8" t="str">
        <f t="shared" si="8"/>
        <v/>
      </c>
      <c r="R229" s="8" t="s">
        <v>1727</v>
      </c>
      <c r="S229" s="8"/>
      <c r="T229" s="8"/>
      <c r="U229" s="8"/>
      <c r="V229" s="8" t="s">
        <v>1730</v>
      </c>
      <c r="W229" s="8" t="s">
        <v>1730</v>
      </c>
      <c r="X229" s="8"/>
      <c r="Y229" s="8"/>
      <c r="Z229" s="18">
        <f t="shared" si="7"/>
        <v>2</v>
      </c>
      <c r="AA229" s="8"/>
      <c r="AB229" s="7"/>
      <c r="AC229" s="7"/>
      <c r="AD229" s="8" t="s">
        <v>1721</v>
      </c>
      <c r="AE229" s="8" t="s">
        <v>2401</v>
      </c>
      <c r="AF229" s="8" t="s">
        <v>2401</v>
      </c>
      <c r="AG229" s="8" t="s">
        <v>1727</v>
      </c>
      <c r="AH229" s="47"/>
      <c r="AI229" s="47">
        <f>VLOOKUP(B229,'Components Usage'!A$2:C$603,3,FALSE)</f>
        <v>14</v>
      </c>
      <c r="AJ229" s="28" t="s">
        <v>2401</v>
      </c>
    </row>
    <row r="230" spans="1:36" hidden="1" x14ac:dyDescent="0.25">
      <c r="A230" s="16" t="str">
        <f>'Components Data Source'!A230</f>
        <v>RGB LED SK6812 RGBW</v>
      </c>
      <c r="B230" s="8" t="str">
        <f>'Components Data Source'!B230</f>
        <v>284BF38B-0FE1-4A0B-AE43-E1784445821B</v>
      </c>
      <c r="C230" s="41" t="str">
        <f>'Components Data Source'!C230</f>
        <v>LED_SK6812RGBW.fcpx</v>
      </c>
      <c r="D230" s="8" t="str">
        <f>'Components Data Source'!D230</f>
        <v>Components\IO_Source\outputs\LED_SK6812RGBW.fcfx</v>
      </c>
      <c r="E230" s="8" t="str">
        <f>'Components Data Source'!E230</f>
        <v>BASICIO</v>
      </c>
      <c r="F230" s="8" t="str">
        <f>'Components Data Source'!F230</f>
        <v>LEDS</v>
      </c>
      <c r="G230" s="8">
        <f>'Components Data Source'!G230</f>
        <v>0</v>
      </c>
      <c r="H230" s="8">
        <f>'Components Data Source'!H230</f>
        <v>0</v>
      </c>
      <c r="I230" s="8" t="str">
        <f>'Components Data Source'!I230</f>
        <v xml:space="preserve">RMT </v>
      </c>
      <c r="J230" s="8">
        <f>'Components Data Source'!J230</f>
        <v>1</v>
      </c>
      <c r="K230" s="8">
        <f>'Components Data Source'!K230</f>
        <v>1</v>
      </c>
      <c r="L230" s="8">
        <f>'Components Data Source'!L230</f>
        <v>0</v>
      </c>
      <c r="M230" s="8" t="s">
        <v>1727</v>
      </c>
      <c r="N230" s="17" t="str">
        <f>HYPERLINK('Components Data Source'!M230)</f>
        <v>https://www.flowcode.co.uk/wiki/index.php?title=Component:_ID_284bf38b_0fe1_4a0b_ae43_e1784445821b</v>
      </c>
      <c r="O230" s="8" t="s">
        <v>1721</v>
      </c>
      <c r="P230" s="8"/>
      <c r="Q230" s="8" t="str">
        <f t="shared" si="8"/>
        <v/>
      </c>
      <c r="R230" s="8" t="s">
        <v>1727</v>
      </c>
      <c r="S230" s="8"/>
      <c r="T230" s="8"/>
      <c r="U230" s="8"/>
      <c r="V230" s="8" t="s">
        <v>1730</v>
      </c>
      <c r="W230" s="8" t="s">
        <v>1730</v>
      </c>
      <c r="X230" s="8"/>
      <c r="Y230" s="8"/>
      <c r="Z230" s="18">
        <f t="shared" si="7"/>
        <v>2</v>
      </c>
      <c r="AA230" s="8"/>
      <c r="AB230" s="7"/>
      <c r="AC230" s="7"/>
      <c r="AD230" s="8" t="s">
        <v>1727</v>
      </c>
      <c r="AE230" s="8"/>
      <c r="AF230" s="8"/>
      <c r="AG230" s="8" t="s">
        <v>2401</v>
      </c>
      <c r="AH230" s="47"/>
      <c r="AI230" s="47">
        <f>VLOOKUP(B230,'Components Usage'!A$2:C$603,3,FALSE)</f>
        <v>0</v>
      </c>
      <c r="AJ230" s="28"/>
    </row>
    <row r="231" spans="1:36" hidden="1" x14ac:dyDescent="0.25">
      <c r="A231" s="16" t="str">
        <f>'Components Data Source'!A231</f>
        <v>Starburst Display</v>
      </c>
      <c r="B231" s="8" t="str">
        <f>'Components Data Source'!B231</f>
        <v>5015C7E1-2166-4F1A-B9B1-9BD181784CEA</v>
      </c>
      <c r="C231" s="41" t="str">
        <f>'Components Data Source'!C231</f>
        <v>LED_Starburst.fcpx</v>
      </c>
      <c r="D231" s="8" t="str">
        <f>'Components Data Source'!D231</f>
        <v>Components\IO_Source\outputs\led_starburst_single.fcfx</v>
      </c>
      <c r="E231" s="8" t="str">
        <f>'Components Data Source'!E231</f>
        <v>DISPLAYS</v>
      </c>
      <c r="F231" s="8" t="str">
        <f>'Components Data Source'!F231</f>
        <v>SEGMENT</v>
      </c>
      <c r="G231" s="8">
        <f>'Components Data Source'!G231</f>
        <v>0</v>
      </c>
      <c r="H231" s="8">
        <f>'Components Data Source'!H231</f>
        <v>0</v>
      </c>
      <c r="I231" s="8">
        <f>'Components Data Source'!I231</f>
        <v>0</v>
      </c>
      <c r="J231" s="8">
        <f>'Components Data Source'!J231</f>
        <v>1</v>
      </c>
      <c r="K231" s="8">
        <f>'Components Data Source'!K231</f>
        <v>1</v>
      </c>
      <c r="L231" s="8">
        <f>'Components Data Source'!L231</f>
        <v>0</v>
      </c>
      <c r="M231" s="8" t="s">
        <v>1727</v>
      </c>
      <c r="N231" s="17" t="str">
        <f>HYPERLINK('Components Data Source'!M231)</f>
        <v>https://www.flowcode.co.uk/wiki/index.php?title=Component:_ID_5015c7e1_2166_4f1a_b9b1_9bd181784cea</v>
      </c>
      <c r="O231" s="8" t="s">
        <v>1721</v>
      </c>
      <c r="P231" s="8"/>
      <c r="Q231" s="8" t="str">
        <f t="shared" si="8"/>
        <v/>
      </c>
      <c r="R231" s="8" t="s">
        <v>1727</v>
      </c>
      <c r="S231" s="8"/>
      <c r="T231" s="8"/>
      <c r="U231" s="8"/>
      <c r="V231" s="8" t="s">
        <v>1730</v>
      </c>
      <c r="W231" s="8" t="s">
        <v>1730</v>
      </c>
      <c r="X231" s="8"/>
      <c r="Y231" s="8"/>
      <c r="Z231" s="18">
        <f t="shared" si="7"/>
        <v>2</v>
      </c>
      <c r="AA231" s="8"/>
      <c r="AB231" s="7"/>
      <c r="AC231" s="7"/>
      <c r="AD231" s="8" t="s">
        <v>1721</v>
      </c>
      <c r="AE231" s="8" t="s">
        <v>1721</v>
      </c>
      <c r="AF231" s="8" t="s">
        <v>1721</v>
      </c>
      <c r="AG231" s="8" t="s">
        <v>1721</v>
      </c>
      <c r="AH231" s="47"/>
      <c r="AI231" s="47">
        <f>VLOOKUP(B231,'Components Usage'!A$2:C$603,3,FALSE)</f>
        <v>4</v>
      </c>
      <c r="AJ231" s="28" t="s">
        <v>2401</v>
      </c>
    </row>
    <row r="232" spans="1:36" hidden="1" x14ac:dyDescent="0.25">
      <c r="A232" s="16" t="str">
        <f>'Components Data Source'!A232</f>
        <v>RGB LED WS2801</v>
      </c>
      <c r="B232" s="8" t="str">
        <f>'Components Data Source'!B232</f>
        <v>D814CB36-0D04-4EEB-B5B3-DA8276AD8BDF</v>
      </c>
      <c r="C232" s="41" t="str">
        <f>'Components Data Source'!C232</f>
        <v>LED_WS2801.fcpx</v>
      </c>
      <c r="D232" s="8" t="str">
        <f>'Components Data Source'!D232</f>
        <v>Components\IO_Source\outputs\LED_WS2801.fcfx</v>
      </c>
      <c r="E232" s="8" t="str">
        <f>'Components Data Source'!E232</f>
        <v>BASICIO</v>
      </c>
      <c r="F232" s="8" t="str">
        <f>'Components Data Source'!F232</f>
        <v>LEDS</v>
      </c>
      <c r="G232" s="8">
        <f>'Components Data Source'!G232</f>
        <v>0</v>
      </c>
      <c r="H232" s="8">
        <f>'Components Data Source'!H232</f>
        <v>0</v>
      </c>
      <c r="I232" s="8" t="str">
        <f>'Components Data Source'!I232</f>
        <v xml:space="preserve">SPI </v>
      </c>
      <c r="J232" s="8">
        <f>'Components Data Source'!J232</f>
        <v>1</v>
      </c>
      <c r="K232" s="8">
        <f>'Components Data Source'!K232</f>
        <v>1</v>
      </c>
      <c r="L232" s="8">
        <f>'Components Data Source'!L232</f>
        <v>0</v>
      </c>
      <c r="M232" s="8" t="s">
        <v>1727</v>
      </c>
      <c r="N232" s="17" t="str">
        <f>HYPERLINK('Components Data Source'!M232)</f>
        <v>https://www.flowcode.co.uk/wiki/index.php?title=Component:_ID_d814cb36_0d04_4eeb_b5b3_da8276ad8bdf</v>
      </c>
      <c r="O232" s="8" t="s">
        <v>1721</v>
      </c>
      <c r="P232" s="8"/>
      <c r="Q232" s="8" t="str">
        <f t="shared" si="8"/>
        <v/>
      </c>
      <c r="R232" s="8" t="s">
        <v>1727</v>
      </c>
      <c r="S232" s="8"/>
      <c r="T232" s="8"/>
      <c r="U232" s="8"/>
      <c r="V232" s="8" t="s">
        <v>1730</v>
      </c>
      <c r="W232" s="8" t="s">
        <v>1730</v>
      </c>
      <c r="X232" s="8"/>
      <c r="Y232" s="8"/>
      <c r="Z232" s="18">
        <f t="shared" si="7"/>
        <v>2</v>
      </c>
      <c r="AA232" s="8"/>
      <c r="AB232" s="7"/>
      <c r="AC232" s="7"/>
      <c r="AD232" s="8" t="s">
        <v>1721</v>
      </c>
      <c r="AE232" s="8" t="s">
        <v>1721</v>
      </c>
      <c r="AF232" s="8" t="s">
        <v>1721</v>
      </c>
      <c r="AG232" s="8" t="s">
        <v>1721</v>
      </c>
      <c r="AH232" s="47"/>
      <c r="AI232" s="47">
        <f>VLOOKUP(B232,'Components Usage'!A$2:C$603,3,FALSE)</f>
        <v>0</v>
      </c>
      <c r="AJ232" s="28" t="s">
        <v>2401</v>
      </c>
    </row>
    <row r="233" spans="1:36" hidden="1" x14ac:dyDescent="0.25">
      <c r="A233" s="16" t="str">
        <f>'Components Data Source'!A233</f>
        <v>RGB LED WS2811 / WS2812 / APA106</v>
      </c>
      <c r="B233" s="8" t="str">
        <f>'Components Data Source'!B233</f>
        <v>D977C3EF-C7DC-4683-A1BE-76E17E6BA12B</v>
      </c>
      <c r="C233" s="41" t="str">
        <f>'Components Data Source'!C233</f>
        <v>LED_WS2811.fcpx</v>
      </c>
      <c r="D233" s="8" t="str">
        <f>'Components Data Source'!D233</f>
        <v>Components\IO_Source\outputs\LED_WS2811.fcfx</v>
      </c>
      <c r="E233" s="8" t="str">
        <f>'Components Data Source'!E233</f>
        <v>BASICIO</v>
      </c>
      <c r="F233" s="8" t="str">
        <f>'Components Data Source'!F233</f>
        <v>LEDS</v>
      </c>
      <c r="G233" s="8">
        <f>'Components Data Source'!G233</f>
        <v>0</v>
      </c>
      <c r="H233" s="8">
        <f>'Components Data Source'!H233</f>
        <v>0</v>
      </c>
      <c r="I233" s="8" t="str">
        <f>'Components Data Source'!I233</f>
        <v xml:space="preserve">RMT </v>
      </c>
      <c r="J233" s="8">
        <f>'Components Data Source'!J233</f>
        <v>1</v>
      </c>
      <c r="K233" s="8">
        <f>'Components Data Source'!K233</f>
        <v>1</v>
      </c>
      <c r="L233" s="8">
        <f>'Components Data Source'!L233</f>
        <v>0</v>
      </c>
      <c r="M233" s="8" t="s">
        <v>1727</v>
      </c>
      <c r="N233" s="17" t="str">
        <f>HYPERLINK('Components Data Source'!M233)</f>
        <v>https://www.flowcode.co.uk/wiki/index.php?title=Component:_ID_d977c3ef_c7dc_4683_a1be_76e17e6ba12b</v>
      </c>
      <c r="O233" s="8" t="s">
        <v>1721</v>
      </c>
      <c r="P233" s="8"/>
      <c r="Q233" s="8" t="str">
        <f t="shared" si="8"/>
        <v/>
      </c>
      <c r="R233" s="8" t="s">
        <v>1727</v>
      </c>
      <c r="S233" s="8"/>
      <c r="T233" s="8"/>
      <c r="U233" s="8"/>
      <c r="V233" s="8" t="s">
        <v>1730</v>
      </c>
      <c r="W233" s="8" t="s">
        <v>1730</v>
      </c>
      <c r="X233" s="8"/>
      <c r="Y233" s="8"/>
      <c r="Z233" s="18">
        <f t="shared" si="7"/>
        <v>2</v>
      </c>
      <c r="AA233" s="8"/>
      <c r="AB233" s="7"/>
      <c r="AC233" s="7"/>
      <c r="AD233" s="8" t="s">
        <v>1721</v>
      </c>
      <c r="AE233" s="8" t="s">
        <v>1721</v>
      </c>
      <c r="AF233" s="8" t="s">
        <v>1721</v>
      </c>
      <c r="AG233" s="8" t="s">
        <v>1721</v>
      </c>
      <c r="AH233" s="47"/>
      <c r="AI233" s="47">
        <f>VLOOKUP(B233,'Components Usage'!A$2:C$603,3,FALSE)</f>
        <v>30</v>
      </c>
      <c r="AJ233" s="28" t="s">
        <v>2401</v>
      </c>
    </row>
    <row r="234" spans="1:36" hidden="1" x14ac:dyDescent="0.25">
      <c r="A234" s="16" t="str">
        <f>'Components Data Source'!A234</f>
        <v>Temperature(LM75B)</v>
      </c>
      <c r="B234" s="8" t="str">
        <f>'Components Data Source'!B234</f>
        <v>BBF0AB46-623E-44C6-9402-3ACFCD9D0006</v>
      </c>
      <c r="C234" s="41" t="str">
        <f>'Components Data Source'!C234</f>
        <v>LM75B_DigitalTemperature.fcpx</v>
      </c>
      <c r="D234" s="8" t="str">
        <f>'Components Data Source'!D234</f>
        <v>Components\IO_Source\Sensors\Temperature_LM75B.fcfx</v>
      </c>
      <c r="E234" s="8" t="str">
        <f>'Components Data Source'!E234</f>
        <v>SENSORS</v>
      </c>
      <c r="F234" s="8" t="str">
        <f>'Components Data Source'!F234</f>
        <v>ENVIRONMENTAL</v>
      </c>
      <c r="G234" s="8">
        <f>'Components Data Source'!G234</f>
        <v>0</v>
      </c>
      <c r="H234" s="8">
        <f>'Components Data Source'!H234</f>
        <v>0</v>
      </c>
      <c r="I234" s="8" t="str">
        <f>'Components Data Source'!I234</f>
        <v xml:space="preserve">I2C </v>
      </c>
      <c r="J234" s="8">
        <f>'Components Data Source'!J234</f>
        <v>1</v>
      </c>
      <c r="K234" s="8">
        <f>'Components Data Source'!K234</f>
        <v>1</v>
      </c>
      <c r="L234" s="8">
        <f>'Components Data Source'!L234</f>
        <v>0</v>
      </c>
      <c r="M234" s="8" t="s">
        <v>1727</v>
      </c>
      <c r="N234" s="17" t="str">
        <f>HYPERLINK('Components Data Source'!M234)</f>
        <v>https://www.flowcode.co.uk/wiki/index.php?title=Component:_ID_bbf0ab46_623e_44c6_9402_3acfcd9d0006</v>
      </c>
      <c r="O234" s="8" t="s">
        <v>1721</v>
      </c>
      <c r="P234" s="8"/>
      <c r="Q234" s="8" t="str">
        <f t="shared" si="8"/>
        <v/>
      </c>
      <c r="R234" s="8" t="s">
        <v>1721</v>
      </c>
      <c r="S234" s="8" t="s">
        <v>1721</v>
      </c>
      <c r="T234" s="8"/>
      <c r="U234" s="8"/>
      <c r="V234" s="8" t="s">
        <v>1731</v>
      </c>
      <c r="W234" s="8" t="s">
        <v>1175</v>
      </c>
      <c r="X234" s="8" t="s">
        <v>1721</v>
      </c>
      <c r="Y234" s="8" t="s">
        <v>1721</v>
      </c>
      <c r="Z234" s="18">
        <f t="shared" si="7"/>
        <v>1</v>
      </c>
      <c r="AA234" s="8"/>
      <c r="AB234" s="9" t="s">
        <v>2573</v>
      </c>
      <c r="AC234" s="7"/>
      <c r="AD234" s="8" t="s">
        <v>1721</v>
      </c>
      <c r="AE234" s="8" t="s">
        <v>1727</v>
      </c>
      <c r="AF234" s="8" t="s">
        <v>1727</v>
      </c>
      <c r="AG234" s="8" t="s">
        <v>1727</v>
      </c>
      <c r="AH234" s="47"/>
      <c r="AI234" s="47">
        <f>VLOOKUP(B234,'Components Usage'!A$2:C$603,3,FALSE)</f>
        <v>1</v>
      </c>
      <c r="AJ234" s="28" t="s">
        <v>2401</v>
      </c>
    </row>
    <row r="235" spans="1:36" hidden="1" x14ac:dyDescent="0.25">
      <c r="A235" s="16" t="str">
        <f>'Components Data Source'!A235</f>
        <v>Accel / Mag 6-Axis(LSM303DLHC)</v>
      </c>
      <c r="B235" s="8" t="str">
        <f>'Components Data Source'!B235</f>
        <v>D61DD6A6-231E-4244-9E8D-4F15E7EA10D5</v>
      </c>
      <c r="C235" s="41" t="str">
        <f>'Components Data Source'!C235</f>
        <v>LSM303DLHC.fcpx</v>
      </c>
      <c r="D235" s="8" t="str">
        <f>'Components Data Source'!D235</f>
        <v>Components\IO_Source\Sensors\AccelMag_LSM303DLHC.fcfx</v>
      </c>
      <c r="E235" s="8" t="str">
        <f>'Components Data Source'!E235</f>
        <v>SENSORS</v>
      </c>
      <c r="F235" s="8" t="str">
        <f>'Components Data Source'!F235</f>
        <v>MOVEMENT &amp;AMP; ORIENTATION</v>
      </c>
      <c r="G235" s="8">
        <f>'Components Data Source'!G235</f>
        <v>0</v>
      </c>
      <c r="H235" s="8">
        <f>'Components Data Source'!H235</f>
        <v>0</v>
      </c>
      <c r="I235" s="8" t="str">
        <f>'Components Data Source'!I235</f>
        <v xml:space="preserve">I2C </v>
      </c>
      <c r="J235" s="8">
        <f>'Components Data Source'!J235</f>
        <v>1</v>
      </c>
      <c r="K235" s="8">
        <f>'Components Data Source'!K235</f>
        <v>1</v>
      </c>
      <c r="L235" s="8">
        <f>'Components Data Source'!L235</f>
        <v>1</v>
      </c>
      <c r="M235" s="8" t="s">
        <v>1727</v>
      </c>
      <c r="N235" s="17" t="str">
        <f>HYPERLINK('Components Data Source'!M235)</f>
        <v>https://www.flowcode.co.uk/wiki/index.php?title=Component:_ID_d61dd6a6_231e_4244_9e8d_4f15e7ea10d5</v>
      </c>
      <c r="O235" s="8" t="s">
        <v>1721</v>
      </c>
      <c r="P235" s="8" t="s">
        <v>2774</v>
      </c>
      <c r="Q235" s="8" t="str">
        <f t="shared" si="8"/>
        <v/>
      </c>
      <c r="R235" s="8" t="s">
        <v>1721</v>
      </c>
      <c r="S235" s="8" t="s">
        <v>1721</v>
      </c>
      <c r="T235" s="8" t="s">
        <v>1721</v>
      </c>
      <c r="U235" s="8" t="s">
        <v>1721</v>
      </c>
      <c r="V235" s="8" t="s">
        <v>1731</v>
      </c>
      <c r="W235" s="8" t="s">
        <v>1175</v>
      </c>
      <c r="X235" s="8" t="s">
        <v>1721</v>
      </c>
      <c r="Y235" s="8" t="s">
        <v>1721</v>
      </c>
      <c r="Z235" s="18">
        <f t="shared" si="7"/>
        <v>1</v>
      </c>
      <c r="AA235" s="8"/>
      <c r="AB235" s="7" t="s">
        <v>2415</v>
      </c>
      <c r="AC235" s="7"/>
      <c r="AD235" s="8" t="s">
        <v>1721</v>
      </c>
      <c r="AE235" s="8" t="s">
        <v>1727</v>
      </c>
      <c r="AF235" s="8" t="s">
        <v>1727</v>
      </c>
      <c r="AG235" s="8" t="s">
        <v>1727</v>
      </c>
      <c r="AH235" s="47"/>
      <c r="AI235" s="47">
        <f>VLOOKUP(B235,'Components Usage'!A$2:C$603,3,FALSE)</f>
        <v>0</v>
      </c>
      <c r="AJ235" s="28" t="s">
        <v>2401</v>
      </c>
    </row>
    <row r="236" spans="1:36" hidden="1" x14ac:dyDescent="0.25">
      <c r="A236" s="16" t="str">
        <f>'Components Data Source'!A236</f>
        <v>Accel / Mag 6-Axis(LSM303D)</v>
      </c>
      <c r="B236" s="8" t="str">
        <f>'Components Data Source'!B236</f>
        <v>DB2C91D9-4FD5-42B8-98F4-76DFB160DECE</v>
      </c>
      <c r="C236" s="41" t="str">
        <f>'Components Data Source'!C236</f>
        <v>LSM303D_Magnetometer.fcpx</v>
      </c>
      <c r="D236" s="8" t="str">
        <f>'Components Data Source'!D236</f>
        <v>Components\IO_Source\Sensors\Magnetometer_LSM303D.fcfx</v>
      </c>
      <c r="E236" s="8" t="str">
        <f>'Components Data Source'!E236</f>
        <v>SENSORS</v>
      </c>
      <c r="F236" s="8" t="str">
        <f>'Components Data Source'!F236</f>
        <v>MOVEMENT &amp;AMP; ORIENTATION</v>
      </c>
      <c r="G236" s="8">
        <f>'Components Data Source'!G236</f>
        <v>0</v>
      </c>
      <c r="H236" s="8">
        <f>'Components Data Source'!H236</f>
        <v>0</v>
      </c>
      <c r="I236" s="8" t="str">
        <f>'Components Data Source'!I236</f>
        <v xml:space="preserve">I2C </v>
      </c>
      <c r="J236" s="8">
        <f>'Components Data Source'!J236</f>
        <v>1</v>
      </c>
      <c r="K236" s="8">
        <f>'Components Data Source'!K236</f>
        <v>1</v>
      </c>
      <c r="L236" s="8">
        <f>'Components Data Source'!L236</f>
        <v>1</v>
      </c>
      <c r="M236" s="8" t="s">
        <v>1727</v>
      </c>
      <c r="N236" s="17" t="str">
        <f>HYPERLINK('Components Data Source'!M236)</f>
        <v>https://www.flowcode.co.uk/wiki/index.php?title=Component:_ID_db2c91d9_4fd5_42b8_98f4_76dfb160dece</v>
      </c>
      <c r="O236" s="8" t="s">
        <v>1721</v>
      </c>
      <c r="P236" s="8" t="s">
        <v>2774</v>
      </c>
      <c r="Q236" s="8" t="str">
        <f t="shared" si="8"/>
        <v/>
      </c>
      <c r="R236" s="8" t="s">
        <v>1721</v>
      </c>
      <c r="S236" s="8" t="s">
        <v>1721</v>
      </c>
      <c r="T236" s="8" t="s">
        <v>1721</v>
      </c>
      <c r="U236" s="8" t="s">
        <v>1721</v>
      </c>
      <c r="V236" s="8" t="s">
        <v>1731</v>
      </c>
      <c r="W236" s="8" t="s">
        <v>1175</v>
      </c>
      <c r="X236" s="8" t="s">
        <v>1721</v>
      </c>
      <c r="Y236" s="8" t="s">
        <v>2401</v>
      </c>
      <c r="Z236" s="18">
        <f t="shared" si="7"/>
        <v>3</v>
      </c>
      <c r="AA236" s="8"/>
      <c r="AB236" s="7" t="s">
        <v>2414</v>
      </c>
      <c r="AC236" s="7"/>
      <c r="AD236" s="8" t="s">
        <v>1721</v>
      </c>
      <c r="AE236" s="8" t="s">
        <v>1727</v>
      </c>
      <c r="AF236" s="8" t="s">
        <v>1727</v>
      </c>
      <c r="AG236" s="8" t="s">
        <v>1727</v>
      </c>
      <c r="AH236" s="47"/>
      <c r="AI236" s="47">
        <f>VLOOKUP(B236,'Components Usage'!A$2:C$603,3,FALSE)</f>
        <v>1</v>
      </c>
      <c r="AJ236" s="28" t="s">
        <v>2401</v>
      </c>
    </row>
    <row r="237" spans="1:36" ht="30" hidden="1" x14ac:dyDescent="0.25">
      <c r="A237" s="16" t="str">
        <f>'Components Data Source'!A237</f>
        <v>Accel / Gyro / Mag 9-Axis(LSM9DS1)</v>
      </c>
      <c r="B237" s="8" t="str">
        <f>'Components Data Source'!B237</f>
        <v>20699A0C-0925-40C4-8AA1-35F294E225E6</v>
      </c>
      <c r="C237" s="41" t="str">
        <f>'Components Data Source'!C237</f>
        <v>LSM9DS1_AccelGyroMagnet.fcpx</v>
      </c>
      <c r="D237" s="8" t="str">
        <f>'Components Data Source'!D237</f>
        <v>Components\IO_Source\Sensors\AccelMagGyro_LSM9DS1.fcfx</v>
      </c>
      <c r="E237" s="8" t="str">
        <f>'Components Data Source'!E237</f>
        <v>SENSORS</v>
      </c>
      <c r="F237" s="8" t="str">
        <f>'Components Data Source'!F237</f>
        <v>MOVEMENT &amp;AMP; ORIENTATION</v>
      </c>
      <c r="G237" s="8">
        <f>'Components Data Source'!G237</f>
        <v>0</v>
      </c>
      <c r="H237" s="8">
        <f>'Components Data Source'!H237</f>
        <v>0</v>
      </c>
      <c r="I237" s="8" t="str">
        <f>'Components Data Source'!I237</f>
        <v xml:space="preserve">I2C </v>
      </c>
      <c r="J237" s="8">
        <f>'Components Data Source'!J237</f>
        <v>1</v>
      </c>
      <c r="K237" s="8">
        <f>'Components Data Source'!K237</f>
        <v>1</v>
      </c>
      <c r="L237" s="8">
        <f>'Components Data Source'!L237</f>
        <v>1</v>
      </c>
      <c r="M237" s="8" t="s">
        <v>1727</v>
      </c>
      <c r="N237" s="17" t="str">
        <f>HYPERLINK('Components Data Source'!M237)</f>
        <v>https://www.flowcode.co.uk/wiki/index.php?title=Component:_ID_20699a0c_0925_40c4_8aa1_35f294e225e6</v>
      </c>
      <c r="O237" s="8" t="s">
        <v>1721</v>
      </c>
      <c r="P237" s="8" t="s">
        <v>2774</v>
      </c>
      <c r="Q237" s="8" t="str">
        <f t="shared" si="8"/>
        <v/>
      </c>
      <c r="R237" s="8" t="s">
        <v>1721</v>
      </c>
      <c r="S237" s="8" t="s">
        <v>1721</v>
      </c>
      <c r="T237" s="8" t="s">
        <v>1721</v>
      </c>
      <c r="U237" s="8" t="s">
        <v>1721</v>
      </c>
      <c r="V237" s="8" t="s">
        <v>1731</v>
      </c>
      <c r="W237" s="8" t="s">
        <v>1175</v>
      </c>
      <c r="X237" s="8" t="s">
        <v>1721</v>
      </c>
      <c r="Y237" s="8" t="s">
        <v>1721</v>
      </c>
      <c r="Z237" s="18">
        <f t="shared" si="7"/>
        <v>1</v>
      </c>
      <c r="AA237" s="8"/>
      <c r="AB237" s="7" t="s">
        <v>2416</v>
      </c>
      <c r="AC237" s="7"/>
      <c r="AD237" s="8" t="s">
        <v>1721</v>
      </c>
      <c r="AE237" s="8" t="s">
        <v>1727</v>
      </c>
      <c r="AF237" s="8" t="s">
        <v>1727</v>
      </c>
      <c r="AG237" s="8" t="s">
        <v>1727</v>
      </c>
      <c r="AH237" s="47"/>
      <c r="AI237" s="47">
        <f>VLOOKUP(B237,'Components Usage'!A$2:C$603,3,FALSE)</f>
        <v>1</v>
      </c>
      <c r="AJ237" s="28" t="s">
        <v>2401</v>
      </c>
    </row>
    <row r="238" spans="1:36" hidden="1" x14ac:dyDescent="0.25">
      <c r="A238" s="16" t="str">
        <f>'Components Data Source'!A238</f>
        <v>Airplane Landing Gear</v>
      </c>
      <c r="B238" s="8" t="str">
        <f>'Components Data Source'!B238</f>
        <v>A05022FD-6FA1-499D-B885-A7D983E7BFDF</v>
      </c>
      <c r="C238" s="41" t="str">
        <f>'Components Data Source'!C238</f>
        <v>LandingGear.fcpx</v>
      </c>
      <c r="D238" s="8" t="str">
        <f>'Components Data Source'!D238</f>
        <v>Components\IO_Source\mechatronics\Electro Mechanical\Landing Gear Source Files\LandingGearComponent_v002.fcfx</v>
      </c>
      <c r="E238" s="8" t="str">
        <f>'Components Data Source'!E238</f>
        <v>MODELS</v>
      </c>
      <c r="F238" s="8" t="str">
        <f>'Components Data Source'!F238</f>
        <v>SCENARIOS</v>
      </c>
      <c r="G238" s="8">
        <f>'Components Data Source'!G238</f>
        <v>0</v>
      </c>
      <c r="H238" s="8">
        <f>'Components Data Source'!H238</f>
        <v>0</v>
      </c>
      <c r="I238" s="8">
        <f>'Components Data Source'!I238</f>
        <v>0</v>
      </c>
      <c r="J238" s="8">
        <f>'Components Data Source'!J238</f>
        <v>1</v>
      </c>
      <c r="K238" s="8">
        <f>'Components Data Source'!K238</f>
        <v>0</v>
      </c>
      <c r="L238" s="8">
        <f>'Components Data Source'!L238</f>
        <v>0</v>
      </c>
      <c r="M238" s="8" t="s">
        <v>1727</v>
      </c>
      <c r="N238" s="17" t="str">
        <f>HYPERLINK('Components Data Source'!M238)</f>
        <v>https://www.flowcode.co.uk/wiki/index.php?title=Component:_ID_a05022fd_6fa1_499d_b885_a7d983e7bfdf</v>
      </c>
      <c r="O238" s="8" t="s">
        <v>1721</v>
      </c>
      <c r="P238" s="8"/>
      <c r="Q238" s="8" t="str">
        <f t="shared" si="8"/>
        <v/>
      </c>
      <c r="R238" s="8" t="s">
        <v>1727</v>
      </c>
      <c r="S238" s="8"/>
      <c r="T238" s="8"/>
      <c r="U238" s="8"/>
      <c r="V238" s="8" t="s">
        <v>1730</v>
      </c>
      <c r="W238" s="8" t="s">
        <v>1730</v>
      </c>
      <c r="X238" s="8"/>
      <c r="Y238" s="8"/>
      <c r="Z238" s="18">
        <f t="shared" si="7"/>
        <v>2</v>
      </c>
      <c r="AA238" s="8"/>
      <c r="AB238" s="7"/>
      <c r="AC238" s="7"/>
      <c r="AD238" s="8" t="s">
        <v>1721</v>
      </c>
      <c r="AE238" s="8" t="s">
        <v>1721</v>
      </c>
      <c r="AF238" s="8" t="s">
        <v>2401</v>
      </c>
      <c r="AG238" s="8" t="s">
        <v>1721</v>
      </c>
      <c r="AH238" s="47"/>
      <c r="AI238" s="47">
        <f>VLOOKUP(B238,'Components Usage'!A$2:C$603,3,FALSE)</f>
        <v>0</v>
      </c>
      <c r="AJ238" s="28" t="s">
        <v>2401</v>
      </c>
    </row>
    <row r="239" spans="1:36" x14ac:dyDescent="0.25">
      <c r="A239" s="16" t="str">
        <f>'Components Data Source'!A239</f>
        <v>Library Component</v>
      </c>
      <c r="B239" s="8" t="str">
        <f>'Components Data Source'!B239</f>
        <v>58BE670E-18FB-477E-AB09-61FDE14B23EC</v>
      </c>
      <c r="C239" s="41" t="str">
        <f>'Components Data Source'!C239</f>
        <v>LibraryComponent.fcpx</v>
      </c>
      <c r="D239" s="8" t="str">
        <f>'Components Data Source'!D239</f>
        <v>Components\IO_Source\Theme\LibraryComponent.fcfx</v>
      </c>
      <c r="E239" s="8" t="str">
        <f>'Components Data Source'!E239</f>
        <v>FREE</v>
      </c>
      <c r="F239" s="8" t="str">
        <f>'Components Data Source'!F239</f>
        <v>MISC</v>
      </c>
      <c r="G239" s="8">
        <f>'Components Data Source'!G239</f>
        <v>0</v>
      </c>
      <c r="H239" s="8">
        <f>'Components Data Source'!H239</f>
        <v>0</v>
      </c>
      <c r="I239" s="8">
        <f>'Components Data Source'!I239</f>
        <v>0</v>
      </c>
      <c r="J239" s="8">
        <f>'Components Data Source'!J239</f>
        <v>1</v>
      </c>
      <c r="K239" s="8">
        <f>'Components Data Source'!K239</f>
        <v>1</v>
      </c>
      <c r="L239" s="8">
        <f>'Components Data Source'!L239</f>
        <v>1</v>
      </c>
      <c r="M239" s="8" t="s">
        <v>1727</v>
      </c>
      <c r="N239" s="17" t="str">
        <f>HYPERLINK('Components Data Source'!M239)</f>
        <v>https://www.flowcode.co.uk/wiki/index.php?title=Component:_ID_58be670e_18fb_477e_ab09_61fde14b23ec</v>
      </c>
      <c r="O239" s="8" t="s">
        <v>1721</v>
      </c>
      <c r="P239" s="8"/>
      <c r="Q239" s="8" t="str">
        <f t="shared" si="8"/>
        <v/>
      </c>
      <c r="R239" s="8" t="s">
        <v>1727</v>
      </c>
      <c r="S239" s="8"/>
      <c r="T239" s="8"/>
      <c r="U239" s="8"/>
      <c r="V239" s="8" t="s">
        <v>1730</v>
      </c>
      <c r="W239" s="8" t="s">
        <v>1730</v>
      </c>
      <c r="X239" s="8"/>
      <c r="Y239" s="8"/>
      <c r="Z239" s="18">
        <f t="shared" si="7"/>
        <v>2</v>
      </c>
      <c r="AA239" s="8"/>
      <c r="AB239" s="7"/>
      <c r="AC239" s="7"/>
      <c r="AD239" s="8" t="s">
        <v>1727</v>
      </c>
      <c r="AE239" s="8"/>
      <c r="AF239" s="8"/>
      <c r="AG239" s="8" t="s">
        <v>1727</v>
      </c>
      <c r="AH239" s="47"/>
      <c r="AI239" s="47">
        <f>VLOOKUP(B239,'Components Usage'!A$2:C$603,3,FALSE)</f>
        <v>4</v>
      </c>
      <c r="AJ239" s="28"/>
    </row>
    <row r="240" spans="1:36" x14ac:dyDescent="0.25">
      <c r="A240" s="16" t="str">
        <f>'Components Data Source'!A240</f>
        <v>Line Chart</v>
      </c>
      <c r="B240" s="8" t="str">
        <f>'Components Data Source'!B240</f>
        <v>3A68EBF7-1225-4B29-87DA-A734C0720591</v>
      </c>
      <c r="C240" s="41" t="str">
        <f>'Components Data Source'!C240</f>
        <v>LineChart.fcpx</v>
      </c>
      <c r="D240" s="8" t="str">
        <f>'Components Data Source'!D240</f>
        <v>Components\IO_Source\2dGDI\ChartLine.fcfx</v>
      </c>
      <c r="E240" s="8" t="str">
        <f>'Components Data Source'!E240</f>
        <v>FREE</v>
      </c>
      <c r="F240" s="8" t="str">
        <f>'Components Data Source'!F240</f>
        <v>CHARTS</v>
      </c>
      <c r="G240" s="8" t="str">
        <f>'Components Data Source'!G240</f>
        <v xml:space="preserve">CHARTS </v>
      </c>
      <c r="H240" s="8">
        <f>'Components Data Source'!H240</f>
        <v>0</v>
      </c>
      <c r="I240" s="8">
        <f>'Components Data Source'!I240</f>
        <v>0</v>
      </c>
      <c r="J240" s="8">
        <f>'Components Data Source'!J240</f>
        <v>1</v>
      </c>
      <c r="K240" s="8">
        <f>'Components Data Source'!K240</f>
        <v>1</v>
      </c>
      <c r="L240" s="8">
        <f>'Components Data Source'!L240</f>
        <v>1</v>
      </c>
      <c r="M240" s="8" t="s">
        <v>1727</v>
      </c>
      <c r="N240" s="17" t="str">
        <f>HYPERLINK('Components Data Source'!M240)</f>
        <v>https://www.flowcode.co.uk/wiki/index.php?title=Component:_ID_3a68ebf7_1225_4b29_87da_a734c0720591</v>
      </c>
      <c r="O240" s="8" t="s">
        <v>1721</v>
      </c>
      <c r="P240" s="8"/>
      <c r="Q240" s="8" t="str">
        <f t="shared" si="8"/>
        <v/>
      </c>
      <c r="R240" s="8" t="s">
        <v>1727</v>
      </c>
      <c r="S240" s="8"/>
      <c r="T240" s="8"/>
      <c r="U240" s="8"/>
      <c r="V240" s="8" t="s">
        <v>1730</v>
      </c>
      <c r="W240" s="8" t="s">
        <v>1730</v>
      </c>
      <c r="X240" s="8"/>
      <c r="Y240" s="8"/>
      <c r="Z240" s="18">
        <f t="shared" si="7"/>
        <v>2</v>
      </c>
      <c r="AA240" s="8"/>
      <c r="AB240" s="7"/>
      <c r="AC240" s="7"/>
      <c r="AD240" s="8" t="s">
        <v>1727</v>
      </c>
      <c r="AE240" s="8"/>
      <c r="AF240" s="8"/>
      <c r="AG240" s="8" t="s">
        <v>1727</v>
      </c>
      <c r="AH240" s="47"/>
      <c r="AI240" s="47">
        <f>VLOOKUP(B240,'Components Usage'!A$2:C$603,3,FALSE)</f>
        <v>12</v>
      </c>
      <c r="AJ240" s="28"/>
    </row>
    <row r="241" spans="1:36" x14ac:dyDescent="0.25">
      <c r="A241" s="16" t="str">
        <f>'Components Data Source'!A241</f>
        <v>Linear Actuator</v>
      </c>
      <c r="B241" s="8" t="str">
        <f>'Components Data Source'!B241</f>
        <v>15921536-CF92-4CD3-88E4-207C251AB775</v>
      </c>
      <c r="C241" s="41" t="str">
        <f>'Components Data Source'!C241</f>
        <v>LinearActuator.fcpx</v>
      </c>
      <c r="D241" s="8" t="str">
        <f>'Components Data Source'!D241</f>
        <v>Components\IO_Source\mechatronics\LinearActuator.fcfx</v>
      </c>
      <c r="E241" s="8" t="str">
        <f>'Components Data Source'!E241</f>
        <v>FREE</v>
      </c>
      <c r="F241" s="8" t="str">
        <f>'Components Data Source'!F241</f>
        <v>MECHATRONICS</v>
      </c>
      <c r="G241" s="8">
        <f>'Components Data Source'!G241</f>
        <v>0</v>
      </c>
      <c r="H241" s="8">
        <f>'Components Data Source'!H241</f>
        <v>0</v>
      </c>
      <c r="I241" s="8">
        <f>'Components Data Source'!I241</f>
        <v>0</v>
      </c>
      <c r="J241" s="8">
        <f>'Components Data Source'!J241</f>
        <v>1</v>
      </c>
      <c r="K241" s="8">
        <f>'Components Data Source'!K241</f>
        <v>1</v>
      </c>
      <c r="L241" s="8">
        <f>'Components Data Source'!L241</f>
        <v>0</v>
      </c>
      <c r="M241" s="8" t="s">
        <v>1727</v>
      </c>
      <c r="N241" s="17" t="str">
        <f>HYPERLINK('Components Data Source'!M241)</f>
        <v>https://www.flowcode.co.uk/wiki/index.php?title=Component:_ID_15921536_cf92_4cd3_88e4_207c251ab775</v>
      </c>
      <c r="O241" s="8" t="s">
        <v>1721</v>
      </c>
      <c r="P241" s="8"/>
      <c r="Q241" s="8" t="str">
        <f t="shared" si="8"/>
        <v/>
      </c>
      <c r="R241" s="8" t="s">
        <v>1727</v>
      </c>
      <c r="S241" s="8"/>
      <c r="T241" s="8"/>
      <c r="U241" s="8"/>
      <c r="V241" s="8" t="s">
        <v>1730</v>
      </c>
      <c r="W241" s="8" t="s">
        <v>1730</v>
      </c>
      <c r="X241" s="8"/>
      <c r="Y241" s="8"/>
      <c r="Z241" s="18">
        <f t="shared" si="7"/>
        <v>2</v>
      </c>
      <c r="AA241" s="8"/>
      <c r="AB241" s="7"/>
      <c r="AC241" s="7"/>
      <c r="AD241" s="8" t="s">
        <v>1721</v>
      </c>
      <c r="AE241" s="8" t="s">
        <v>1727</v>
      </c>
      <c r="AF241" s="8" t="s">
        <v>1727</v>
      </c>
      <c r="AG241" s="8" t="s">
        <v>1727</v>
      </c>
      <c r="AH241" s="47"/>
      <c r="AI241" s="47">
        <f>VLOOKUP(B241,'Components Usage'!A$2:C$603,3,FALSE)</f>
        <v>0</v>
      </c>
      <c r="AJ241" s="28" t="s">
        <v>2401</v>
      </c>
    </row>
    <row r="242" spans="1:36" x14ac:dyDescent="0.25">
      <c r="A242" s="16" t="str">
        <f>'Components Data Source'!A242</f>
        <v>LinearGauge</v>
      </c>
      <c r="B242" s="8" t="str">
        <f>'Components Data Source'!B242</f>
        <v>05E09581-B11D-46AE-B32D-C6414A6A922D</v>
      </c>
      <c r="C242" s="41" t="str">
        <f>'Components Data Source'!C242</f>
        <v>LinearGauge.fcpx</v>
      </c>
      <c r="D242" s="8" t="str">
        <f>'Components Data Source'!D242</f>
        <v>Components\IO_Source\2dGDI\LinearGauge.fcfx</v>
      </c>
      <c r="E242" s="8" t="str">
        <f>'Components Data Source'!E242</f>
        <v>FREE</v>
      </c>
      <c r="F242" s="8" t="str">
        <f>'Components Data Source'!F242</f>
        <v>INDICATORS</v>
      </c>
      <c r="G242" s="8" t="str">
        <f>'Components Data Source'!G242</f>
        <v xml:space="preserve">INDICATORS </v>
      </c>
      <c r="H242" s="8">
        <f>'Components Data Source'!H242</f>
        <v>0</v>
      </c>
      <c r="I242" s="8">
        <f>'Components Data Source'!I242</f>
        <v>0</v>
      </c>
      <c r="J242" s="8">
        <f>'Components Data Source'!J242</f>
        <v>1</v>
      </c>
      <c r="K242" s="8">
        <f>'Components Data Source'!K242</f>
        <v>1</v>
      </c>
      <c r="L242" s="8">
        <f>'Components Data Source'!L242</f>
        <v>1</v>
      </c>
      <c r="M242" s="8" t="s">
        <v>1727</v>
      </c>
      <c r="N242" s="17" t="str">
        <f>HYPERLINK('Components Data Source'!M242)</f>
        <v>https://www.flowcode.co.uk/wiki/index.php?title=Component:_ID_05e09581_b11d_46ae_b32d_c6414a6a922d</v>
      </c>
      <c r="O242" s="8" t="s">
        <v>1721</v>
      </c>
      <c r="P242" s="8"/>
      <c r="Q242" s="8" t="str">
        <f t="shared" si="8"/>
        <v/>
      </c>
      <c r="R242" s="8" t="s">
        <v>1727</v>
      </c>
      <c r="S242" s="8"/>
      <c r="T242" s="8"/>
      <c r="U242" s="8"/>
      <c r="V242" s="8" t="s">
        <v>1730</v>
      </c>
      <c r="W242" s="8" t="s">
        <v>1730</v>
      </c>
      <c r="X242" s="8"/>
      <c r="Y242" s="8"/>
      <c r="Z242" s="18">
        <f t="shared" si="7"/>
        <v>2</v>
      </c>
      <c r="AA242" s="8"/>
      <c r="AB242" s="7"/>
      <c r="AC242" s="7"/>
      <c r="AD242" s="8" t="s">
        <v>1721</v>
      </c>
      <c r="AE242" s="8" t="s">
        <v>1727</v>
      </c>
      <c r="AF242" s="8" t="s">
        <v>1727</v>
      </c>
      <c r="AG242" s="8" t="s">
        <v>1727</v>
      </c>
      <c r="AH242" s="47"/>
      <c r="AI242" s="47">
        <f>VLOOKUP(B242,'Components Usage'!A$2:C$603,3,FALSE)</f>
        <v>16</v>
      </c>
      <c r="AJ242" s="28" t="s">
        <v>2401</v>
      </c>
    </row>
    <row r="243" spans="1:36" x14ac:dyDescent="0.25">
      <c r="A243" s="16" t="str">
        <f>'Components Data Source'!A243</f>
        <v>LinearSlider</v>
      </c>
      <c r="B243" s="8" t="str">
        <f>'Components Data Source'!B243</f>
        <v>B6909B43-7BFB-433F-8FDB-3B7D457EA73D</v>
      </c>
      <c r="C243" s="41" t="str">
        <f>'Components Data Source'!C243</f>
        <v>LinearSlider.fcpx</v>
      </c>
      <c r="D243" s="8" t="str">
        <f>'Components Data Source'!D243</f>
        <v>Components\IO_Source\2dGDI\LinearSlider.fcfx</v>
      </c>
      <c r="E243" s="8" t="str">
        <f>'Components Data Source'!E243</f>
        <v>FREE</v>
      </c>
      <c r="F243" s="8" t="str">
        <f>'Components Data Source'!F243</f>
        <v>CONTROLS</v>
      </c>
      <c r="G243" s="8" t="str">
        <f>'Components Data Source'!G243</f>
        <v xml:space="preserve">CONTROLS </v>
      </c>
      <c r="H243" s="8">
        <f>'Components Data Source'!H243</f>
        <v>0</v>
      </c>
      <c r="I243" s="8">
        <f>'Components Data Source'!I243</f>
        <v>0</v>
      </c>
      <c r="J243" s="8">
        <f>'Components Data Source'!J243</f>
        <v>1</v>
      </c>
      <c r="K243" s="8">
        <f>'Components Data Source'!K243</f>
        <v>1</v>
      </c>
      <c r="L243" s="8">
        <f>'Components Data Source'!L243</f>
        <v>1</v>
      </c>
      <c r="M243" s="8" t="s">
        <v>1727</v>
      </c>
      <c r="N243" s="17" t="str">
        <f>HYPERLINK('Components Data Source'!M243)</f>
        <v>https://www.flowcode.co.uk/wiki/index.php?title=Component:_ID_b6909b43_7bfb_433f_8fdb_3b7d457ea73d</v>
      </c>
      <c r="O243" s="8" t="s">
        <v>1721</v>
      </c>
      <c r="P243" s="8"/>
      <c r="Q243" s="8" t="str">
        <f t="shared" si="8"/>
        <v/>
      </c>
      <c r="R243" s="8" t="s">
        <v>1727</v>
      </c>
      <c r="S243" s="8"/>
      <c r="T243" s="8"/>
      <c r="U243" s="8"/>
      <c r="V243" s="8" t="s">
        <v>1730</v>
      </c>
      <c r="W243" s="8" t="s">
        <v>1730</v>
      </c>
      <c r="X243" s="8"/>
      <c r="Y243" s="8"/>
      <c r="Z243" s="18">
        <f t="shared" si="7"/>
        <v>2</v>
      </c>
      <c r="AA243" s="8"/>
      <c r="AB243" s="7"/>
      <c r="AC243" s="7"/>
      <c r="AD243" s="8" t="s">
        <v>1721</v>
      </c>
      <c r="AE243" s="8" t="s">
        <v>1727</v>
      </c>
      <c r="AF243" s="8" t="s">
        <v>1727</v>
      </c>
      <c r="AG243" s="8" t="s">
        <v>1727</v>
      </c>
      <c r="AH243" s="47"/>
      <c r="AI243" s="47">
        <f>VLOOKUP(B243,'Components Usage'!A$2:C$603,3,FALSE)</f>
        <v>21</v>
      </c>
      <c r="AJ243" s="28" t="s">
        <v>2401</v>
      </c>
    </row>
    <row r="244" spans="1:36" x14ac:dyDescent="0.25">
      <c r="A244" s="16" t="str">
        <f>'Components Data Source'!A244</f>
        <v>Logo Indicator</v>
      </c>
      <c r="B244" s="8" t="str">
        <f>'Components Data Source'!B244</f>
        <v>9F9FFA92-A20D-4BA8-94E1-04E45BDEA154</v>
      </c>
      <c r="C244" s="41" t="str">
        <f>'Components Data Source'!C244</f>
        <v>LogoIndicator.fcpx</v>
      </c>
      <c r="D244" s="8" t="str">
        <f>'Components Data Source'!D244</f>
        <v>Components\IO_Source\SCADA\IndicatorLogo.fcfx</v>
      </c>
      <c r="E244" s="8" t="str">
        <f>'Components Data Source'!E244</f>
        <v>FREE</v>
      </c>
      <c r="F244" s="8" t="str">
        <f>'Components Data Source'!F244</f>
        <v>INDICATORS</v>
      </c>
      <c r="G244" s="8" t="str">
        <f>'Components Data Source'!G244</f>
        <v xml:space="preserve">INDICATORS </v>
      </c>
      <c r="H244" s="8">
        <f>'Components Data Source'!H244</f>
        <v>0</v>
      </c>
      <c r="I244" s="8">
        <f>'Components Data Source'!I244</f>
        <v>0</v>
      </c>
      <c r="J244" s="8">
        <f>'Components Data Source'!J244</f>
        <v>1</v>
      </c>
      <c r="K244" s="8">
        <f>'Components Data Source'!K244</f>
        <v>1</v>
      </c>
      <c r="L244" s="8">
        <f>'Components Data Source'!L244</f>
        <v>1</v>
      </c>
      <c r="M244" s="8" t="s">
        <v>1727</v>
      </c>
      <c r="N244" s="17" t="str">
        <f>HYPERLINK('Components Data Source'!M244)</f>
        <v>https://www.flowcode.co.uk/wiki/index.php?title=Component:_ID_9f9ffa92_a20d_4ba8_94e1_04e45bdea154</v>
      </c>
      <c r="O244" s="8" t="s">
        <v>1721</v>
      </c>
      <c r="P244" s="8"/>
      <c r="Q244" s="8" t="str">
        <f t="shared" si="8"/>
        <v/>
      </c>
      <c r="R244" s="8" t="s">
        <v>1727</v>
      </c>
      <c r="S244" s="8"/>
      <c r="T244" s="8"/>
      <c r="U244" s="8"/>
      <c r="V244" s="8" t="s">
        <v>1730</v>
      </c>
      <c r="W244" s="8" t="s">
        <v>1730</v>
      </c>
      <c r="X244" s="8"/>
      <c r="Y244" s="8"/>
      <c r="Z244" s="18">
        <f t="shared" si="7"/>
        <v>2</v>
      </c>
      <c r="AA244" s="8"/>
      <c r="AB244" s="7"/>
      <c r="AC244" s="7"/>
      <c r="AD244" s="8" t="s">
        <v>1721</v>
      </c>
      <c r="AE244" s="8" t="s">
        <v>2401</v>
      </c>
      <c r="AF244" s="8" t="s">
        <v>2401</v>
      </c>
      <c r="AG244" s="8" t="s">
        <v>2401</v>
      </c>
      <c r="AH244" s="47"/>
      <c r="AI244" s="47">
        <f>VLOOKUP(B244,'Components Usage'!A$2:C$603,3,FALSE)</f>
        <v>21</v>
      </c>
      <c r="AJ244" s="28" t="s">
        <v>2401</v>
      </c>
    </row>
    <row r="245" spans="1:36" hidden="1" x14ac:dyDescent="0.25">
      <c r="A245" s="16" t="str">
        <f>'Components Data Source'!A245</f>
        <v>Thermocouple(MAX31855)</v>
      </c>
      <c r="B245" s="8" t="str">
        <f>'Components Data Source'!B245</f>
        <v>97E631C7-51D9-4482-9B65-481B390A686D</v>
      </c>
      <c r="C245" s="41" t="str">
        <f>'Components Data Source'!C245</f>
        <v>MAX31855_Thermocouple.fcpx</v>
      </c>
      <c r="D245" s="8" t="str">
        <f>'Components Data Source'!D245</f>
        <v>Components\IO_Source\Sensors\ThermocoupleMAX31855.fcfx</v>
      </c>
      <c r="E245" s="8" t="str">
        <f>'Components Data Source'!E245</f>
        <v>SENSORS</v>
      </c>
      <c r="F245" s="8" t="str">
        <f>'Components Data Source'!F245</f>
        <v>ENVIRONMENTAL</v>
      </c>
      <c r="G245" s="8">
        <f>'Components Data Source'!G245</f>
        <v>0</v>
      </c>
      <c r="H245" s="8">
        <f>'Components Data Source'!H245</f>
        <v>0</v>
      </c>
      <c r="I245" s="8" t="str">
        <f>'Components Data Source'!I245</f>
        <v xml:space="preserve">SPI </v>
      </c>
      <c r="J245" s="8">
        <f>'Components Data Source'!J245</f>
        <v>1</v>
      </c>
      <c r="K245" s="8">
        <f>'Components Data Source'!K245</f>
        <v>1</v>
      </c>
      <c r="L245" s="8">
        <f>'Components Data Source'!L245</f>
        <v>1</v>
      </c>
      <c r="M245" s="8" t="s">
        <v>1727</v>
      </c>
      <c r="N245" s="17" t="str">
        <f>HYPERLINK('Components Data Source'!M245)</f>
        <v>https://www.flowcode.co.uk/wiki/index.php?title=Component:_ID_97e631c7_51d9_4482_9b65_481b390a686d</v>
      </c>
      <c r="O245" s="8" t="s">
        <v>1721</v>
      </c>
      <c r="P245" s="8"/>
      <c r="Q245" s="8" t="str">
        <f t="shared" si="8"/>
        <v/>
      </c>
      <c r="R245" s="1" t="s">
        <v>1721</v>
      </c>
      <c r="S245" s="1" t="s">
        <v>1721</v>
      </c>
      <c r="T245" s="1" t="s">
        <v>1721</v>
      </c>
      <c r="U245" s="1" t="s">
        <v>1721</v>
      </c>
      <c r="V245" s="1" t="s">
        <v>1731</v>
      </c>
      <c r="W245" s="1" t="s">
        <v>1180</v>
      </c>
      <c r="X245" s="1" t="s">
        <v>1721</v>
      </c>
      <c r="Y245" s="8" t="s">
        <v>1721</v>
      </c>
      <c r="Z245" s="18">
        <f t="shared" si="7"/>
        <v>1</v>
      </c>
      <c r="AA245" s="8"/>
      <c r="AB245" s="6" t="s">
        <v>2458</v>
      </c>
      <c r="AC245" s="7"/>
      <c r="AD245" s="8" t="s">
        <v>1721</v>
      </c>
      <c r="AE245" s="8" t="s">
        <v>1721</v>
      </c>
      <c r="AF245" s="8" t="s">
        <v>1727</v>
      </c>
      <c r="AG245" s="8"/>
      <c r="AH245" s="47"/>
      <c r="AI245" s="47">
        <f>VLOOKUP(B245,'Components Usage'!A$2:C$603,3,FALSE)</f>
        <v>10</v>
      </c>
      <c r="AJ245" s="28" t="s">
        <v>2401</v>
      </c>
    </row>
    <row r="246" spans="1:36" hidden="1" x14ac:dyDescent="0.25">
      <c r="A246" s="16" t="str">
        <f>'Components Data Source'!A246</f>
        <v>IO Expander(MCP23017)</v>
      </c>
      <c r="B246" s="8" t="str">
        <f>'Components Data Source'!B246</f>
        <v>76BB1B8C-43DA-48D3-B53F-A9907F03A528</v>
      </c>
      <c r="C246" s="41" t="str">
        <f>'Components Data Source'!C246</f>
        <v>MCP23017.fcpx</v>
      </c>
      <c r="D246" s="8" t="str">
        <f>'Components Data Source'!D246</f>
        <v>Components\IO_Source\MCP23017.fcfx</v>
      </c>
      <c r="E246" s="8" t="str">
        <f>'Components Data Source'!E246</f>
        <v>COMMSA</v>
      </c>
      <c r="F246" s="8" t="str">
        <f>'Components Data Source'!F246</f>
        <v>COMMS: SYSTEM</v>
      </c>
      <c r="G246" s="8">
        <f>'Components Data Source'!G246</f>
        <v>0</v>
      </c>
      <c r="H246" s="8">
        <f>'Components Data Source'!H246</f>
        <v>0</v>
      </c>
      <c r="I246" s="8" t="str">
        <f>'Components Data Source'!I246</f>
        <v xml:space="preserve">I2C </v>
      </c>
      <c r="J246" s="8">
        <f>'Components Data Source'!J246</f>
        <v>1</v>
      </c>
      <c r="K246" s="8">
        <f>'Components Data Source'!K246</f>
        <v>1</v>
      </c>
      <c r="L246" s="8">
        <f>'Components Data Source'!L246</f>
        <v>1</v>
      </c>
      <c r="M246" s="8" t="s">
        <v>1727</v>
      </c>
      <c r="N246" s="17" t="str">
        <f>HYPERLINK('Components Data Source'!M246)</f>
        <v>https://www.flowcode.co.uk/wiki/index.php?title=Component:_ID_76bb1b8c_43da_48d3_b53f_a9907f03a528</v>
      </c>
      <c r="O246" s="8" t="s">
        <v>1721</v>
      </c>
      <c r="P246" s="8"/>
      <c r="Q246" s="8" t="str">
        <f t="shared" si="8"/>
        <v/>
      </c>
      <c r="R246" s="1" t="s">
        <v>1721</v>
      </c>
      <c r="S246" s="1" t="s">
        <v>1721</v>
      </c>
      <c r="T246" s="1" t="s">
        <v>1721</v>
      </c>
      <c r="U246" s="1" t="s">
        <v>1721</v>
      </c>
      <c r="V246" s="1" t="s">
        <v>1731</v>
      </c>
      <c r="W246" s="1" t="s">
        <v>1175</v>
      </c>
      <c r="X246" s="1" t="s">
        <v>1721</v>
      </c>
      <c r="Y246" s="8" t="s">
        <v>1721</v>
      </c>
      <c r="Z246" s="18">
        <f t="shared" si="7"/>
        <v>1</v>
      </c>
      <c r="AA246" s="8"/>
      <c r="AB246" s="7"/>
      <c r="AC246" s="7"/>
      <c r="AD246" s="8" t="s">
        <v>1721</v>
      </c>
      <c r="AE246" s="8" t="s">
        <v>1727</v>
      </c>
      <c r="AF246" s="8" t="s">
        <v>1727</v>
      </c>
      <c r="AG246" s="8"/>
      <c r="AH246" s="47"/>
      <c r="AI246" s="47">
        <f>VLOOKUP(B246,'Components Usage'!A$2:C$603,3,FALSE)</f>
        <v>34</v>
      </c>
      <c r="AJ246" s="28" t="s">
        <v>2401</v>
      </c>
    </row>
    <row r="247" spans="1:36" hidden="1" x14ac:dyDescent="0.25">
      <c r="A247" s="16" t="str">
        <f>'Components Data Source'!A247</f>
        <v>IO Expander(MCP23S17)</v>
      </c>
      <c r="B247" s="8" t="str">
        <f>'Components Data Source'!B247</f>
        <v>331DAAC0-653D-4F45-9822-6408A8258BDA</v>
      </c>
      <c r="C247" s="41" t="str">
        <f>'Components Data Source'!C247</f>
        <v>MCP23S17.fcpx</v>
      </c>
      <c r="D247" s="8" t="str">
        <f>'Components Data Source'!D247</f>
        <v>Components\IO_Source\MCP23S17.fcfx</v>
      </c>
      <c r="E247" s="8" t="str">
        <f>'Components Data Source'!E247</f>
        <v>COMMSA</v>
      </c>
      <c r="F247" s="8" t="str">
        <f>'Components Data Source'!F247</f>
        <v>COMMS: SYSTEM</v>
      </c>
      <c r="G247" s="8">
        <f>'Components Data Source'!G247</f>
        <v>0</v>
      </c>
      <c r="H247" s="8">
        <f>'Components Data Source'!H247</f>
        <v>0</v>
      </c>
      <c r="I247" s="8" t="str">
        <f>'Components Data Source'!I247</f>
        <v xml:space="preserve">SPI </v>
      </c>
      <c r="J247" s="8">
        <f>'Components Data Source'!J247</f>
        <v>1</v>
      </c>
      <c r="K247" s="8">
        <f>'Components Data Source'!K247</f>
        <v>1</v>
      </c>
      <c r="L247" s="8">
        <f>'Components Data Source'!L247</f>
        <v>1</v>
      </c>
      <c r="M247" s="8" t="s">
        <v>1727</v>
      </c>
      <c r="N247" s="17" t="str">
        <f>HYPERLINK('Components Data Source'!M247)</f>
        <v>https://www.flowcode.co.uk/wiki/index.php?title=Component:_ID_331daac0_653d_4f45_9822_6408a8258bda</v>
      </c>
      <c r="O247" s="8" t="s">
        <v>1721</v>
      </c>
      <c r="P247" s="8"/>
      <c r="Q247" s="8" t="str">
        <f t="shared" si="8"/>
        <v/>
      </c>
      <c r="R247" s="1" t="s">
        <v>1721</v>
      </c>
      <c r="S247" s="1" t="s">
        <v>1721</v>
      </c>
      <c r="T247" s="1" t="s">
        <v>1721</v>
      </c>
      <c r="U247" s="1" t="s">
        <v>1721</v>
      </c>
      <c r="V247" s="1" t="s">
        <v>1731</v>
      </c>
      <c r="W247" s="1" t="s">
        <v>1180</v>
      </c>
      <c r="X247" s="1" t="s">
        <v>1721</v>
      </c>
      <c r="Y247" s="8" t="s">
        <v>1721</v>
      </c>
      <c r="Z247" s="18">
        <f t="shared" si="7"/>
        <v>1</v>
      </c>
      <c r="AA247" s="8"/>
      <c r="AB247" s="6" t="s">
        <v>2445</v>
      </c>
      <c r="AC247" s="7"/>
      <c r="AD247" s="8" t="s">
        <v>1721</v>
      </c>
      <c r="AE247" s="8" t="s">
        <v>1727</v>
      </c>
      <c r="AF247" s="8" t="s">
        <v>1727</v>
      </c>
      <c r="AG247" s="8"/>
      <c r="AH247" s="47"/>
      <c r="AI247" s="47">
        <f>VLOOKUP(B247,'Components Usage'!A$2:C$603,3,FALSE)</f>
        <v>6</v>
      </c>
      <c r="AJ247" s="28" t="s">
        <v>2401</v>
      </c>
    </row>
    <row r="248" spans="1:36" x14ac:dyDescent="0.25">
      <c r="A248" s="16" t="str">
        <f>'Components Data Source'!A248</f>
        <v>IO Expander(BL0155)</v>
      </c>
      <c r="B248" s="8" t="str">
        <f>'Components Data Source'!B248</f>
        <v>E565AB5D-BF80-4911-938A-75B226CA6F93</v>
      </c>
      <c r="C248" s="8" t="str">
        <f>'Components Data Source'!C248</f>
        <v>MCP23S17_BL0155.fcpx</v>
      </c>
      <c r="D248" s="8" t="str">
        <f>'Components Data Source'!D248</f>
        <v>Components\IO_Source\EB2\EBlocks2_IOEXP_BL0155.fcfx</v>
      </c>
      <c r="E248" s="8" t="str">
        <f>'Components Data Source'!E248</f>
        <v>FREE</v>
      </c>
      <c r="F248" s="8" t="str">
        <f>'Components Data Source'!F248</f>
        <v>E-BLOCKS 2</v>
      </c>
      <c r="G248" s="8">
        <f>'Components Data Source'!G248</f>
        <v>0</v>
      </c>
      <c r="H248" s="8">
        <f>'Components Data Source'!H248</f>
        <v>0</v>
      </c>
      <c r="I248" s="8" t="str">
        <f>'Components Data Source'!I248</f>
        <v xml:space="preserve">SPI </v>
      </c>
      <c r="J248" s="8">
        <f>'Components Data Source'!J248</f>
        <v>1</v>
      </c>
      <c r="K248" s="8">
        <f>'Components Data Source'!K248</f>
        <v>1</v>
      </c>
      <c r="L248" s="8">
        <f>'Components Data Source'!L248</f>
        <v>0</v>
      </c>
      <c r="M248" s="8" t="s">
        <v>1727</v>
      </c>
      <c r="N248" s="17" t="str">
        <f>HYPERLINK('Components Data Source'!M248)</f>
        <v>https://www.flowcode.co.uk/wiki/index.php?title=Component:_ID_e565ab5d_bf80_4911_938a_75b226ca6f93</v>
      </c>
      <c r="O248" s="8" t="s">
        <v>2589</v>
      </c>
      <c r="P248" s="8"/>
      <c r="Q248" s="8" t="str">
        <f t="shared" si="8"/>
        <v/>
      </c>
      <c r="R248" s="8" t="s">
        <v>1727</v>
      </c>
      <c r="S248" s="8"/>
      <c r="T248" s="8"/>
      <c r="U248" s="8"/>
      <c r="V248" s="8" t="s">
        <v>1730</v>
      </c>
      <c r="W248" s="8" t="s">
        <v>1730</v>
      </c>
      <c r="X248" s="8"/>
      <c r="Y248" s="8"/>
      <c r="Z248" s="18">
        <f t="shared" si="7"/>
        <v>2</v>
      </c>
      <c r="AA248" s="8"/>
      <c r="AB248" s="7"/>
      <c r="AC248" s="7"/>
      <c r="AD248" s="8" t="s">
        <v>1721</v>
      </c>
      <c r="AE248" s="8" t="s">
        <v>1727</v>
      </c>
      <c r="AF248" s="8" t="s">
        <v>2401</v>
      </c>
      <c r="AG248" s="8"/>
      <c r="AH248" s="47"/>
      <c r="AI248" s="47">
        <f>VLOOKUP(B248,'Components Usage'!A$2:C$603,3,FALSE)</f>
        <v>0</v>
      </c>
      <c r="AJ248" s="28" t="s">
        <v>2401</v>
      </c>
    </row>
    <row r="249" spans="1:36" hidden="1" x14ac:dyDescent="0.25">
      <c r="A249" s="16" t="str">
        <f>'Components Data Source'!A249</f>
        <v>Digital Potentiometer (MCP41XX / MCP42XX)</v>
      </c>
      <c r="B249" s="8" t="str">
        <f>'Components Data Source'!B249</f>
        <v>37025734-A84D-46AD-9078-925BEB81F38B</v>
      </c>
      <c r="C249" s="8" t="str">
        <f>'Components Data Source'!C249</f>
        <v>MCP41XX.fcpx</v>
      </c>
      <c r="D249" s="8" t="str">
        <f>'Components Data Source'!D249</f>
        <v>Components\IO_Source\outputs\MCP41xx_42xx_Digital_Pot.fcfx</v>
      </c>
      <c r="E249" s="8" t="str">
        <f>'Components Data Source'!E249</f>
        <v>COMMSA</v>
      </c>
      <c r="F249" s="8" t="str">
        <f>'Components Data Source'!F249</f>
        <v>ANALOG OUTPUT</v>
      </c>
      <c r="G249" s="8">
        <f>'Components Data Source'!G249</f>
        <v>0</v>
      </c>
      <c r="H249" s="8">
        <f>'Components Data Source'!H249</f>
        <v>0</v>
      </c>
      <c r="I249" s="8" t="str">
        <f>'Components Data Source'!I249</f>
        <v xml:space="preserve">SPI </v>
      </c>
      <c r="J249" s="8">
        <f>'Components Data Source'!J249</f>
        <v>1</v>
      </c>
      <c r="K249" s="8">
        <f>'Components Data Source'!K249</f>
        <v>1</v>
      </c>
      <c r="L249" s="8">
        <f>'Components Data Source'!L249</f>
        <v>0</v>
      </c>
      <c r="M249" s="8" t="s">
        <v>1727</v>
      </c>
      <c r="N249" s="17" t="str">
        <f>HYPERLINK('Components Data Source'!M249)</f>
        <v>https://www.flowcode.co.uk/wiki/index.php?title=Component:_ID_37025734_a84d_46ad_9078_925beb81f38b</v>
      </c>
      <c r="O249" s="8" t="s">
        <v>1721</v>
      </c>
      <c r="P249" s="8"/>
      <c r="Q249" s="8" t="str">
        <f t="shared" si="8"/>
        <v/>
      </c>
      <c r="R249" s="8" t="s">
        <v>1721</v>
      </c>
      <c r="S249" s="8" t="s">
        <v>1721</v>
      </c>
      <c r="T249" s="8" t="s">
        <v>1721</v>
      </c>
      <c r="U249" s="8" t="s">
        <v>1721</v>
      </c>
      <c r="V249" s="8" t="s">
        <v>1731</v>
      </c>
      <c r="W249" s="8" t="s">
        <v>1180</v>
      </c>
      <c r="X249" s="8" t="s">
        <v>1721</v>
      </c>
      <c r="Y249" s="8" t="s">
        <v>1721</v>
      </c>
      <c r="Z249" s="18">
        <f t="shared" si="7"/>
        <v>1</v>
      </c>
      <c r="AA249" s="8"/>
      <c r="AB249" s="7"/>
      <c r="AC249" s="7"/>
      <c r="AD249" s="8" t="s">
        <v>1721</v>
      </c>
      <c r="AE249" s="8" t="s">
        <v>1727</v>
      </c>
      <c r="AF249" s="8" t="s">
        <v>1727</v>
      </c>
      <c r="AG249" s="8"/>
      <c r="AH249" s="47"/>
      <c r="AI249" s="47">
        <f>VLOOKUP(B249,'Components Usage'!A$2:C$603,3,FALSE)</f>
        <v>1</v>
      </c>
      <c r="AJ249" s="28" t="s">
        <v>2401</v>
      </c>
    </row>
    <row r="250" spans="1:36" hidden="1" x14ac:dyDescent="0.25">
      <c r="A250" s="16" t="str">
        <f>'Components Data Source'!A250</f>
        <v>Digital Potentiometer (MCP44XX)</v>
      </c>
      <c r="B250" s="8" t="str">
        <f>'Components Data Source'!B250</f>
        <v>3A3A0802-42B6-4C31-8983-4D043B70B443</v>
      </c>
      <c r="C250" s="8" t="str">
        <f>'Components Data Source'!C250</f>
        <v>MCP44XX.fcpx</v>
      </c>
      <c r="D250" s="8" t="str">
        <f>'Components Data Source'!D250</f>
        <v>Components\IO_Source\outputs\MCP44xx_Digital_Pot.fcfx</v>
      </c>
      <c r="E250" s="8" t="str">
        <f>'Components Data Source'!E250</f>
        <v>COMMSA</v>
      </c>
      <c r="F250" s="8" t="str">
        <f>'Components Data Source'!F250</f>
        <v>ANALOG OUTPUT</v>
      </c>
      <c r="G250" s="8">
        <f>'Components Data Source'!G250</f>
        <v>0</v>
      </c>
      <c r="H250" s="8">
        <f>'Components Data Source'!H250</f>
        <v>0</v>
      </c>
      <c r="I250" s="8" t="str">
        <f>'Components Data Source'!I250</f>
        <v xml:space="preserve">I2C </v>
      </c>
      <c r="J250" s="8">
        <f>'Components Data Source'!J250</f>
        <v>1</v>
      </c>
      <c r="K250" s="8">
        <f>'Components Data Source'!K250</f>
        <v>1</v>
      </c>
      <c r="L250" s="8">
        <f>'Components Data Source'!L250</f>
        <v>0</v>
      </c>
      <c r="M250" s="8" t="s">
        <v>1727</v>
      </c>
      <c r="N250" s="17" t="str">
        <f>HYPERLINK('Components Data Source'!M250)</f>
        <v>https://www.flowcode.co.uk/wiki/index.php?title=Component:_ID_3a3a0802_42b6_4c31_8983_4d043b70b443</v>
      </c>
      <c r="O250" s="8" t="s">
        <v>1721</v>
      </c>
      <c r="P250" s="8"/>
      <c r="Q250" s="8" t="str">
        <f t="shared" si="8"/>
        <v/>
      </c>
      <c r="R250" s="8" t="s">
        <v>1721</v>
      </c>
      <c r="S250" s="8" t="s">
        <v>1721</v>
      </c>
      <c r="T250" s="8" t="s">
        <v>1721</v>
      </c>
      <c r="U250" s="8" t="s">
        <v>1721</v>
      </c>
      <c r="V250" s="8" t="s">
        <v>1731</v>
      </c>
      <c r="W250" s="8" t="s">
        <v>1175</v>
      </c>
      <c r="X250" s="8" t="s">
        <v>1721</v>
      </c>
      <c r="Y250" s="8" t="s">
        <v>1721</v>
      </c>
      <c r="Z250" s="18">
        <f t="shared" si="7"/>
        <v>1</v>
      </c>
      <c r="AA250" s="8"/>
      <c r="AB250" s="7"/>
      <c r="AC250" s="7"/>
      <c r="AD250" s="8" t="s">
        <v>1721</v>
      </c>
      <c r="AE250" s="8" t="s">
        <v>1727</v>
      </c>
      <c r="AF250" s="8" t="s">
        <v>1727</v>
      </c>
      <c r="AG250" s="8"/>
      <c r="AH250" s="47"/>
      <c r="AI250" s="47">
        <f>VLOOKUP(B250,'Components Usage'!A$2:C$603,3,FALSE)</f>
        <v>0</v>
      </c>
      <c r="AJ250" s="28" t="s">
        <v>2401</v>
      </c>
    </row>
    <row r="251" spans="1:36" hidden="1" x14ac:dyDescent="0.25">
      <c r="A251" s="16" t="str">
        <f>'Components Data Source'!A251</f>
        <v>Digital Potentiometer (MCP45XX / MCP46XX)</v>
      </c>
      <c r="B251" s="8" t="str">
        <f>'Components Data Source'!B251</f>
        <v>A69BF9B3-272E-44B3-A47D-22F53C3C0804</v>
      </c>
      <c r="C251" s="8" t="str">
        <f>'Components Data Source'!C251</f>
        <v>MCP45XX.fcpx</v>
      </c>
      <c r="D251" s="8" t="str">
        <f>'Components Data Source'!D251</f>
        <v>Components\IO_Source\outputs\MCP45xx_46xx_Digital_Pot.fcfx</v>
      </c>
      <c r="E251" s="8" t="str">
        <f>'Components Data Source'!E251</f>
        <v>COMMSA</v>
      </c>
      <c r="F251" s="8" t="str">
        <f>'Components Data Source'!F251</f>
        <v>ANALOG OUTPUT</v>
      </c>
      <c r="G251" s="8">
        <f>'Components Data Source'!G251</f>
        <v>0</v>
      </c>
      <c r="H251" s="8">
        <f>'Components Data Source'!H251</f>
        <v>0</v>
      </c>
      <c r="I251" s="8" t="str">
        <f>'Components Data Source'!I251</f>
        <v xml:space="preserve">I2C </v>
      </c>
      <c r="J251" s="8">
        <f>'Components Data Source'!J251</f>
        <v>1</v>
      </c>
      <c r="K251" s="8">
        <f>'Components Data Source'!K251</f>
        <v>1</v>
      </c>
      <c r="L251" s="8">
        <f>'Components Data Source'!L251</f>
        <v>0</v>
      </c>
      <c r="M251" s="8" t="s">
        <v>1727</v>
      </c>
      <c r="N251" s="17" t="str">
        <f>HYPERLINK('Components Data Source'!M251)</f>
        <v>https://www.flowcode.co.uk/wiki/index.php?title=Component:_ID_a69bf9b3_272e_44b3_a47d_22f53c3c0804</v>
      </c>
      <c r="O251" s="8" t="s">
        <v>1721</v>
      </c>
      <c r="P251" s="8"/>
      <c r="Q251" s="8" t="str">
        <f t="shared" si="8"/>
        <v/>
      </c>
      <c r="R251" s="8" t="s">
        <v>1721</v>
      </c>
      <c r="S251" s="8" t="s">
        <v>1721</v>
      </c>
      <c r="T251" s="8" t="s">
        <v>1721</v>
      </c>
      <c r="U251" s="8" t="s">
        <v>1721</v>
      </c>
      <c r="V251" s="8" t="s">
        <v>1731</v>
      </c>
      <c r="W251" s="8" t="s">
        <v>1175</v>
      </c>
      <c r="X251" s="8" t="s">
        <v>1721</v>
      </c>
      <c r="Y251" s="8" t="s">
        <v>1721</v>
      </c>
      <c r="Z251" s="18">
        <f t="shared" si="7"/>
        <v>1</v>
      </c>
      <c r="AA251" s="8"/>
      <c r="AB251" s="7"/>
      <c r="AC251" s="7"/>
      <c r="AD251" s="8" t="s">
        <v>1721</v>
      </c>
      <c r="AE251" s="8" t="s">
        <v>1727</v>
      </c>
      <c r="AF251" s="8" t="s">
        <v>1727</v>
      </c>
      <c r="AG251" s="8"/>
      <c r="AH251" s="47"/>
      <c r="AI251" s="47">
        <f>VLOOKUP(B251,'Components Usage'!A$2:C$603,3,FALSE)</f>
        <v>0</v>
      </c>
      <c r="AJ251" s="28" t="s">
        <v>2401</v>
      </c>
    </row>
    <row r="252" spans="1:36" hidden="1" x14ac:dyDescent="0.25">
      <c r="A252" s="16" t="str">
        <f>'Components Data Source'!A252</f>
        <v>Thermocouple( MCP960X)</v>
      </c>
      <c r="B252" s="8" t="str">
        <f>'Components Data Source'!B252</f>
        <v>60DE8264-7FAF-4F77-904E-69BB19909BA8</v>
      </c>
      <c r="C252" s="8" t="str">
        <f>'Components Data Source'!C252</f>
        <v>MCP960X_Thermocouple.fcpx</v>
      </c>
      <c r="D252" s="8" t="str">
        <f>'Components Data Source'!D252</f>
        <v>Components\IO_Source\Sensors\ThermocoupleMCP960X.fcfx</v>
      </c>
      <c r="E252" s="8" t="str">
        <f>'Components Data Source'!E252</f>
        <v>SENSORS</v>
      </c>
      <c r="F252" s="8" t="str">
        <f>'Components Data Source'!F252</f>
        <v>ENVIRONMENTAL</v>
      </c>
      <c r="G252" s="8">
        <f>'Components Data Source'!G252</f>
        <v>0</v>
      </c>
      <c r="H252" s="8">
        <f>'Components Data Source'!H252</f>
        <v>0</v>
      </c>
      <c r="I252" s="8" t="str">
        <f>'Components Data Source'!I252</f>
        <v xml:space="preserve">I2C </v>
      </c>
      <c r="J252" s="8">
        <f>'Components Data Source'!J252</f>
        <v>1</v>
      </c>
      <c r="K252" s="8">
        <f>'Components Data Source'!K252</f>
        <v>1</v>
      </c>
      <c r="L252" s="8">
        <f>'Components Data Source'!L252</f>
        <v>1</v>
      </c>
      <c r="M252" s="8" t="s">
        <v>1727</v>
      </c>
      <c r="N252" s="17" t="str">
        <f>HYPERLINK('Components Data Source'!M252)</f>
        <v>https://www.flowcode.co.uk/wiki/index.php?title=Component:_ID_60de8264_7faf_4f77_904e_69bb19909ba8</v>
      </c>
      <c r="O252" s="8" t="s">
        <v>1721</v>
      </c>
      <c r="P252" s="8"/>
      <c r="Q252" s="8" t="str">
        <f t="shared" si="8"/>
        <v/>
      </c>
      <c r="R252" s="8" t="s">
        <v>1721</v>
      </c>
      <c r="S252" s="8" t="s">
        <v>1721</v>
      </c>
      <c r="T252" s="8"/>
      <c r="U252" s="8"/>
      <c r="V252" s="8" t="s">
        <v>1731</v>
      </c>
      <c r="W252" s="8" t="s">
        <v>1175</v>
      </c>
      <c r="X252" s="8" t="s">
        <v>1721</v>
      </c>
      <c r="Y252" s="8" t="s">
        <v>1721</v>
      </c>
      <c r="Z252" s="18">
        <f t="shared" si="7"/>
        <v>1</v>
      </c>
      <c r="AA252" s="8"/>
      <c r="AB252" s="7"/>
      <c r="AC252" s="7"/>
      <c r="AD252" s="8" t="s">
        <v>1721</v>
      </c>
      <c r="AE252" s="8" t="s">
        <v>1721</v>
      </c>
      <c r="AF252" s="8" t="s">
        <v>1727</v>
      </c>
      <c r="AG252" s="8"/>
      <c r="AH252" s="47"/>
      <c r="AI252" s="47">
        <f>VLOOKUP(B252,'Components Usage'!A$2:C$603,3,FALSE)</f>
        <v>0</v>
      </c>
      <c r="AJ252" s="28" t="s">
        <v>2401</v>
      </c>
    </row>
    <row r="253" spans="1:36" x14ac:dyDescent="0.25">
      <c r="A253" s="16" t="str">
        <f>'Components Data Source'!A253</f>
        <v>MIAC USB Slave API (PIC)</v>
      </c>
      <c r="B253" s="8" t="str">
        <f>'Components Data Source'!B253</f>
        <v>EABEDA20-432C-4554-80B3-5851D675A9E7</v>
      </c>
      <c r="C253" s="8" t="str">
        <f>'Components Data Source'!C253</f>
        <v>MIACSlave.fcpx</v>
      </c>
      <c r="D253" s="8" t="str">
        <f>'Components Data Source'!D253</f>
        <v>Components\IO_Source\MIAC_Slave.fcsx</v>
      </c>
      <c r="E253" s="8" t="str">
        <f>'Components Data Source'!E253</f>
        <v>FREE</v>
      </c>
      <c r="F253" s="8" t="str">
        <f>'Components Data Source'!F253</f>
        <v>ALLCODE</v>
      </c>
      <c r="G253" s="8">
        <f>'Components Data Source'!G253</f>
        <v>0</v>
      </c>
      <c r="H253" s="8">
        <f>'Components Data Source'!H253</f>
        <v>0</v>
      </c>
      <c r="I253" s="8" t="str">
        <f>'Components Data Source'!I253</f>
        <v xml:space="preserve">USB </v>
      </c>
      <c r="J253" s="8">
        <f>'Components Data Source'!J253</f>
        <v>1</v>
      </c>
      <c r="K253" s="8">
        <f>'Components Data Source'!K253</f>
        <v>0</v>
      </c>
      <c r="L253" s="8">
        <f>'Components Data Source'!L253</f>
        <v>1</v>
      </c>
      <c r="M253" s="8" t="s">
        <v>1727</v>
      </c>
      <c r="N253" s="17" t="str">
        <f>HYPERLINK('Components Data Source'!M253)</f>
        <v>https://www.flowcode.co.uk/wiki/index.php?title=Component:_ID_eabeda20_432c_4554_80b3_5851d675a9e7</v>
      </c>
      <c r="O253" s="8" t="s">
        <v>1721</v>
      </c>
      <c r="P253" s="8"/>
      <c r="Q253" s="8">
        <f t="shared" si="8"/>
        <v>1</v>
      </c>
      <c r="R253" s="1" t="s">
        <v>1721</v>
      </c>
      <c r="S253" s="1" t="s">
        <v>1721</v>
      </c>
      <c r="T253" s="1" t="s">
        <v>1727</v>
      </c>
      <c r="U253" s="1" t="s">
        <v>1721</v>
      </c>
      <c r="V253" s="1" t="s">
        <v>1734</v>
      </c>
      <c r="W253" s="1" t="s">
        <v>1731</v>
      </c>
      <c r="X253" s="1" t="s">
        <v>1721</v>
      </c>
      <c r="Y253" s="8" t="s">
        <v>1721</v>
      </c>
      <c r="Z253" s="18">
        <f t="shared" si="7"/>
        <v>1</v>
      </c>
      <c r="AA253" s="8"/>
      <c r="AB253" s="6" t="s">
        <v>2449</v>
      </c>
      <c r="AC253" s="7"/>
      <c r="AD253" s="8" t="s">
        <v>1721</v>
      </c>
      <c r="AE253" s="8" t="s">
        <v>1721</v>
      </c>
      <c r="AF253" s="8" t="s">
        <v>2401</v>
      </c>
      <c r="AG253" s="8"/>
      <c r="AH253" s="47"/>
      <c r="AI253" s="47">
        <f>VLOOKUP(B253,'Components Usage'!A$2:C$603,3,FALSE)</f>
        <v>0</v>
      </c>
      <c r="AJ253" s="28" t="s">
        <v>2401</v>
      </c>
    </row>
    <row r="254" spans="1:36" x14ac:dyDescent="0.25">
      <c r="A254" s="16" t="str">
        <f>'Components Data Source'!A254</f>
        <v>MIAC AllCode API (dsPIC)</v>
      </c>
      <c r="B254" s="8" t="str">
        <f>'Components Data Source'!B254</f>
        <v>482486A9-7207-4B46-9E63-5C459534AB19</v>
      </c>
      <c r="C254" s="8" t="str">
        <f>'Components Data Source'!C254</f>
        <v>MIAC_AllCode.fcpx</v>
      </c>
      <c r="D254" s="8" t="str">
        <f>'Components Data Source'!D254</f>
        <v>Components\IO_Source\MIAC AllCode\MIAC_AllCode_Component_Source.fcsx</v>
      </c>
      <c r="E254" s="8" t="str">
        <f>'Components Data Source'!E254</f>
        <v>FREE</v>
      </c>
      <c r="F254" s="8" t="str">
        <f>'Components Data Source'!F254</f>
        <v>ALLCODE</v>
      </c>
      <c r="G254" s="8">
        <f>'Components Data Source'!G254</f>
        <v>0</v>
      </c>
      <c r="H254" s="8">
        <f>'Components Data Source'!H254</f>
        <v>0</v>
      </c>
      <c r="I254" s="8">
        <f>'Components Data Source'!I254</f>
        <v>0</v>
      </c>
      <c r="J254" s="8">
        <f>'Components Data Source'!J254</f>
        <v>1</v>
      </c>
      <c r="K254" s="8">
        <f>'Components Data Source'!K254</f>
        <v>0</v>
      </c>
      <c r="L254" s="8">
        <f>'Components Data Source'!L254</f>
        <v>1</v>
      </c>
      <c r="M254" s="8" t="s">
        <v>1727</v>
      </c>
      <c r="N254" s="17" t="str">
        <f>HYPERLINK('Components Data Source'!M254)</f>
        <v>https://www.flowcode.co.uk/wiki/index.php?title=Component:_ID_482486a9_7207_4b46_9e63_5c459534ab19</v>
      </c>
      <c r="O254" s="8" t="s">
        <v>1721</v>
      </c>
      <c r="P254" s="8"/>
      <c r="Q254" s="8">
        <f t="shared" si="8"/>
        <v>1</v>
      </c>
      <c r="R254" s="1" t="s">
        <v>1721</v>
      </c>
      <c r="S254" s="1" t="s">
        <v>1721</v>
      </c>
      <c r="T254" s="1" t="s">
        <v>1721</v>
      </c>
      <c r="U254" s="1" t="s">
        <v>1721</v>
      </c>
      <c r="V254" s="1" t="s">
        <v>1734</v>
      </c>
      <c r="W254" s="1" t="s">
        <v>1731</v>
      </c>
      <c r="X254" s="1" t="s">
        <v>1721</v>
      </c>
      <c r="Y254" s="8" t="s">
        <v>1721</v>
      </c>
      <c r="Z254" s="18">
        <f t="shared" si="7"/>
        <v>1</v>
      </c>
      <c r="AA254" s="8"/>
      <c r="AB254" s="7"/>
      <c r="AC254" s="7"/>
      <c r="AD254" s="8" t="s">
        <v>1721</v>
      </c>
      <c r="AE254" s="8" t="s">
        <v>1721</v>
      </c>
      <c r="AF254" s="8" t="s">
        <v>2401</v>
      </c>
      <c r="AG254" s="8"/>
      <c r="AH254" s="47"/>
      <c r="AI254" s="47">
        <f>VLOOKUP(B254,'Components Usage'!A$2:C$603,3,FALSE)</f>
        <v>2</v>
      </c>
      <c r="AJ254" s="28" t="s">
        <v>2401</v>
      </c>
    </row>
    <row r="255" spans="1:36" x14ac:dyDescent="0.25">
      <c r="A255" s="16" t="str">
        <f>'Components Data Source'!A255</f>
        <v>Accel / Gyro 6-Axis(MPU-6050)</v>
      </c>
      <c r="B255" s="8" t="str">
        <f>'Components Data Source'!B255</f>
        <v>75A362F4-D74D-48E7-9790-530F4D0E78B6</v>
      </c>
      <c r="C255" s="8" t="str">
        <f>'Components Data Source'!C255</f>
        <v>MPU6050.fcpx</v>
      </c>
      <c r="D255" s="8" t="str">
        <f>'Components Data Source'!D255</f>
        <v>Components\IO_Source\Sensors\MPU-6050.fcfx</v>
      </c>
      <c r="E255" s="8" t="str">
        <f>'Components Data Source'!E255</f>
        <v>FREE</v>
      </c>
      <c r="F255" s="8" t="str">
        <f>'Components Data Source'!F255</f>
        <v>MOVEMENT &amp;AMP; ORIENTATION</v>
      </c>
      <c r="G255" s="8">
        <f>'Components Data Source'!G255</f>
        <v>0</v>
      </c>
      <c r="H255" s="8">
        <f>'Components Data Source'!H255</f>
        <v>0</v>
      </c>
      <c r="I255" s="8" t="str">
        <f>'Components Data Source'!I255</f>
        <v xml:space="preserve">I2C </v>
      </c>
      <c r="J255" s="8">
        <f>'Components Data Source'!J255</f>
        <v>1</v>
      </c>
      <c r="K255" s="8">
        <f>'Components Data Source'!K255</f>
        <v>1</v>
      </c>
      <c r="L255" s="8">
        <f>'Components Data Source'!L255</f>
        <v>1</v>
      </c>
      <c r="M255" s="8" t="s">
        <v>1727</v>
      </c>
      <c r="N255" s="17" t="str">
        <f>HYPERLINK('Components Data Source'!M255)</f>
        <v>https://www.flowcode.co.uk/wiki/index.php?title=Component:_ID_75a362f4_d74d_48e7_9790_530f4d0e78b6</v>
      </c>
      <c r="O255" s="8" t="s">
        <v>1721</v>
      </c>
      <c r="P255" s="8" t="s">
        <v>2775</v>
      </c>
      <c r="Q255" s="8" t="str">
        <f t="shared" si="8"/>
        <v/>
      </c>
      <c r="R255" s="8" t="s">
        <v>1721</v>
      </c>
      <c r="S255" s="8" t="s">
        <v>1721</v>
      </c>
      <c r="T255" s="8" t="s">
        <v>1721</v>
      </c>
      <c r="U255" s="8" t="s">
        <v>1721</v>
      </c>
      <c r="V255" s="8" t="s">
        <v>1731</v>
      </c>
      <c r="W255" s="8" t="s">
        <v>1175</v>
      </c>
      <c r="X255" s="8" t="s">
        <v>1721</v>
      </c>
      <c r="Y255" s="8" t="s">
        <v>1721</v>
      </c>
      <c r="Z255" s="18">
        <f t="shared" si="7"/>
        <v>1</v>
      </c>
      <c r="AA255" s="8"/>
      <c r="AB255" s="7" t="s">
        <v>2403</v>
      </c>
      <c r="AC255" s="7"/>
      <c r="AD255" s="8" t="s">
        <v>1721</v>
      </c>
      <c r="AE255" s="8" t="s">
        <v>1727</v>
      </c>
      <c r="AF255" s="8" t="s">
        <v>1727</v>
      </c>
      <c r="AG255" s="8"/>
      <c r="AH255" s="47"/>
      <c r="AI255" s="47">
        <f>VLOOKUP(B255,'Components Usage'!A$2:C$603,3,FALSE)</f>
        <v>4</v>
      </c>
      <c r="AJ255" s="28" t="s">
        <v>2401</v>
      </c>
    </row>
    <row r="256" spans="1:36" x14ac:dyDescent="0.25">
      <c r="A256" s="16" t="str">
        <f>'Components Data Source'!A256</f>
        <v>Accel / Gyro 6-Axis(MPU-6886)</v>
      </c>
      <c r="B256" s="8" t="str">
        <f>'Components Data Source'!B256</f>
        <v>D950CF7C-F9FC-49BA-A486-0D45B6AFD1AA</v>
      </c>
      <c r="C256" s="8" t="str">
        <f>'Components Data Source'!C256</f>
        <v>MPU6886.fcpx</v>
      </c>
      <c r="D256" s="8" t="str">
        <f>'Components Data Source'!D256</f>
        <v>Components\IO_Source\Sensors\MPU-6886.fcfx</v>
      </c>
      <c r="E256" s="8" t="str">
        <f>'Components Data Source'!E256</f>
        <v>FREE</v>
      </c>
      <c r="F256" s="8" t="str">
        <f>'Components Data Source'!F256</f>
        <v>MOVEMENT &amp;AMP; ORIENTATION</v>
      </c>
      <c r="G256" s="8">
        <f>'Components Data Source'!G256</f>
        <v>0</v>
      </c>
      <c r="H256" s="8">
        <f>'Components Data Source'!H256</f>
        <v>0</v>
      </c>
      <c r="I256" s="8" t="str">
        <f>'Components Data Source'!I256</f>
        <v xml:space="preserve">I2C </v>
      </c>
      <c r="J256" s="8">
        <f>'Components Data Source'!J256</f>
        <v>1</v>
      </c>
      <c r="K256" s="8">
        <f>'Components Data Source'!K256</f>
        <v>1</v>
      </c>
      <c r="L256" s="8">
        <f>'Components Data Source'!L256</f>
        <v>1</v>
      </c>
      <c r="M256" s="8" t="s">
        <v>1727</v>
      </c>
      <c r="N256" s="17" t="str">
        <f>HYPERLINK('Components Data Source'!M256)</f>
        <v>https://www.flowcode.co.uk/wiki/index.php?title=Component:_ID_d950cf7c_f9fc_49ba_a486_0d45b6afd1aa</v>
      </c>
      <c r="O256" s="8" t="s">
        <v>1721</v>
      </c>
      <c r="P256" s="8" t="s">
        <v>2774</v>
      </c>
      <c r="Q256" s="8" t="str">
        <f t="shared" si="8"/>
        <v/>
      </c>
      <c r="R256" s="8" t="s">
        <v>1721</v>
      </c>
      <c r="S256" s="8" t="s">
        <v>1721</v>
      </c>
      <c r="T256" s="8" t="s">
        <v>1721</v>
      </c>
      <c r="U256" s="8" t="s">
        <v>1721</v>
      </c>
      <c r="V256" s="8" t="s">
        <v>1731</v>
      </c>
      <c r="W256" s="8" t="s">
        <v>1175</v>
      </c>
      <c r="X256" s="8" t="s">
        <v>1721</v>
      </c>
      <c r="Y256" s="8" t="s">
        <v>1721</v>
      </c>
      <c r="Z256" s="18">
        <f t="shared" si="7"/>
        <v>1</v>
      </c>
      <c r="AA256" s="8"/>
      <c r="AB256" s="7" t="s">
        <v>2404</v>
      </c>
      <c r="AC256" s="7"/>
      <c r="AD256" s="8" t="s">
        <v>1727</v>
      </c>
      <c r="AE256" s="8"/>
      <c r="AF256" s="8"/>
      <c r="AG256" s="8"/>
      <c r="AH256" s="47"/>
      <c r="AI256" s="47">
        <f>VLOOKUP(B256,'Components Usage'!A$2:C$603,3,FALSE)</f>
        <v>0</v>
      </c>
      <c r="AJ256" s="28"/>
    </row>
    <row r="257" spans="1:36" hidden="1" x14ac:dyDescent="0.25">
      <c r="A257" s="16" t="str">
        <f>'Components Data Source'!A257</f>
        <v>Accel / Gyro / Mag 9-Axis(MPU9250)</v>
      </c>
      <c r="B257" s="8" t="str">
        <f>'Components Data Source'!B257</f>
        <v>5D2C6406-E3AA-46BD-8144-57F60194A1E9</v>
      </c>
      <c r="C257" s="8" t="str">
        <f>'Components Data Source'!C257</f>
        <v>MPU9250_AccelGyroMagnet.fcpx</v>
      </c>
      <c r="D257" s="8" t="str">
        <f>'Components Data Source'!D257</f>
        <v>Components\IO_Source\Sensors\AccelMagGyro_MPU9250.fcfx</v>
      </c>
      <c r="E257" s="8" t="str">
        <f>'Components Data Source'!E257</f>
        <v>SENSORS</v>
      </c>
      <c r="F257" s="8" t="str">
        <f>'Components Data Source'!F257</f>
        <v>MOVEMENT &amp;AMP; ORIENTATION</v>
      </c>
      <c r="G257" s="8">
        <f>'Components Data Source'!G257</f>
        <v>0</v>
      </c>
      <c r="H257" s="8">
        <f>'Components Data Source'!H257</f>
        <v>0</v>
      </c>
      <c r="I257" s="8" t="str">
        <f>'Components Data Source'!I257</f>
        <v xml:space="preserve">I2C </v>
      </c>
      <c r="J257" s="8">
        <f>'Components Data Source'!J257</f>
        <v>1</v>
      </c>
      <c r="K257" s="8">
        <f>'Components Data Source'!K257</f>
        <v>1</v>
      </c>
      <c r="L257" s="8">
        <f>'Components Data Source'!L257</f>
        <v>1</v>
      </c>
      <c r="M257" s="8" t="s">
        <v>1727</v>
      </c>
      <c r="N257" s="17" t="str">
        <f>HYPERLINK('Components Data Source'!M257)</f>
        <v>https://www.flowcode.co.uk/wiki/index.php?title=Component:_ID_5d2c6406_e3aa_46bd_8144_57f60194a1e9</v>
      </c>
      <c r="O257" s="8" t="s">
        <v>1721</v>
      </c>
      <c r="P257" s="8" t="s">
        <v>2774</v>
      </c>
      <c r="Q257" s="8" t="str">
        <f t="shared" si="8"/>
        <v/>
      </c>
      <c r="R257" s="8" t="s">
        <v>1721</v>
      </c>
      <c r="S257" s="8" t="s">
        <v>1721</v>
      </c>
      <c r="T257" s="8" t="s">
        <v>1721</v>
      </c>
      <c r="U257" s="8" t="s">
        <v>1721</v>
      </c>
      <c r="V257" s="8" t="s">
        <v>1731</v>
      </c>
      <c r="W257" s="8" t="s">
        <v>1175</v>
      </c>
      <c r="X257" s="8" t="s">
        <v>1721</v>
      </c>
      <c r="Y257" s="8" t="s">
        <v>2401</v>
      </c>
      <c r="Z257" s="18">
        <f t="shared" si="7"/>
        <v>3</v>
      </c>
      <c r="AA257" s="8"/>
      <c r="AB257" s="7" t="s">
        <v>2417</v>
      </c>
      <c r="AC257" s="7"/>
      <c r="AD257" s="8" t="s">
        <v>1721</v>
      </c>
      <c r="AE257" s="8" t="s">
        <v>1727</v>
      </c>
      <c r="AF257" s="8" t="s">
        <v>1727</v>
      </c>
      <c r="AG257" s="8"/>
      <c r="AH257" s="47"/>
      <c r="AI257" s="47">
        <f>VLOOKUP(B257,'Components Usage'!A$2:C$603,3,FALSE)</f>
        <v>4</v>
      </c>
      <c r="AJ257" s="28" t="s">
        <v>2401</v>
      </c>
    </row>
    <row r="258" spans="1:36" hidden="1" x14ac:dyDescent="0.25">
      <c r="A258" s="16" t="str">
        <f>'Components Data Source'!A258</f>
        <v>MQTT Client</v>
      </c>
      <c r="B258" s="8" t="str">
        <f>'Components Data Source'!B258</f>
        <v>459C9CFB-82E3-40AD-9456-54FC40BA5E6C</v>
      </c>
      <c r="C258" s="8" t="str">
        <f>'Components Data Source'!C258</f>
        <v>MQTT_Client.fcpx</v>
      </c>
      <c r="D258" s="8" t="str">
        <f>'Components Data Source'!D258</f>
        <v>Components\IO_Source\IoT\MQTT_Client.fcfx</v>
      </c>
      <c r="E258" s="8" t="str">
        <f>'Components Data Source'!E258</f>
        <v>COMMSC</v>
      </c>
      <c r="F258" s="8" t="str">
        <f>'Components Data Source'!F258</f>
        <v>COMMS: IOT/CLOUD</v>
      </c>
      <c r="G258" s="8">
        <f>'Components Data Source'!G258</f>
        <v>0</v>
      </c>
      <c r="H258" s="8">
        <f>'Components Data Source'!H258</f>
        <v>0</v>
      </c>
      <c r="I258" s="8">
        <f>'Components Data Source'!I258</f>
        <v>0</v>
      </c>
      <c r="J258" s="8">
        <f>'Components Data Source'!J258</f>
        <v>1</v>
      </c>
      <c r="K258" s="8">
        <f>'Components Data Source'!K258</f>
        <v>1</v>
      </c>
      <c r="L258" s="8">
        <f>'Components Data Source'!L258</f>
        <v>1</v>
      </c>
      <c r="M258" s="8" t="s">
        <v>1727</v>
      </c>
      <c r="N258" s="17" t="str">
        <f>HYPERLINK('Components Data Source'!M258)</f>
        <v>https://www.flowcode.co.uk/wiki/index.php?title=Component:_ID_459c9cfb_82e3_40ad_9456_54fc40ba5e6c</v>
      </c>
      <c r="O258" s="8" t="s">
        <v>1721</v>
      </c>
      <c r="P258" s="8"/>
      <c r="Q258" s="8" t="str">
        <f t="shared" si="8"/>
        <v/>
      </c>
      <c r="R258" s="1" t="s">
        <v>1721</v>
      </c>
      <c r="S258" s="1" t="s">
        <v>1721</v>
      </c>
      <c r="T258" s="1" t="s">
        <v>1727</v>
      </c>
      <c r="U258" s="1" t="s">
        <v>1721</v>
      </c>
      <c r="V258" s="1" t="s">
        <v>1731</v>
      </c>
      <c r="W258" s="1" t="s">
        <v>1732</v>
      </c>
      <c r="X258" s="1" t="s">
        <v>1721</v>
      </c>
      <c r="Y258" s="8" t="s">
        <v>1727</v>
      </c>
      <c r="Z258" s="18">
        <f t="shared" ref="Z258:Z321" si="9">IF(AND(R258="Y",Y258="Y"),1,IF(R258="N",2,IF(R258="",4,IF(Y258="A",3,0))))</f>
        <v>0</v>
      </c>
      <c r="AA258" s="8" t="s">
        <v>1721</v>
      </c>
      <c r="AB258" s="7" t="s">
        <v>2923</v>
      </c>
      <c r="AC258" s="7"/>
      <c r="AD258" s="8" t="s">
        <v>1721</v>
      </c>
      <c r="AE258" s="8" t="s">
        <v>1721</v>
      </c>
      <c r="AF258" s="8" t="s">
        <v>2401</v>
      </c>
      <c r="AG258" s="8"/>
      <c r="AH258" s="47"/>
      <c r="AI258" s="47">
        <f>VLOOKUP(B258,'Components Usage'!A$2:C$603,3,FALSE)</f>
        <v>37</v>
      </c>
      <c r="AJ258" s="28" t="s">
        <v>2401</v>
      </c>
    </row>
    <row r="259" spans="1:36" x14ac:dyDescent="0.25">
      <c r="A259" s="16" t="str">
        <f>'Components Data Source'!A259</f>
        <v>MULTIUART(SPI2UART)</v>
      </c>
      <c r="B259" s="8" t="str">
        <f>'Components Data Source'!B259</f>
        <v>43861ADB-8A59-492D-8F9F-A08775800BC1</v>
      </c>
      <c r="C259" s="8" t="str">
        <f>'Components Data Source'!C259</f>
        <v>MULTIUART.fcpx</v>
      </c>
      <c r="D259" s="8" t="str">
        <f>'Components Data Source'!D259</f>
        <v>Components\IO_Source\RowlandTech\MULTIUART.fcfx</v>
      </c>
      <c r="E259" s="8" t="str">
        <f>'Components Data Source'!E259</f>
        <v>FREE</v>
      </c>
      <c r="F259" s="8" t="str">
        <f>'Components Data Source'!F259</f>
        <v>COMMS: SYSTEM</v>
      </c>
      <c r="G259" s="8">
        <f>'Components Data Source'!G259</f>
        <v>0</v>
      </c>
      <c r="H259" s="8">
        <f>'Components Data Source'!H259</f>
        <v>0</v>
      </c>
      <c r="I259" s="8" t="str">
        <f>'Components Data Source'!I259</f>
        <v xml:space="preserve">SPI </v>
      </c>
      <c r="J259" s="8">
        <f>'Components Data Source'!J259</f>
        <v>1</v>
      </c>
      <c r="K259" s="8">
        <f>'Components Data Source'!K259</f>
        <v>1</v>
      </c>
      <c r="L259" s="8">
        <f>'Components Data Source'!L259</f>
        <v>1</v>
      </c>
      <c r="M259" s="8" t="s">
        <v>1727</v>
      </c>
      <c r="N259" s="17" t="str">
        <f>HYPERLINK('Components Data Source'!M259)</f>
        <v>https://www.flowcode.co.uk/wiki/index.php?title=Component:_ID_43861adb_8a59_492d_8f9f_a08775800bc1</v>
      </c>
      <c r="O259" s="8" t="s">
        <v>1721</v>
      </c>
      <c r="P259" s="8"/>
      <c r="Q259" s="8" t="str">
        <f t="shared" si="8"/>
        <v/>
      </c>
      <c r="R259" s="1" t="s">
        <v>1721</v>
      </c>
      <c r="S259" s="1" t="s">
        <v>1721</v>
      </c>
      <c r="T259" s="1" t="s">
        <v>1721</v>
      </c>
      <c r="U259" s="1" t="s">
        <v>1721</v>
      </c>
      <c r="V259" s="1" t="s">
        <v>1731</v>
      </c>
      <c r="W259" s="1" t="s">
        <v>1180</v>
      </c>
      <c r="X259" s="1" t="s">
        <v>1721</v>
      </c>
      <c r="Y259" s="8" t="s">
        <v>1721</v>
      </c>
      <c r="Z259" s="18">
        <f t="shared" si="9"/>
        <v>1</v>
      </c>
      <c r="AA259" s="8"/>
      <c r="AB259" s="6" t="s">
        <v>2448</v>
      </c>
      <c r="AC259" s="7"/>
      <c r="AD259" s="8" t="s">
        <v>1721</v>
      </c>
      <c r="AE259" s="8" t="s">
        <v>1721</v>
      </c>
      <c r="AF259" s="8" t="s">
        <v>1727</v>
      </c>
      <c r="AG259" s="8"/>
      <c r="AH259" s="47"/>
      <c r="AI259" s="47">
        <f>VLOOKUP(B259,'Components Usage'!A$2:C$603,3,FALSE)</f>
        <v>0</v>
      </c>
      <c r="AJ259" s="28" t="s">
        <v>2401</v>
      </c>
    </row>
    <row r="260" spans="1:36" x14ac:dyDescent="0.25">
      <c r="A260" s="16" t="str">
        <f>'Components Data Source'!A260</f>
        <v xml:space="preserve"> Map Function</v>
      </c>
      <c r="B260" s="8" t="str">
        <f>'Components Data Source'!B260</f>
        <v>CCDCE31D-A1A3-437A-88BA-5431745DDF6E</v>
      </c>
      <c r="C260" s="8" t="str">
        <f>'Components Data Source'!C260</f>
        <v>MapFunction.fcpx</v>
      </c>
      <c r="D260" s="8" t="str">
        <f>'Components Data Source'!D260</f>
        <v>Components\IO_Source\Map-Function.fcfx</v>
      </c>
      <c r="E260" s="8" t="str">
        <f>'Components Data Source'!E260</f>
        <v>FREE</v>
      </c>
      <c r="F260" s="8" t="str">
        <f>'Components Data Source'!F260</f>
        <v>STORAGE</v>
      </c>
      <c r="G260" s="8" t="str">
        <f>'Components Data Source'!G260</f>
        <v xml:space="preserve">STORAGE </v>
      </c>
      <c r="H260" s="8">
        <f>'Components Data Source'!H260</f>
        <v>0</v>
      </c>
      <c r="I260" s="8">
        <f>'Components Data Source'!I260</f>
        <v>0</v>
      </c>
      <c r="J260" s="8">
        <f>'Components Data Source'!J260</f>
        <v>1</v>
      </c>
      <c r="K260" s="8">
        <f>'Components Data Source'!K260</f>
        <v>1</v>
      </c>
      <c r="L260" s="8">
        <f>'Components Data Source'!L260</f>
        <v>1</v>
      </c>
      <c r="M260" s="8" t="s">
        <v>1727</v>
      </c>
      <c r="N260" s="17" t="str">
        <f>HYPERLINK('Components Data Source'!M260)</f>
        <v>https://www.flowcode.co.uk/wiki/index.php?title=Component:_ID_ccdce31d_a1a3_437a_88ba_5431745ddf6e</v>
      </c>
      <c r="O260" s="8" t="s">
        <v>1721</v>
      </c>
      <c r="P260" s="8" t="s">
        <v>2776</v>
      </c>
      <c r="Q260" s="8" t="str">
        <f t="shared" si="8"/>
        <v/>
      </c>
      <c r="R260" s="1" t="s">
        <v>1721</v>
      </c>
      <c r="S260" s="1" t="s">
        <v>1721</v>
      </c>
      <c r="T260" s="1" t="s">
        <v>1727</v>
      </c>
      <c r="U260" s="1" t="s">
        <v>1727</v>
      </c>
      <c r="V260" s="1" t="s">
        <v>1731</v>
      </c>
      <c r="W260" s="1" t="s">
        <v>1731</v>
      </c>
      <c r="X260" s="1" t="s">
        <v>1721</v>
      </c>
      <c r="Y260" s="8" t="s">
        <v>1721</v>
      </c>
      <c r="Z260" s="18">
        <f t="shared" si="9"/>
        <v>1</v>
      </c>
      <c r="AA260" s="8"/>
      <c r="AB260" s="6" t="s">
        <v>1736</v>
      </c>
      <c r="AC260" s="7"/>
      <c r="AD260" s="8" t="s">
        <v>1727</v>
      </c>
      <c r="AE260" s="8"/>
      <c r="AF260" s="8"/>
      <c r="AG260" s="8"/>
      <c r="AH260" s="47"/>
      <c r="AI260" s="47">
        <f>VLOOKUP(B260,'Components Usage'!A$2:C$603,3,FALSE)</f>
        <v>20</v>
      </c>
      <c r="AJ260" s="28"/>
    </row>
    <row r="261" spans="1:36" x14ac:dyDescent="0.25">
      <c r="A261" s="16" t="str">
        <f>'Components Data Source'!A261</f>
        <v>Robot Arm AllCode API</v>
      </c>
      <c r="B261" s="8" t="str">
        <f>'Components Data Source'!B261</f>
        <v>83C10DBF-A8D2-42D0-8BE5-60ADBE2D49B1</v>
      </c>
      <c r="C261" s="8" t="str">
        <f>'Components Data Source'!C261</f>
        <v>MatrixRobotArm.fcpx</v>
      </c>
      <c r="D261" s="8" t="str">
        <f>'Components Data Source'!D261</f>
        <v>Components\IO_Source\RobotARM\RA_API_Component_Source.fcsx</v>
      </c>
      <c r="E261" s="8" t="str">
        <f>'Components Data Source'!E261</f>
        <v>FREE</v>
      </c>
      <c r="F261" s="8" t="str">
        <f>'Components Data Source'!F261</f>
        <v>ALLCODE</v>
      </c>
      <c r="G261" s="8">
        <f>'Components Data Source'!G261</f>
        <v>0</v>
      </c>
      <c r="H261" s="8">
        <f>'Components Data Source'!H261</f>
        <v>0</v>
      </c>
      <c r="I261" s="8">
        <f>'Components Data Source'!I261</f>
        <v>0</v>
      </c>
      <c r="J261" s="8">
        <f>'Components Data Source'!J261</f>
        <v>1</v>
      </c>
      <c r="K261" s="8">
        <f>'Components Data Source'!K261</f>
        <v>0</v>
      </c>
      <c r="L261" s="8">
        <f>'Components Data Source'!L261</f>
        <v>1</v>
      </c>
      <c r="M261" s="8" t="s">
        <v>1727</v>
      </c>
      <c r="N261" s="17" t="str">
        <f>HYPERLINK('Components Data Source'!M261)</f>
        <v>https://www.flowcode.co.uk/wiki/index.php?title=Component:_ID_83c10dbf_a8d2_42d0_8be5_60adbe2d49b1</v>
      </c>
      <c r="O261" s="8" t="s">
        <v>1721</v>
      </c>
      <c r="P261" s="8"/>
      <c r="Q261" s="8">
        <f t="shared" si="8"/>
        <v>1</v>
      </c>
      <c r="R261" s="8" t="s">
        <v>1721</v>
      </c>
      <c r="S261" s="8" t="s">
        <v>1721</v>
      </c>
      <c r="T261" s="8" t="s">
        <v>1721</v>
      </c>
      <c r="U261" s="8" t="s">
        <v>1721</v>
      </c>
      <c r="V261" s="8" t="s">
        <v>1730</v>
      </c>
      <c r="W261" s="8" t="s">
        <v>1730</v>
      </c>
      <c r="X261" s="8"/>
      <c r="Y261" s="8"/>
      <c r="Z261" s="18">
        <f t="shared" si="9"/>
        <v>0</v>
      </c>
      <c r="AA261" s="8"/>
      <c r="AB261" s="7"/>
      <c r="AC261" s="7"/>
      <c r="AD261" s="8" t="s">
        <v>1721</v>
      </c>
      <c r="AE261" s="8" t="s">
        <v>1727</v>
      </c>
      <c r="AF261" s="8" t="s">
        <v>2401</v>
      </c>
      <c r="AG261" s="8"/>
      <c r="AH261" s="47"/>
      <c r="AI261" s="47">
        <f>VLOOKUP(B261,'Components Usage'!A$2:C$603,3,FALSE)</f>
        <v>1</v>
      </c>
      <c r="AJ261" s="28" t="s">
        <v>2401</v>
      </c>
    </row>
    <row r="262" spans="1:36" hidden="1" x14ac:dyDescent="0.25">
      <c r="A262" s="16" t="str">
        <f>'Components Data Source'!A262</f>
        <v>Maze Generator(HP458)</v>
      </c>
      <c r="B262" s="8" t="str">
        <f>'Components Data Source'!B262</f>
        <v>FC012D2F-082A-4F6F-A61B-314C46477EB2</v>
      </c>
      <c r="C262" s="8" t="str">
        <f>'Components Data Source'!C262</f>
        <v>MazeGenerator.fcpx</v>
      </c>
      <c r="D262" s="8" t="str">
        <f>'Components Data Source'!D262</f>
        <v>Components\IO_Source\mechatronics\MazeGenerator.fcfx</v>
      </c>
      <c r="E262" s="8" t="str">
        <f>'Components Data Source'!E262</f>
        <v>MODELS</v>
      </c>
      <c r="F262" s="8" t="str">
        <f>'Components Data Source'!F262</f>
        <v>SCENARIOS</v>
      </c>
      <c r="G262" s="8">
        <f>'Components Data Source'!G262</f>
        <v>0</v>
      </c>
      <c r="H262" s="8">
        <f>'Components Data Source'!H262</f>
        <v>0</v>
      </c>
      <c r="I262" s="8">
        <f>'Components Data Source'!I262</f>
        <v>0</v>
      </c>
      <c r="J262" s="8">
        <f>'Components Data Source'!J262</f>
        <v>1</v>
      </c>
      <c r="K262" s="8">
        <f>'Components Data Source'!K262</f>
        <v>1</v>
      </c>
      <c r="L262" s="8">
        <f>'Components Data Source'!L262</f>
        <v>0</v>
      </c>
      <c r="M262" s="8" t="s">
        <v>1727</v>
      </c>
      <c r="N262" s="17" t="str">
        <f>HYPERLINK('Components Data Source'!M262)</f>
        <v>https://www.flowcode.co.uk/wiki/index.php?title=Component:_ID_fc012d2f_082a_4f6f_a61b_314c46477eb2</v>
      </c>
      <c r="O262" s="8" t="s">
        <v>1721</v>
      </c>
      <c r="P262" s="8"/>
      <c r="Q262" s="8" t="str">
        <f t="shared" si="8"/>
        <v/>
      </c>
      <c r="R262" s="8" t="s">
        <v>1727</v>
      </c>
      <c r="S262" s="8"/>
      <c r="T262" s="8"/>
      <c r="U262" s="8"/>
      <c r="V262" s="8" t="s">
        <v>1730</v>
      </c>
      <c r="W262" s="8" t="s">
        <v>1730</v>
      </c>
      <c r="X262" s="8"/>
      <c r="Y262" s="8"/>
      <c r="Z262" s="18">
        <f t="shared" si="9"/>
        <v>2</v>
      </c>
      <c r="AA262" s="8"/>
      <c r="AB262" s="7"/>
      <c r="AC262" s="7"/>
      <c r="AD262" s="8" t="s">
        <v>1721</v>
      </c>
      <c r="AE262" s="8" t="s">
        <v>1727</v>
      </c>
      <c r="AF262" s="8" t="s">
        <v>2401</v>
      </c>
      <c r="AG262" s="8"/>
      <c r="AH262" s="47"/>
      <c r="AI262" s="47">
        <f>VLOOKUP(B262,'Components Usage'!A$2:C$603,3,FALSE)</f>
        <v>3</v>
      </c>
      <c r="AJ262" s="28" t="s">
        <v>2401</v>
      </c>
    </row>
    <row r="263" spans="1:36" x14ac:dyDescent="0.25">
      <c r="A263" s="16" t="str">
        <f>'Components Data Source'!A263</f>
        <v>Median 16-bit</v>
      </c>
      <c r="B263" s="8" t="str">
        <f>'Components Data Source'!B263</f>
        <v>B3061D15-325B-4A8F-863A-A059FAB79CAF</v>
      </c>
      <c r="C263" s="8" t="str">
        <f>'Components Data Source'!C263</f>
        <v>Median.fcpx</v>
      </c>
      <c r="D263" s="8" t="str">
        <f>'Components Data Source'!D263</f>
        <v>Components\IO_Source\Median.fcfx</v>
      </c>
      <c r="E263" s="8" t="str">
        <f>'Components Data Source'!E263</f>
        <v>FREE</v>
      </c>
      <c r="F263" s="8" t="str">
        <f>'Components Data Source'!F263</f>
        <v>STORAGE</v>
      </c>
      <c r="G263" s="8" t="str">
        <f>'Components Data Source'!G263</f>
        <v xml:space="preserve">STORAGE </v>
      </c>
      <c r="H263" s="8">
        <f>'Components Data Source'!H263</f>
        <v>0</v>
      </c>
      <c r="I263" s="8">
        <f>'Components Data Source'!I263</f>
        <v>0</v>
      </c>
      <c r="J263" s="8">
        <f>'Components Data Source'!J263</f>
        <v>1</v>
      </c>
      <c r="K263" s="8">
        <f>'Components Data Source'!K263</f>
        <v>1</v>
      </c>
      <c r="L263" s="8">
        <f>'Components Data Source'!L263</f>
        <v>1</v>
      </c>
      <c r="M263" s="8" t="s">
        <v>1727</v>
      </c>
      <c r="N263" s="17" t="str">
        <f>HYPERLINK('Components Data Source'!M263)</f>
        <v>https://www.flowcode.co.uk/wiki/index.php?title=Component:_ID_b3061d15_325b_4a8f_863a_a059fab79caf</v>
      </c>
      <c r="O263" s="8" t="s">
        <v>1721</v>
      </c>
      <c r="P263" s="8" t="s">
        <v>2774</v>
      </c>
      <c r="Q263" s="8" t="str">
        <f t="shared" si="8"/>
        <v/>
      </c>
      <c r="R263" s="1" t="s">
        <v>1721</v>
      </c>
      <c r="S263" s="1" t="s">
        <v>1721</v>
      </c>
      <c r="T263" s="1" t="s">
        <v>1727</v>
      </c>
      <c r="U263" s="1" t="s">
        <v>1721</v>
      </c>
      <c r="V263" s="1" t="s">
        <v>1731</v>
      </c>
      <c r="W263" s="1" t="s">
        <v>1731</v>
      </c>
      <c r="X263" s="1" t="s">
        <v>1721</v>
      </c>
      <c r="Y263" s="8" t="s">
        <v>1721</v>
      </c>
      <c r="Z263" s="18">
        <f t="shared" si="9"/>
        <v>1</v>
      </c>
      <c r="AA263" s="8"/>
      <c r="AB263" s="7"/>
      <c r="AC263" s="7"/>
      <c r="AD263" s="8" t="s">
        <v>1721</v>
      </c>
      <c r="AE263" s="8" t="s">
        <v>1727</v>
      </c>
      <c r="AF263" s="8" t="s">
        <v>2401</v>
      </c>
      <c r="AG263" s="8"/>
      <c r="AH263" s="47"/>
      <c r="AI263" s="47">
        <f>VLOOKUP(B263,'Components Usage'!A$2:C$603,3,FALSE)</f>
        <v>3</v>
      </c>
      <c r="AJ263" s="28" t="s">
        <v>2401</v>
      </c>
    </row>
    <row r="264" spans="1:36" x14ac:dyDescent="0.25">
      <c r="A264" s="16" t="str">
        <f>'Components Data Source'!A264</f>
        <v>Median 32-bit</v>
      </c>
      <c r="B264" s="8" t="str">
        <f>'Components Data Source'!B264</f>
        <v>F2E05E6D-1864-465B-8D1D-0FC9238A7535</v>
      </c>
      <c r="C264" s="8" t="str">
        <f>'Components Data Source'!C264</f>
        <v>Median32bit.fcpx</v>
      </c>
      <c r="D264" s="8" t="str">
        <f>'Components Data Source'!D264</f>
        <v>Components\IO_Source\MedianLong.fcfx</v>
      </c>
      <c r="E264" s="8" t="str">
        <f>'Components Data Source'!E264</f>
        <v>FREE</v>
      </c>
      <c r="F264" s="8" t="str">
        <f>'Components Data Source'!F264</f>
        <v>STORAGE</v>
      </c>
      <c r="G264" s="8" t="str">
        <f>'Components Data Source'!G264</f>
        <v xml:space="preserve">STORAGE </v>
      </c>
      <c r="H264" s="8">
        <f>'Components Data Source'!H264</f>
        <v>0</v>
      </c>
      <c r="I264" s="8">
        <f>'Components Data Source'!I264</f>
        <v>0</v>
      </c>
      <c r="J264" s="8">
        <f>'Components Data Source'!J264</f>
        <v>1</v>
      </c>
      <c r="K264" s="8">
        <f>'Components Data Source'!K264</f>
        <v>1</v>
      </c>
      <c r="L264" s="8">
        <f>'Components Data Source'!L264</f>
        <v>1</v>
      </c>
      <c r="M264" s="8" t="s">
        <v>1727</v>
      </c>
      <c r="N264" s="17" t="str">
        <f>HYPERLINK('Components Data Source'!M264)</f>
        <v>https://www.flowcode.co.uk/wiki/index.php?title=Component:_ID_f2e05e6d_1864_465b_8d1d_0fc9238a7535</v>
      </c>
      <c r="O264" s="8" t="s">
        <v>1721</v>
      </c>
      <c r="P264" s="8" t="s">
        <v>2774</v>
      </c>
      <c r="Q264" s="8" t="str">
        <f t="shared" si="8"/>
        <v/>
      </c>
      <c r="R264" s="1" t="s">
        <v>1721</v>
      </c>
      <c r="S264" s="1" t="s">
        <v>1721</v>
      </c>
      <c r="T264" s="1" t="s">
        <v>1727</v>
      </c>
      <c r="U264" s="1" t="s">
        <v>1721</v>
      </c>
      <c r="V264" s="1" t="s">
        <v>1731</v>
      </c>
      <c r="W264" s="1" t="s">
        <v>1731</v>
      </c>
      <c r="X264" s="1" t="s">
        <v>1721</v>
      </c>
      <c r="Y264" s="8" t="s">
        <v>1721</v>
      </c>
      <c r="Z264" s="18">
        <f t="shared" si="9"/>
        <v>1</v>
      </c>
      <c r="AA264" s="8"/>
      <c r="AB264" s="7"/>
      <c r="AC264" s="7"/>
      <c r="AD264" s="8" t="s">
        <v>1721</v>
      </c>
      <c r="AE264" s="8" t="s">
        <v>1727</v>
      </c>
      <c r="AF264" s="8" t="s">
        <v>2401</v>
      </c>
      <c r="AG264" s="8"/>
      <c r="AH264" s="47"/>
      <c r="AI264" s="47">
        <f>VLOOKUP(B264,'Components Usage'!A$2:C$603,3,FALSE)</f>
        <v>0</v>
      </c>
      <c r="AJ264" s="28" t="s">
        <v>2401</v>
      </c>
    </row>
    <row r="265" spans="1:36" x14ac:dyDescent="0.25">
      <c r="A265" s="16" t="str">
        <f>'Components Data Source'!A265</f>
        <v>Median Float</v>
      </c>
      <c r="B265" s="8" t="str">
        <f>'Components Data Source'!B265</f>
        <v>C211FC8F-6F17-461F-A44B-01DBC2368FBE</v>
      </c>
      <c r="C265" s="8" t="str">
        <f>'Components Data Source'!C265</f>
        <v>MedianFloat.fcpx</v>
      </c>
      <c r="D265" s="8" t="str">
        <f>'Components Data Source'!D265</f>
        <v>Components\IO_Source\MedianFloat.fcfx</v>
      </c>
      <c r="E265" s="8" t="str">
        <f>'Components Data Source'!E265</f>
        <v>FREE</v>
      </c>
      <c r="F265" s="8" t="str">
        <f>'Components Data Source'!F265</f>
        <v>STORAGE</v>
      </c>
      <c r="G265" s="8" t="str">
        <f>'Components Data Source'!G265</f>
        <v xml:space="preserve">STORAGE </v>
      </c>
      <c r="H265" s="8">
        <f>'Components Data Source'!H265</f>
        <v>0</v>
      </c>
      <c r="I265" s="8">
        <f>'Components Data Source'!I265</f>
        <v>0</v>
      </c>
      <c r="J265" s="8">
        <f>'Components Data Source'!J265</f>
        <v>1</v>
      </c>
      <c r="K265" s="8">
        <f>'Components Data Source'!K265</f>
        <v>1</v>
      </c>
      <c r="L265" s="8">
        <f>'Components Data Source'!L265</f>
        <v>1</v>
      </c>
      <c r="M265" s="8" t="s">
        <v>1727</v>
      </c>
      <c r="N265" s="17" t="str">
        <f>HYPERLINK('Components Data Source'!M265)</f>
        <v>https://www.flowcode.co.uk/wiki/index.php?title=Component:_ID_c211fc8f_6f17_461f_a44b_01dbc2368fbe</v>
      </c>
      <c r="O265" s="8" t="s">
        <v>1721</v>
      </c>
      <c r="P265" s="8"/>
      <c r="Q265" s="8" t="str">
        <f t="shared" si="8"/>
        <v/>
      </c>
      <c r="R265" s="1" t="s">
        <v>1721</v>
      </c>
      <c r="S265" s="1" t="s">
        <v>1721</v>
      </c>
      <c r="T265" s="1" t="s">
        <v>1727</v>
      </c>
      <c r="U265" s="1" t="s">
        <v>1721</v>
      </c>
      <c r="V265" s="1" t="s">
        <v>1731</v>
      </c>
      <c r="W265" s="1" t="s">
        <v>1731</v>
      </c>
      <c r="X265" s="1" t="s">
        <v>1721</v>
      </c>
      <c r="Y265" s="8" t="s">
        <v>1721</v>
      </c>
      <c r="Z265" s="18">
        <f t="shared" si="9"/>
        <v>1</v>
      </c>
      <c r="AA265" s="8"/>
      <c r="AB265" s="7"/>
      <c r="AC265" s="7"/>
      <c r="AD265" s="8" t="s">
        <v>1721</v>
      </c>
      <c r="AE265" s="8" t="s">
        <v>1727</v>
      </c>
      <c r="AF265" s="8" t="s">
        <v>2401</v>
      </c>
      <c r="AG265" s="8"/>
      <c r="AH265" s="47"/>
      <c r="AI265" s="47">
        <f>VLOOKUP(B265,'Components Usage'!A$2:C$603,3,FALSE)</f>
        <v>16</v>
      </c>
      <c r="AJ265" s="28" t="s">
        <v>2401</v>
      </c>
    </row>
    <row r="266" spans="1:36" x14ac:dyDescent="0.25">
      <c r="A266" s="16" t="str">
        <f>'Components Data Source'!A266</f>
        <v>Microchip 44 Pin PCB</v>
      </c>
      <c r="B266" s="8" t="str">
        <f>'Components Data Source'!B266</f>
        <v>4239FDE7-4F14-4A0E-B4D5-2B7886AA5E14</v>
      </c>
      <c r="C266" s="8" t="str">
        <f>'Components Data Source'!C266</f>
        <v>Microchip44PinPCB.fcpx</v>
      </c>
      <c r="D266" s="8" t="str">
        <f>'Components Data Source'!D266</f>
        <v>Components\IO_Source\PCBs\44PinComponentPCBSource.fcfx</v>
      </c>
      <c r="E266" s="8" t="str">
        <f>'Components Data Source'!E266</f>
        <v>FREE</v>
      </c>
      <c r="F266" s="8" t="str">
        <f>'Components Data Source'!F266</f>
        <v>MISC</v>
      </c>
      <c r="G266" s="8">
        <f>'Components Data Source'!G266</f>
        <v>0</v>
      </c>
      <c r="H266" s="8">
        <f>'Components Data Source'!H266</f>
        <v>0</v>
      </c>
      <c r="I266" s="8">
        <f>'Components Data Source'!I266</f>
        <v>0</v>
      </c>
      <c r="J266" s="8">
        <f>'Components Data Source'!J266</f>
        <v>0</v>
      </c>
      <c r="K266" s="8">
        <f>'Components Data Source'!K266</f>
        <v>0</v>
      </c>
      <c r="L266" s="8">
        <f>'Components Data Source'!L266</f>
        <v>0</v>
      </c>
      <c r="M266" s="8" t="s">
        <v>1727</v>
      </c>
      <c r="N266" s="17" t="str">
        <f>HYPERLINK('Components Data Source'!M266)</f>
        <v>https://www.flowcode.co.uk/wiki/index.php?title=Component:_ID_4239fde7_4f14_4a0e_b4d5_2b7886aa5e14</v>
      </c>
      <c r="O266" s="8" t="s">
        <v>2590</v>
      </c>
      <c r="P266" s="8" t="s">
        <v>2771</v>
      </c>
      <c r="Q266" s="8" t="str">
        <f t="shared" si="8"/>
        <v/>
      </c>
      <c r="R266" s="8" t="s">
        <v>2474</v>
      </c>
      <c r="S266" s="8" t="s">
        <v>1727</v>
      </c>
      <c r="T266" s="8"/>
      <c r="U266" s="8"/>
      <c r="V266" s="8" t="s">
        <v>1730</v>
      </c>
      <c r="W266" s="8" t="s">
        <v>1730</v>
      </c>
      <c r="X266" s="8"/>
      <c r="Y266" s="8"/>
      <c r="Z266" s="18">
        <f t="shared" si="9"/>
        <v>0</v>
      </c>
      <c r="AA266" s="8" t="s">
        <v>1721</v>
      </c>
      <c r="AB266" s="7" t="s">
        <v>2581</v>
      </c>
      <c r="AC266" s="7"/>
      <c r="AD266" s="8" t="s">
        <v>1721</v>
      </c>
      <c r="AE266" s="8" t="s">
        <v>1727</v>
      </c>
      <c r="AF266" s="8" t="s">
        <v>2401</v>
      </c>
      <c r="AG266" s="8"/>
      <c r="AH266" s="47"/>
      <c r="AI266" s="47">
        <f>VLOOKUP(B266,'Components Usage'!A$2:C$603,3,FALSE)</f>
        <v>0</v>
      </c>
      <c r="AJ266" s="28" t="s">
        <v>2401</v>
      </c>
    </row>
    <row r="267" spans="1:36" x14ac:dyDescent="0.25">
      <c r="A267" s="16" t="str">
        <f>'Components Data Source'!A267</f>
        <v>Microchip Low Pin PCB</v>
      </c>
      <c r="B267" s="8" t="str">
        <f>'Components Data Source'!B267</f>
        <v>F222B30D-9DA1-4487-9032-5F05B6FB85FC</v>
      </c>
      <c r="C267" s="8" t="str">
        <f>'Components Data Source'!C267</f>
        <v>MicrochipLowPinPCB.fcpx</v>
      </c>
      <c r="D267" s="8" t="str">
        <f>'Components Data Source'!D267</f>
        <v>Components\IO_Source\PCBs\LowPinComponentPCBSource.fcfx</v>
      </c>
      <c r="E267" s="8" t="str">
        <f>'Components Data Source'!E267</f>
        <v>FREE</v>
      </c>
      <c r="F267" s="8" t="str">
        <f>'Components Data Source'!F267</f>
        <v>MISC</v>
      </c>
      <c r="G267" s="8">
        <f>'Components Data Source'!G267</f>
        <v>0</v>
      </c>
      <c r="H267" s="8">
        <f>'Components Data Source'!H267</f>
        <v>0</v>
      </c>
      <c r="I267" s="8">
        <f>'Components Data Source'!I267</f>
        <v>0</v>
      </c>
      <c r="J267" s="8">
        <f>'Components Data Source'!J267</f>
        <v>0</v>
      </c>
      <c r="K267" s="8">
        <f>'Components Data Source'!K267</f>
        <v>0</v>
      </c>
      <c r="L267" s="8">
        <f>'Components Data Source'!L267</f>
        <v>0</v>
      </c>
      <c r="M267" s="8" t="s">
        <v>1727</v>
      </c>
      <c r="N267" s="17" t="str">
        <f>HYPERLINK('Components Data Source'!M267)</f>
        <v>https://www.flowcode.co.uk/wiki/index.php?title=Component:_ID_f222b30d_9da1_4487_9032_5f05b6fb85fc</v>
      </c>
      <c r="O267" s="8" t="s">
        <v>2590</v>
      </c>
      <c r="P267" s="8" t="s">
        <v>2771</v>
      </c>
      <c r="Q267" s="8" t="str">
        <f t="shared" si="8"/>
        <v/>
      </c>
      <c r="R267" s="8" t="s">
        <v>2474</v>
      </c>
      <c r="S267" s="8" t="s">
        <v>1727</v>
      </c>
      <c r="T267" s="8"/>
      <c r="U267" s="8"/>
      <c r="V267" s="8" t="s">
        <v>1730</v>
      </c>
      <c r="W267" s="8" t="s">
        <v>1730</v>
      </c>
      <c r="X267" s="8" t="s">
        <v>1727</v>
      </c>
      <c r="Y267" s="8"/>
      <c r="Z267" s="18">
        <f t="shared" si="9"/>
        <v>0</v>
      </c>
      <c r="AA267" s="8" t="s">
        <v>1721</v>
      </c>
      <c r="AB267" s="7" t="s">
        <v>2582</v>
      </c>
      <c r="AC267" s="7"/>
      <c r="AD267" s="8" t="s">
        <v>1721</v>
      </c>
      <c r="AE267" s="8" t="s">
        <v>1727</v>
      </c>
      <c r="AF267" s="8" t="s">
        <v>2401</v>
      </c>
      <c r="AG267" s="8"/>
      <c r="AH267" s="47"/>
      <c r="AI267" s="47">
        <f>VLOOKUP(B267,'Components Usage'!A$2:C$603,3,FALSE)</f>
        <v>0</v>
      </c>
      <c r="AJ267" s="28" t="s">
        <v>2401</v>
      </c>
    </row>
    <row r="268" spans="1:36" hidden="1" x14ac:dyDescent="0.25">
      <c r="A268" s="16" t="str">
        <f>'Components Data Source'!A268</f>
        <v>Modbus Master</v>
      </c>
      <c r="B268" s="8" t="str">
        <f>'Components Data Source'!B268</f>
        <v>47F6B39B-EAD7-40F5-9931-8A79AA54014A</v>
      </c>
      <c r="C268" s="8" t="str">
        <f>'Components Data Source'!C268</f>
        <v>Modbus.fcpx</v>
      </c>
      <c r="D268" s="8" t="str">
        <f>'Components Data Source'!D268</f>
        <v>Components\IO_Source\Modbus.fcfx</v>
      </c>
      <c r="E268" s="8" t="str">
        <f>'Components Data Source'!E268</f>
        <v>COMMSC</v>
      </c>
      <c r="F268" s="8" t="str">
        <f>'Components Data Source'!F268</f>
        <v>COMMS: SYSTEM</v>
      </c>
      <c r="G268" s="8">
        <f>'Components Data Source'!G268</f>
        <v>0</v>
      </c>
      <c r="H268" s="8">
        <f>'Components Data Source'!H268</f>
        <v>0</v>
      </c>
      <c r="I268" s="8" t="str">
        <f>'Components Data Source'!I268</f>
        <v xml:space="preserve">UART </v>
      </c>
      <c r="J268" s="8">
        <f>'Components Data Source'!J268</f>
        <v>1</v>
      </c>
      <c r="K268" s="8">
        <f>'Components Data Source'!K268</f>
        <v>1</v>
      </c>
      <c r="L268" s="8">
        <f>'Components Data Source'!L268</f>
        <v>0</v>
      </c>
      <c r="M268" s="8" t="s">
        <v>1727</v>
      </c>
      <c r="N268" s="17" t="str">
        <f>HYPERLINK('Components Data Source'!M268)</f>
        <v>https://www.flowcode.co.uk/wiki/index.php?title=Component:_ID_47f6b39b_ead7_40f5_9931_8a79aa54014a</v>
      </c>
      <c r="O268" s="8" t="s">
        <v>1721</v>
      </c>
      <c r="P268" s="8"/>
      <c r="Q268" s="8" t="str">
        <f t="shared" si="8"/>
        <v/>
      </c>
      <c r="R268" s="1" t="s">
        <v>1721</v>
      </c>
      <c r="S268" s="1" t="s">
        <v>1721</v>
      </c>
      <c r="T268" s="1" t="s">
        <v>1721</v>
      </c>
      <c r="U268" s="1" t="s">
        <v>1721</v>
      </c>
      <c r="V268" s="1" t="s">
        <v>1731</v>
      </c>
      <c r="W268" s="1" t="s">
        <v>1183</v>
      </c>
      <c r="X268" s="1" t="s">
        <v>1721</v>
      </c>
      <c r="Y268" s="8" t="s">
        <v>1721</v>
      </c>
      <c r="Z268" s="18">
        <f t="shared" si="9"/>
        <v>1</v>
      </c>
      <c r="AA268" s="8"/>
      <c r="AB268" s="7"/>
      <c r="AC268" s="7"/>
      <c r="AD268" s="8" t="s">
        <v>1721</v>
      </c>
      <c r="AE268" s="8" t="s">
        <v>1721</v>
      </c>
      <c r="AF268" s="8" t="s">
        <v>1727</v>
      </c>
      <c r="AG268" s="8" t="s">
        <v>1721</v>
      </c>
      <c r="AH268" s="47"/>
      <c r="AI268" s="47">
        <f>VLOOKUP(B268,'Components Usage'!A$2:C$603,3,FALSE)</f>
        <v>16</v>
      </c>
      <c r="AJ268" s="28" t="s">
        <v>2401</v>
      </c>
    </row>
    <row r="269" spans="1:36" ht="30" hidden="1" x14ac:dyDescent="0.25">
      <c r="A269" s="16" t="str">
        <f>'Components Data Source'!A269</f>
        <v>Modbus Master (SCADA)</v>
      </c>
      <c r="B269" s="8" t="str">
        <f>'Components Data Source'!B269</f>
        <v>97647329-1E06-46DC-BA11-9D721038294D</v>
      </c>
      <c r="C269" s="8" t="str">
        <f>'Components Data Source'!C269</f>
        <v>ModbusMasterSCADA.fcpx</v>
      </c>
      <c r="D269" s="8" t="str">
        <f>'Components Data Source'!D269</f>
        <v>Components\IO_Source\SCADA\Modbus SCADA.fcsx</v>
      </c>
      <c r="E269" s="8" t="str">
        <f>'Components Data Source'!E269</f>
        <v>SCADA</v>
      </c>
      <c r="F269" s="8" t="str">
        <f>'Components Data Source'!F269</f>
        <v>COMMS: SYSTEM</v>
      </c>
      <c r="G269" s="8">
        <f>'Components Data Source'!G269</f>
        <v>0</v>
      </c>
      <c r="H269" s="8">
        <f>'Components Data Source'!H269</f>
        <v>0</v>
      </c>
      <c r="I269" s="8">
        <f>'Components Data Source'!I269</f>
        <v>0</v>
      </c>
      <c r="J269" s="8">
        <f>'Components Data Source'!J269</f>
        <v>1</v>
      </c>
      <c r="K269" s="8">
        <f>'Components Data Source'!K269</f>
        <v>0</v>
      </c>
      <c r="L269" s="8">
        <f>'Components Data Source'!L269</f>
        <v>1</v>
      </c>
      <c r="M269" s="8" t="s">
        <v>1727</v>
      </c>
      <c r="N269" s="17" t="str">
        <f>HYPERLINK('Components Data Source'!M269)</f>
        <v>https://www.flowcode.co.uk/wiki/index.php?title=Component:_ID_97647329_1e06_46dc_ba11_9d721038294d</v>
      </c>
      <c r="O269" s="8" t="s">
        <v>1721</v>
      </c>
      <c r="P269" s="8"/>
      <c r="Q269" s="8">
        <f t="shared" si="8"/>
        <v>1</v>
      </c>
      <c r="R269" s="8" t="s">
        <v>1721</v>
      </c>
      <c r="S269" s="8" t="s">
        <v>1721</v>
      </c>
      <c r="T269" s="8" t="s">
        <v>1721</v>
      </c>
      <c r="U269" s="8" t="s">
        <v>1721</v>
      </c>
      <c r="V269" s="1" t="s">
        <v>1183</v>
      </c>
      <c r="W269" s="1" t="s">
        <v>1731</v>
      </c>
      <c r="X269" s="8" t="s">
        <v>1721</v>
      </c>
      <c r="Y269" s="8" t="s">
        <v>1721</v>
      </c>
      <c r="Z269" s="18">
        <f t="shared" si="9"/>
        <v>1</v>
      </c>
      <c r="AA269" s="8"/>
      <c r="AB269" s="6" t="s">
        <v>2450</v>
      </c>
      <c r="AC269" s="7"/>
      <c r="AD269" s="8" t="s">
        <v>1721</v>
      </c>
      <c r="AE269" s="8" t="s">
        <v>1727</v>
      </c>
      <c r="AF269" s="8" t="s">
        <v>1727</v>
      </c>
      <c r="AG269" s="8"/>
      <c r="AH269" s="47"/>
      <c r="AI269" s="47">
        <f>VLOOKUP(B269,'Components Usage'!A$2:C$603,3,FALSE)</f>
        <v>10</v>
      </c>
      <c r="AJ269" s="28" t="s">
        <v>2401</v>
      </c>
    </row>
    <row r="270" spans="1:36" hidden="1" x14ac:dyDescent="0.25">
      <c r="A270" s="16" t="str">
        <f>'Components Data Source'!A270</f>
        <v>Modbus TCP Master</v>
      </c>
      <c r="B270" s="8" t="str">
        <f>'Components Data Source'!B270</f>
        <v>019E3DBB-2BFA-44A7-BAF0-17B672D9B8F4</v>
      </c>
      <c r="C270" s="8" t="str">
        <f>'Components Data Source'!C270</f>
        <v>ModbusMasterTCP.fcpx</v>
      </c>
      <c r="D270" s="8" t="str">
        <f>'Components Data Source'!D270</f>
        <v>Components\IO_Source\ModbusTCP.fcfx</v>
      </c>
      <c r="E270" s="8" t="str">
        <f>'Components Data Source'!E270</f>
        <v>COMMSC</v>
      </c>
      <c r="F270" s="8" t="str">
        <f>'Components Data Source'!F270</f>
        <v>COMMS: SYSTEM</v>
      </c>
      <c r="G270" s="8">
        <f>'Components Data Source'!G270</f>
        <v>0</v>
      </c>
      <c r="H270" s="8">
        <f>'Components Data Source'!H270</f>
        <v>0</v>
      </c>
      <c r="I270" s="8">
        <f>'Components Data Source'!I270</f>
        <v>0</v>
      </c>
      <c r="J270" s="8">
        <f>'Components Data Source'!J270</f>
        <v>1</v>
      </c>
      <c r="K270" s="8">
        <f>'Components Data Source'!K270</f>
        <v>1</v>
      </c>
      <c r="L270" s="8">
        <f>'Components Data Source'!L270</f>
        <v>1</v>
      </c>
      <c r="M270" s="8" t="s">
        <v>1727</v>
      </c>
      <c r="N270" s="17" t="str">
        <f>HYPERLINK('Components Data Source'!M270)</f>
        <v>https://www.flowcode.co.uk/wiki/index.php?title=Component:_ID_019e3dbb_2bfa_44a7_baf0_17b672d9b8f4</v>
      </c>
      <c r="O270" s="8" t="s">
        <v>1721</v>
      </c>
      <c r="P270" s="8"/>
      <c r="Q270" s="8" t="str">
        <f t="shared" si="8"/>
        <v/>
      </c>
      <c r="R270" s="1" t="s">
        <v>1721</v>
      </c>
      <c r="S270" s="1" t="s">
        <v>1721</v>
      </c>
      <c r="T270" s="1" t="s">
        <v>1721</v>
      </c>
      <c r="U270" s="1" t="s">
        <v>1721</v>
      </c>
      <c r="V270" s="1" t="s">
        <v>1731</v>
      </c>
      <c r="W270" s="1" t="s">
        <v>1732</v>
      </c>
      <c r="X270" s="1" t="s">
        <v>1721</v>
      </c>
      <c r="Y270" s="8" t="s">
        <v>1721</v>
      </c>
      <c r="Z270" s="18">
        <f t="shared" si="9"/>
        <v>1</v>
      </c>
      <c r="AA270" s="8"/>
      <c r="AB270" s="7"/>
      <c r="AC270" s="7"/>
      <c r="AD270" s="8" t="s">
        <v>1721</v>
      </c>
      <c r="AE270" s="8" t="s">
        <v>1721</v>
      </c>
      <c r="AF270" s="8" t="s">
        <v>1727</v>
      </c>
      <c r="AG270" s="8"/>
      <c r="AH270" s="47"/>
      <c r="AI270" s="47">
        <f>VLOOKUP(B270,'Components Usage'!A$2:C$603,3,FALSE)</f>
        <v>18</v>
      </c>
      <c r="AJ270" s="28" t="s">
        <v>2401</v>
      </c>
    </row>
    <row r="271" spans="1:36" hidden="1" x14ac:dyDescent="0.25">
      <c r="A271" s="16" t="str">
        <f>'Components Data Source'!A271</f>
        <v>Modbus Slave</v>
      </c>
      <c r="B271" s="8" t="str">
        <f>'Components Data Source'!B271</f>
        <v>687F8AD4-59F2-4079-BB84-7713DCB57A13</v>
      </c>
      <c r="C271" s="8" t="str">
        <f>'Components Data Source'!C271</f>
        <v>ModbusSlave.fcpx</v>
      </c>
      <c r="D271" s="8" t="str">
        <f>'Components Data Source'!D271</f>
        <v>Components\IO_Source\ModbusSlave.fcfx</v>
      </c>
      <c r="E271" s="8" t="str">
        <f>'Components Data Source'!E271</f>
        <v>COMMSC</v>
      </c>
      <c r="F271" s="8" t="str">
        <f>'Components Data Source'!F271</f>
        <v>COMMS: SYSTEM</v>
      </c>
      <c r="G271" s="8">
        <f>'Components Data Source'!G271</f>
        <v>0</v>
      </c>
      <c r="H271" s="8">
        <f>'Components Data Source'!H271</f>
        <v>0</v>
      </c>
      <c r="I271" s="8" t="str">
        <f>'Components Data Source'!I271</f>
        <v xml:space="preserve">UART </v>
      </c>
      <c r="J271" s="8">
        <f>'Components Data Source'!J271</f>
        <v>1</v>
      </c>
      <c r="K271" s="8">
        <f>'Components Data Source'!K271</f>
        <v>1</v>
      </c>
      <c r="L271" s="8">
        <f>'Components Data Source'!L271</f>
        <v>0</v>
      </c>
      <c r="M271" s="8" t="s">
        <v>1727</v>
      </c>
      <c r="N271" s="17" t="str">
        <f>HYPERLINK('Components Data Source'!M271)</f>
        <v>https://www.flowcode.co.uk/wiki/index.php?title=Component:_ID_687f8ad4_59f2_4079_bb84_7713dcb57a13</v>
      </c>
      <c r="O271" s="8" t="s">
        <v>1721</v>
      </c>
      <c r="P271" s="8"/>
      <c r="Q271" s="8" t="str">
        <f t="shared" ref="Q271:Q334" si="10">IF(L271=1,IF(K271=1,"",1),"")</f>
        <v/>
      </c>
      <c r="R271" s="1" t="s">
        <v>1721</v>
      </c>
      <c r="S271" s="1" t="s">
        <v>1721</v>
      </c>
      <c r="T271" s="1" t="s">
        <v>1721</v>
      </c>
      <c r="U271" s="1" t="s">
        <v>1721</v>
      </c>
      <c r="V271" s="1" t="s">
        <v>1731</v>
      </c>
      <c r="W271" s="1" t="s">
        <v>1732</v>
      </c>
      <c r="X271" s="1" t="s">
        <v>1721</v>
      </c>
      <c r="Y271" s="8" t="s">
        <v>1721</v>
      </c>
      <c r="Z271" s="18">
        <f t="shared" si="9"/>
        <v>1</v>
      </c>
      <c r="AA271" s="8"/>
      <c r="AB271" s="6"/>
      <c r="AC271" s="7"/>
      <c r="AD271" s="8" t="s">
        <v>1721</v>
      </c>
      <c r="AE271" s="8" t="s">
        <v>1721</v>
      </c>
      <c r="AF271" s="8" t="s">
        <v>1727</v>
      </c>
      <c r="AG271" s="8"/>
      <c r="AH271" s="47"/>
      <c r="AI271" s="47">
        <f>VLOOKUP(B271,'Components Usage'!A$2:C$603,3,FALSE)</f>
        <v>37</v>
      </c>
      <c r="AJ271" s="28" t="s">
        <v>2401</v>
      </c>
    </row>
    <row r="272" spans="1:36" ht="30" hidden="1" x14ac:dyDescent="0.25">
      <c r="A272" s="16" t="str">
        <f>'Components Data Source'!A272</f>
        <v>Modbus Slave (SCADA)</v>
      </c>
      <c r="B272" s="8" t="str">
        <f>'Components Data Source'!B272</f>
        <v>A93B1F52-B96D-4A14-806E-63F73D2654B2</v>
      </c>
      <c r="C272" s="8" t="str">
        <f>'Components Data Source'!C272</f>
        <v>ModbusSlaveSCADA.fcpx</v>
      </c>
      <c r="D272" s="8" t="str">
        <f>'Components Data Source'!D272</f>
        <v>Components\IO_Source\SCADA\Modbus Slave SCADA.fcsx</v>
      </c>
      <c r="E272" s="8" t="str">
        <f>'Components Data Source'!E272</f>
        <v>SCADA</v>
      </c>
      <c r="F272" s="8" t="str">
        <f>'Components Data Source'!F272</f>
        <v>COMMS: SYSTEM</v>
      </c>
      <c r="G272" s="8">
        <f>'Components Data Source'!G272</f>
        <v>0</v>
      </c>
      <c r="H272" s="8">
        <f>'Components Data Source'!H272</f>
        <v>0</v>
      </c>
      <c r="I272" s="8">
        <f>'Components Data Source'!I272</f>
        <v>0</v>
      </c>
      <c r="J272" s="8">
        <f>'Components Data Source'!J272</f>
        <v>1</v>
      </c>
      <c r="K272" s="8">
        <f>'Components Data Source'!K272</f>
        <v>0</v>
      </c>
      <c r="L272" s="8">
        <f>'Components Data Source'!L272</f>
        <v>1</v>
      </c>
      <c r="M272" s="8" t="s">
        <v>1727</v>
      </c>
      <c r="N272" s="17" t="str">
        <f>HYPERLINK('Components Data Source'!M272)</f>
        <v>https://www.flowcode.co.uk/wiki/index.php?title=Component:_ID_a93b1f52_b96d_4a14_806e_63f73d2654b2</v>
      </c>
      <c r="O272" s="8" t="s">
        <v>1721</v>
      </c>
      <c r="P272" s="8"/>
      <c r="Q272" s="8">
        <f t="shared" si="10"/>
        <v>1</v>
      </c>
      <c r="R272" s="8" t="s">
        <v>1721</v>
      </c>
      <c r="S272" s="8" t="s">
        <v>1721</v>
      </c>
      <c r="T272" s="8" t="s">
        <v>1721</v>
      </c>
      <c r="U272" s="8" t="s">
        <v>1721</v>
      </c>
      <c r="V272" s="1" t="s">
        <v>1183</v>
      </c>
      <c r="W272" s="1" t="s">
        <v>1730</v>
      </c>
      <c r="X272" s="8" t="s">
        <v>1721</v>
      </c>
      <c r="Y272" s="8" t="s">
        <v>1721</v>
      </c>
      <c r="Z272" s="18">
        <f t="shared" si="9"/>
        <v>1</v>
      </c>
      <c r="AA272" s="8"/>
      <c r="AB272" s="6" t="s">
        <v>2451</v>
      </c>
      <c r="AC272" s="7"/>
      <c r="AD272" s="8" t="s">
        <v>1721</v>
      </c>
      <c r="AE272" s="8" t="s">
        <v>1727</v>
      </c>
      <c r="AF272" s="8" t="s">
        <v>1727</v>
      </c>
      <c r="AG272" s="8"/>
      <c r="AH272" s="47"/>
      <c r="AI272" s="47">
        <f>VLOOKUP(B272,'Components Usage'!A$2:C$603,3,FALSE)</f>
        <v>0</v>
      </c>
      <c r="AJ272" s="28" t="s">
        <v>2401</v>
      </c>
    </row>
    <row r="273" spans="1:36" hidden="1" x14ac:dyDescent="0.25">
      <c r="A273" s="16" t="str">
        <f>'Components Data Source'!A273</f>
        <v>Modbus Slave USB</v>
      </c>
      <c r="B273" s="8" t="str">
        <f>'Components Data Source'!B273</f>
        <v>2BFF9939-F404-4915-8A51-59DB53E5470E</v>
      </c>
      <c r="C273" s="8" t="str">
        <f>'Components Data Source'!C273</f>
        <v>ModbusSlaveUSB.fcpx</v>
      </c>
      <c r="D273" s="8" t="str">
        <f>'Components Data Source'!D273</f>
        <v>Components\IO_Source\ModbusSlaveUSB.fcfx</v>
      </c>
      <c r="E273" s="8" t="str">
        <f>'Components Data Source'!E273</f>
        <v>COMMSC</v>
      </c>
      <c r="F273" s="8" t="str">
        <f>'Components Data Source'!F273</f>
        <v>COMMS: SYSTEM</v>
      </c>
      <c r="G273" s="8">
        <f>'Components Data Source'!G273</f>
        <v>0</v>
      </c>
      <c r="H273" s="8">
        <f>'Components Data Source'!H273</f>
        <v>0</v>
      </c>
      <c r="I273" s="8" t="str">
        <f>'Components Data Source'!I273</f>
        <v xml:space="preserve">USB </v>
      </c>
      <c r="J273" s="8">
        <f>'Components Data Source'!J273</f>
        <v>1</v>
      </c>
      <c r="K273" s="8">
        <f>'Components Data Source'!K273</f>
        <v>1</v>
      </c>
      <c r="L273" s="8">
        <f>'Components Data Source'!L273</f>
        <v>0</v>
      </c>
      <c r="M273" s="8" t="s">
        <v>1727</v>
      </c>
      <c r="N273" s="17" t="str">
        <f>HYPERLINK('Components Data Source'!M273)</f>
        <v>https://www.flowcode.co.uk/wiki/index.php?title=Component:_ID_2bff9939_f404_4915_8a51_59db53e5470e</v>
      </c>
      <c r="O273" s="8" t="s">
        <v>1721</v>
      </c>
      <c r="P273" s="8"/>
      <c r="Q273" s="8" t="str">
        <f t="shared" si="10"/>
        <v/>
      </c>
      <c r="R273" s="8" t="s">
        <v>1721</v>
      </c>
      <c r="S273" s="8" t="s">
        <v>1721</v>
      </c>
      <c r="T273" s="8" t="s">
        <v>1721</v>
      </c>
      <c r="U273" s="8" t="s">
        <v>1721</v>
      </c>
      <c r="V273" s="8" t="s">
        <v>1731</v>
      </c>
      <c r="W273" s="8" t="s">
        <v>1183</v>
      </c>
      <c r="X273" s="8" t="s">
        <v>1721</v>
      </c>
      <c r="Y273" s="8" t="s">
        <v>1721</v>
      </c>
      <c r="Z273" s="18">
        <f t="shared" si="9"/>
        <v>1</v>
      </c>
      <c r="AA273" s="8"/>
      <c r="AB273" s="7" t="s">
        <v>2489</v>
      </c>
      <c r="AC273" s="7"/>
      <c r="AD273" s="8" t="s">
        <v>1727</v>
      </c>
      <c r="AE273" s="8"/>
      <c r="AF273" s="8"/>
      <c r="AG273" s="8"/>
      <c r="AH273" s="47"/>
      <c r="AI273" s="47">
        <f>VLOOKUP(B273,'Components Usage'!A$2:C$603,3,FALSE)</f>
        <v>1</v>
      </c>
      <c r="AJ273" s="28"/>
    </row>
    <row r="274" spans="1:36" hidden="1" x14ac:dyDescent="0.25">
      <c r="A274" s="16" t="str">
        <f>'Components Data Source'!A274</f>
        <v>Modbus TCP Slave</v>
      </c>
      <c r="B274" s="8" t="str">
        <f>'Components Data Source'!B274</f>
        <v>1ECB9B0A-53E7-45C9-AB6F-7A0D4A0C47E1</v>
      </c>
      <c r="C274" s="8" t="str">
        <f>'Components Data Source'!C274</f>
        <v>ModbusTCPSlave.fcpx</v>
      </c>
      <c r="D274" s="8" t="str">
        <f>'Components Data Source'!D274</f>
        <v>Components\IO_Source\ModbusSlaveTCP.fcfx</v>
      </c>
      <c r="E274" s="8" t="str">
        <f>'Components Data Source'!E274</f>
        <v>COMMSC</v>
      </c>
      <c r="F274" s="8" t="str">
        <f>'Components Data Source'!F274</f>
        <v>COMMS: SYSTEM</v>
      </c>
      <c r="G274" s="8">
        <f>'Components Data Source'!G274</f>
        <v>0</v>
      </c>
      <c r="H274" s="8">
        <f>'Components Data Source'!H274</f>
        <v>0</v>
      </c>
      <c r="I274" s="8">
        <f>'Components Data Source'!I274</f>
        <v>0</v>
      </c>
      <c r="J274" s="8">
        <f>'Components Data Source'!J274</f>
        <v>1</v>
      </c>
      <c r="K274" s="8">
        <f>'Components Data Source'!K274</f>
        <v>1</v>
      </c>
      <c r="L274" s="8">
        <f>'Components Data Source'!L274</f>
        <v>1</v>
      </c>
      <c r="M274" s="8" t="s">
        <v>1727</v>
      </c>
      <c r="N274" s="17" t="str">
        <f>HYPERLINK('Components Data Source'!M274)</f>
        <v>https://www.flowcode.co.uk/wiki/index.php?title=Component:_ID_1ecb9b0a_53e7_45c9_ab6f_7a0d4a0c47e1</v>
      </c>
      <c r="O274" s="8" t="s">
        <v>1721</v>
      </c>
      <c r="P274" s="8" t="s">
        <v>2776</v>
      </c>
      <c r="Q274" s="8" t="str">
        <f t="shared" si="10"/>
        <v/>
      </c>
      <c r="R274" s="8" t="s">
        <v>1721</v>
      </c>
      <c r="S274" s="8" t="s">
        <v>1721</v>
      </c>
      <c r="T274" s="8" t="s">
        <v>1727</v>
      </c>
      <c r="U274" s="8" t="s">
        <v>1727</v>
      </c>
      <c r="V274" s="8" t="s">
        <v>1731</v>
      </c>
      <c r="W274" s="8" t="s">
        <v>1731</v>
      </c>
      <c r="X274" s="8" t="s">
        <v>1721</v>
      </c>
      <c r="Y274" s="8" t="s">
        <v>1721</v>
      </c>
      <c r="Z274" s="18">
        <f t="shared" si="9"/>
        <v>1</v>
      </c>
      <c r="AA274" s="8"/>
      <c r="AB274" s="7"/>
      <c r="AC274" s="7"/>
      <c r="AD274" s="8" t="s">
        <v>1721</v>
      </c>
      <c r="AE274" s="8" t="s">
        <v>1721</v>
      </c>
      <c r="AF274" s="8" t="s">
        <v>1727</v>
      </c>
      <c r="AG274" s="8"/>
      <c r="AH274" s="47"/>
      <c r="AI274" s="47">
        <f>VLOOKUP(B274,'Components Usage'!A$2:C$603,3,FALSE)</f>
        <v>22</v>
      </c>
      <c r="AJ274" s="28" t="s">
        <v>2401</v>
      </c>
    </row>
    <row r="275" spans="1:36" x14ac:dyDescent="0.25">
      <c r="A275" s="16" t="str">
        <f>'Components Data Source'!A275</f>
        <v>Mouse</v>
      </c>
      <c r="B275" s="8" t="str">
        <f>'Components Data Source'!B275</f>
        <v>82A800D4-8620-4386-8BA3-25AF2768F24E</v>
      </c>
      <c r="C275" s="8" t="str">
        <f>'Components Data Source'!C275</f>
        <v>Mouse.fcpx</v>
      </c>
      <c r="D275" s="8" t="str">
        <f>'Components Data Source'!D275</f>
        <v>Components\IO_Source\SCADA\Mouse.fcsx</v>
      </c>
      <c r="E275" s="8" t="str">
        <f>'Components Data Source'!E275</f>
        <v>FREE</v>
      </c>
      <c r="F275" s="8" t="str">
        <f>'Components Data Source'!F275</f>
        <v xml:space="preserve">CONTROLS </v>
      </c>
      <c r="G275" s="8" t="str">
        <f>'Components Data Source'!G275</f>
        <v>RUNTIME TOOLS</v>
      </c>
      <c r="H275" s="8">
        <f>'Components Data Source'!H275</f>
        <v>0</v>
      </c>
      <c r="I275" s="8">
        <f>'Components Data Source'!I275</f>
        <v>0</v>
      </c>
      <c r="J275" s="8">
        <f>'Components Data Source'!J275</f>
        <v>1</v>
      </c>
      <c r="K275" s="8">
        <f>'Components Data Source'!K275</f>
        <v>1</v>
      </c>
      <c r="L275" s="8">
        <f>'Components Data Source'!L275</f>
        <v>1</v>
      </c>
      <c r="M275" s="8" t="s">
        <v>1727</v>
      </c>
      <c r="N275" s="17" t="str">
        <f>HYPERLINK('Components Data Source'!M275)</f>
        <v>https://www.flowcode.co.uk/wiki/index.php?title=Component:_ID_82a800d4_8620_4386_8ba3_25af2768f24e</v>
      </c>
      <c r="O275" s="8" t="s">
        <v>1721</v>
      </c>
      <c r="P275" s="8" t="s">
        <v>2776</v>
      </c>
      <c r="Q275" s="8" t="str">
        <f t="shared" si="10"/>
        <v/>
      </c>
      <c r="R275" s="8" t="s">
        <v>1721</v>
      </c>
      <c r="S275" s="8" t="s">
        <v>1721</v>
      </c>
      <c r="T275" s="8" t="s">
        <v>1727</v>
      </c>
      <c r="U275" s="8" t="s">
        <v>1727</v>
      </c>
      <c r="V275" s="8" t="s">
        <v>1731</v>
      </c>
      <c r="W275" s="8" t="s">
        <v>1731</v>
      </c>
      <c r="X275" s="8" t="s">
        <v>1721</v>
      </c>
      <c r="Y275" s="8" t="s">
        <v>1721</v>
      </c>
      <c r="Z275" s="18">
        <f t="shared" si="9"/>
        <v>1</v>
      </c>
      <c r="AA275" s="8"/>
      <c r="AB275" s="7"/>
      <c r="AC275" s="7"/>
      <c r="AD275" s="8" t="s">
        <v>1721</v>
      </c>
      <c r="AE275" s="8" t="s">
        <v>1727</v>
      </c>
      <c r="AF275" s="8" t="s">
        <v>2401</v>
      </c>
      <c r="AG275" s="8"/>
      <c r="AH275" s="47"/>
      <c r="AI275" s="47">
        <f>VLOOKUP(B275,'Components Usage'!A$2:C$603,3,FALSE)</f>
        <v>4</v>
      </c>
      <c r="AJ275" s="28" t="s">
        <v>2401</v>
      </c>
    </row>
    <row r="276" spans="1:36" x14ac:dyDescent="0.25">
      <c r="A276" s="16" t="str">
        <f>'Components Data Source'!A276</f>
        <v>Network Communications</v>
      </c>
      <c r="B276" s="8" t="str">
        <f>'Components Data Source'!B276</f>
        <v>91049BF5-2436-42DC-947A-C30C86463D98</v>
      </c>
      <c r="C276" s="8" t="str">
        <f>'Components Data Source'!C276</f>
        <v>NetworkComms.fcpx</v>
      </c>
      <c r="D276" s="8" t="str">
        <f>'Components Data Source'!D276</f>
        <v>Components\IO_Source\NetworkComms.fcfx</v>
      </c>
      <c r="E276" s="8" t="str">
        <f>'Components Data Source'!E276</f>
        <v>FREE</v>
      </c>
      <c r="F276" s="8" t="str">
        <f>'Components Data Source'!F276</f>
        <v>COMMS: NETWORKING</v>
      </c>
      <c r="G276" s="8">
        <f>'Components Data Source'!G276</f>
        <v>0</v>
      </c>
      <c r="H276" s="8">
        <f>'Components Data Source'!H276</f>
        <v>0</v>
      </c>
      <c r="I276" s="8">
        <f>'Components Data Source'!I276</f>
        <v>0</v>
      </c>
      <c r="J276" s="8">
        <f>'Components Data Source'!J276</f>
        <v>1</v>
      </c>
      <c r="K276" s="8">
        <f>'Components Data Source'!K276</f>
        <v>1</v>
      </c>
      <c r="L276" s="8">
        <f>'Components Data Source'!L276</f>
        <v>1</v>
      </c>
      <c r="M276" s="8" t="s">
        <v>1727</v>
      </c>
      <c r="N276" s="17" t="str">
        <f>HYPERLINK('Components Data Source'!M276)</f>
        <v>https://www.flowcode.co.uk/wiki/index.php?title=Component:_ID_91049bf5_2436_42dc_947a_c30c86463d98</v>
      </c>
      <c r="O276" s="8" t="s">
        <v>1721</v>
      </c>
      <c r="P276" s="8"/>
      <c r="Q276" s="8" t="str">
        <f t="shared" si="10"/>
        <v/>
      </c>
      <c r="R276" s="8" t="s">
        <v>1721</v>
      </c>
      <c r="S276" s="8" t="s">
        <v>1721</v>
      </c>
      <c r="T276" s="8" t="s">
        <v>2474</v>
      </c>
      <c r="U276" s="8" t="s">
        <v>1721</v>
      </c>
      <c r="V276" s="8" t="s">
        <v>1732</v>
      </c>
      <c r="W276" s="8" t="s">
        <v>1009</v>
      </c>
      <c r="X276" s="8" t="s">
        <v>1721</v>
      </c>
      <c r="Y276" s="8" t="s">
        <v>2474</v>
      </c>
      <c r="Z276" s="18">
        <f t="shared" si="9"/>
        <v>0</v>
      </c>
      <c r="AA276" s="8" t="s">
        <v>1721</v>
      </c>
      <c r="AB276" s="7" t="s">
        <v>2490</v>
      </c>
      <c r="AC276" s="7"/>
      <c r="AD276" s="8" t="s">
        <v>1721</v>
      </c>
      <c r="AE276" s="8" t="s">
        <v>1721</v>
      </c>
      <c r="AF276" s="8" t="s">
        <v>2401</v>
      </c>
      <c r="AG276" s="8" t="s">
        <v>1721</v>
      </c>
      <c r="AH276" s="47"/>
      <c r="AI276" s="47">
        <f>VLOOKUP(B276,'Components Usage'!A$2:C$603,3,FALSE)</f>
        <v>131</v>
      </c>
      <c r="AJ276" s="28" t="s">
        <v>2401</v>
      </c>
    </row>
    <row r="277" spans="1:36" x14ac:dyDescent="0.25">
      <c r="A277" s="16" t="str">
        <f>'Components Data Source'!A277</f>
        <v>Nextion Display</v>
      </c>
      <c r="B277" s="8" t="str">
        <f>'Components Data Source'!B277</f>
        <v>756045FB-388B-4DBB-8F10-5136DE8BFACB</v>
      </c>
      <c r="C277" s="8" t="str">
        <f>'Components Data Source'!C277</f>
        <v>Nextion.fcpx</v>
      </c>
      <c r="D277" s="8" t="str">
        <f>'Components Data Source'!D277</f>
        <v>Components\IO_Source\displays\Nextion.fcfx</v>
      </c>
      <c r="E277" s="8" t="str">
        <f>'Components Data Source'!E277</f>
        <v>FREE</v>
      </c>
      <c r="F277" s="8" t="str">
        <f>'Components Data Source'!F277</f>
        <v>GRAPHICAL COLOR</v>
      </c>
      <c r="G277" s="8">
        <f>'Components Data Source'!G277</f>
        <v>0</v>
      </c>
      <c r="H277" s="8">
        <f>'Components Data Source'!H277</f>
        <v>0</v>
      </c>
      <c r="I277" s="8" t="str">
        <f>'Components Data Source'!I277</f>
        <v xml:space="preserve">UART </v>
      </c>
      <c r="J277" s="8">
        <f>'Components Data Source'!J277</f>
        <v>1</v>
      </c>
      <c r="K277" s="8">
        <f>'Components Data Source'!K277</f>
        <v>1</v>
      </c>
      <c r="L277" s="8">
        <f>'Components Data Source'!L277</f>
        <v>1</v>
      </c>
      <c r="M277" s="8" t="s">
        <v>1727</v>
      </c>
      <c r="N277" s="17" t="str">
        <f>HYPERLINK('Components Data Source'!M277)</f>
        <v>https://www.flowcode.co.uk/wiki/index.php?title=Component:_ID_756045fb_388b_4dbb_8f10_5136de8bfacb</v>
      </c>
      <c r="O277" s="8" t="s">
        <v>1721</v>
      </c>
      <c r="P277" s="8"/>
      <c r="Q277" s="8" t="str">
        <f t="shared" si="10"/>
        <v/>
      </c>
      <c r="R277" s="8" t="s">
        <v>1721</v>
      </c>
      <c r="S277" s="8" t="s">
        <v>1721</v>
      </c>
      <c r="T277" s="8" t="s">
        <v>1721</v>
      </c>
      <c r="U277" s="8" t="s">
        <v>1721</v>
      </c>
      <c r="V277" s="8" t="s">
        <v>1730</v>
      </c>
      <c r="W277" s="8" t="s">
        <v>1183</v>
      </c>
      <c r="X277" s="8" t="s">
        <v>1721</v>
      </c>
      <c r="Y277" s="8" t="s">
        <v>1721</v>
      </c>
      <c r="Z277" s="18">
        <f t="shared" si="9"/>
        <v>1</v>
      </c>
      <c r="AA277" s="8"/>
      <c r="AB277" s="7"/>
      <c r="AC277" s="7"/>
      <c r="AD277" s="8" t="s">
        <v>1721</v>
      </c>
      <c r="AE277" s="8" t="s">
        <v>1721</v>
      </c>
      <c r="AF277" s="8" t="s">
        <v>1727</v>
      </c>
      <c r="AG277" s="8"/>
      <c r="AH277" s="47"/>
      <c r="AI277" s="47">
        <f>VLOOKUP(B277,'Components Usage'!A$2:C$603,3,FALSE)</f>
        <v>0</v>
      </c>
      <c r="AJ277" s="28" t="s">
        <v>2401</v>
      </c>
    </row>
    <row r="278" spans="1:36" hidden="1" x14ac:dyDescent="0.25">
      <c r="A278" s="16" t="str">
        <f>'Components Data Source'!A278</f>
        <v>Numeric Display</v>
      </c>
      <c r="B278" s="8" t="str">
        <f>'Components Data Source'!B278</f>
        <v>64F3C8AD-21A4-4E15-B9AA-C32A2EDCA893</v>
      </c>
      <c r="C278" s="8" t="str">
        <f>'Components Data Source'!C278</f>
        <v>Num7Seg.fcpx</v>
      </c>
      <c r="D278" s="8" t="str">
        <f>'Components Data Source'!D278</f>
        <v>Components\IO_Source\SCADA\7SegNumeric.fcfx</v>
      </c>
      <c r="E278" s="8" t="str">
        <f>'Components Data Source'!E278</f>
        <v>SCADA</v>
      </c>
      <c r="F278" s="8" t="str">
        <f>'Components Data Source'!F278</f>
        <v>INDICATORS</v>
      </c>
      <c r="G278" s="8" t="str">
        <f>'Components Data Source'!G278</f>
        <v xml:space="preserve">INDICATORS </v>
      </c>
      <c r="H278" s="8">
        <f>'Components Data Source'!H278</f>
        <v>0</v>
      </c>
      <c r="I278" s="8">
        <f>'Components Data Source'!I278</f>
        <v>0</v>
      </c>
      <c r="J278" s="8">
        <f>'Components Data Source'!J278</f>
        <v>1</v>
      </c>
      <c r="K278" s="8">
        <f>'Components Data Source'!K278</f>
        <v>1</v>
      </c>
      <c r="L278" s="8">
        <f>'Components Data Source'!L278</f>
        <v>1</v>
      </c>
      <c r="M278" s="8" t="s">
        <v>1727</v>
      </c>
      <c r="N278" s="17" t="str">
        <f>HYPERLINK('Components Data Source'!M278)</f>
        <v>https://www.flowcode.co.uk/wiki/index.php?title=Component:_ID_64f3c8ad_21a4_4e15_b9aa_c32a2edca893</v>
      </c>
      <c r="O278" s="8" t="s">
        <v>1721</v>
      </c>
      <c r="P278" s="8"/>
      <c r="Q278" s="8" t="str">
        <f t="shared" si="10"/>
        <v/>
      </c>
      <c r="R278" s="8" t="s">
        <v>1727</v>
      </c>
      <c r="S278" s="8"/>
      <c r="T278" s="8"/>
      <c r="U278" s="8"/>
      <c r="V278" s="8" t="s">
        <v>1730</v>
      </c>
      <c r="W278" s="8" t="s">
        <v>1730</v>
      </c>
      <c r="X278" s="8"/>
      <c r="Y278" s="8"/>
      <c r="Z278" s="18">
        <f t="shared" si="9"/>
        <v>2</v>
      </c>
      <c r="AA278" s="8"/>
      <c r="AB278" s="7"/>
      <c r="AC278" s="7"/>
      <c r="AD278" s="8" t="s">
        <v>1721</v>
      </c>
      <c r="AE278" s="8" t="s">
        <v>1727</v>
      </c>
      <c r="AF278" s="8" t="s">
        <v>2401</v>
      </c>
      <c r="AG278" s="8" t="s">
        <v>1721</v>
      </c>
      <c r="AH278" s="47"/>
      <c r="AI278" s="47">
        <f>VLOOKUP(B278,'Components Usage'!A$2:C$603,3,FALSE)</f>
        <v>69</v>
      </c>
      <c r="AJ278" s="28" t="s">
        <v>2401</v>
      </c>
    </row>
    <row r="279" spans="1:36" hidden="1" x14ac:dyDescent="0.25">
      <c r="A279" s="16" t="str">
        <f>'Components Data Source'!A279</f>
        <v>Numeric Label</v>
      </c>
      <c r="B279" s="8" t="str">
        <f>'Components Data Source'!B279</f>
        <v>0D82E327-2114-430E-812E-9F5B3FE99EF7</v>
      </c>
      <c r="C279" s="8" t="str">
        <f>'Components Data Source'!C279</f>
        <v>NumLabel.fcpx</v>
      </c>
      <c r="D279" s="8" t="str">
        <f>'Components Data Source'!D279</f>
        <v>Components\IO_Source\SCADA\NumericLabel.fcfx</v>
      </c>
      <c r="E279" s="8" t="str">
        <f>'Components Data Source'!E279</f>
        <v>SCADA</v>
      </c>
      <c r="F279" s="8" t="str">
        <f>'Components Data Source'!F279</f>
        <v>INDICATORS</v>
      </c>
      <c r="G279" s="8">
        <f>'Components Data Source'!G279</f>
        <v>0</v>
      </c>
      <c r="H279" s="8">
        <f>'Components Data Source'!H279</f>
        <v>0</v>
      </c>
      <c r="I279" s="8">
        <f>'Components Data Source'!I279</f>
        <v>0</v>
      </c>
      <c r="J279" s="8">
        <f>'Components Data Source'!J279</f>
        <v>1</v>
      </c>
      <c r="K279" s="8">
        <f>'Components Data Source'!K279</f>
        <v>1</v>
      </c>
      <c r="L279" s="8">
        <f>'Components Data Source'!L279</f>
        <v>1</v>
      </c>
      <c r="M279" s="8" t="s">
        <v>1727</v>
      </c>
      <c r="N279" s="17" t="str">
        <f>HYPERLINK('Components Data Source'!M279)</f>
        <v>https://www.flowcode.co.uk/wiki/index.php?title=Component:_ID_0d82e327_2114_430e_812e_9f5b3fe99ef7</v>
      </c>
      <c r="O279" s="8" t="s">
        <v>1721</v>
      </c>
      <c r="P279" s="8"/>
      <c r="Q279" s="8" t="str">
        <f t="shared" si="10"/>
        <v/>
      </c>
      <c r="R279" s="8" t="s">
        <v>1727</v>
      </c>
      <c r="S279" s="8"/>
      <c r="T279" s="8"/>
      <c r="U279" s="8"/>
      <c r="V279" s="8" t="s">
        <v>1730</v>
      </c>
      <c r="W279" s="8" t="s">
        <v>1730</v>
      </c>
      <c r="X279" s="8"/>
      <c r="Y279" s="8"/>
      <c r="Z279" s="18">
        <f t="shared" si="9"/>
        <v>2</v>
      </c>
      <c r="AA279" s="8"/>
      <c r="AB279" s="7"/>
      <c r="AC279" s="7"/>
      <c r="AD279" s="8" t="s">
        <v>1721</v>
      </c>
      <c r="AE279" s="8" t="s">
        <v>1727</v>
      </c>
      <c r="AF279" s="8" t="s">
        <v>2401</v>
      </c>
      <c r="AG279" s="8"/>
      <c r="AH279" s="47"/>
      <c r="AI279" s="47">
        <f>VLOOKUP(B279,'Components Usage'!A$2:C$603,3,FALSE)</f>
        <v>0</v>
      </c>
      <c r="AJ279" s="28" t="s">
        <v>2401</v>
      </c>
    </row>
    <row r="280" spans="1:36" x14ac:dyDescent="0.25">
      <c r="A280" s="16" t="str">
        <f>'Components Data Source'!A280</f>
        <v>Number Pad</v>
      </c>
      <c r="B280" s="8" t="str">
        <f>'Components Data Source'!B280</f>
        <v>53A15E07-4DCD-4DD6-96A9-D96164D63574</v>
      </c>
      <c r="C280" s="8" t="str">
        <f>'Components Data Source'!C280</f>
        <v>NumberPad.fcpx</v>
      </c>
      <c r="D280" s="8" t="str">
        <f>'Components Data Source'!D280</f>
        <v>Components\IO_Source\SCADA\NumberPad.fcsx</v>
      </c>
      <c r="E280" s="8" t="str">
        <f>'Components Data Source'!E280</f>
        <v>FREE</v>
      </c>
      <c r="F280" s="8" t="str">
        <f>'Components Data Source'!F280</f>
        <v xml:space="preserve">CONTROLS </v>
      </c>
      <c r="G280" s="8" t="str">
        <f>'Components Data Source'!G280</f>
        <v>CONTROLS</v>
      </c>
      <c r="H280" s="8">
        <f>'Components Data Source'!H280</f>
        <v>0</v>
      </c>
      <c r="I280" s="8">
        <f>'Components Data Source'!I280</f>
        <v>0</v>
      </c>
      <c r="J280" s="8">
        <f>'Components Data Source'!J280</f>
        <v>1</v>
      </c>
      <c r="K280" s="8">
        <f>'Components Data Source'!K280</f>
        <v>1</v>
      </c>
      <c r="L280" s="8">
        <f>'Components Data Source'!L280</f>
        <v>1</v>
      </c>
      <c r="M280" s="8" t="s">
        <v>1727</v>
      </c>
      <c r="N280" s="17" t="str">
        <f>HYPERLINK('Components Data Source'!M280)</f>
        <v>https://www.flowcode.co.uk/wiki/index.php?title=Component:_ID_53a15e07_4dcd_4dd6_96a9_d96164d63574</v>
      </c>
      <c r="O280" s="8" t="s">
        <v>1721</v>
      </c>
      <c r="P280" s="8"/>
      <c r="Q280" s="8" t="str">
        <f t="shared" si="10"/>
        <v/>
      </c>
      <c r="R280" s="8" t="s">
        <v>1727</v>
      </c>
      <c r="S280" s="8" t="s">
        <v>1721</v>
      </c>
      <c r="T280" s="8"/>
      <c r="U280" s="8"/>
      <c r="V280" s="8" t="s">
        <v>1730</v>
      </c>
      <c r="W280" s="8" t="s">
        <v>1730</v>
      </c>
      <c r="X280" s="8"/>
      <c r="Y280" s="8"/>
      <c r="Z280" s="18">
        <f t="shared" si="9"/>
        <v>2</v>
      </c>
      <c r="AA280" s="8"/>
      <c r="AB280" s="7"/>
      <c r="AC280" s="7"/>
      <c r="AD280" s="8" t="s">
        <v>1727</v>
      </c>
      <c r="AE280" s="8"/>
      <c r="AF280" s="8"/>
      <c r="AG280" s="8"/>
      <c r="AH280" s="47"/>
      <c r="AI280" s="47">
        <f>VLOOKUP(B280,'Components Usage'!A$2:C$603,3,FALSE)</f>
        <v>6</v>
      </c>
      <c r="AJ280" s="28"/>
    </row>
    <row r="281" spans="1:36" x14ac:dyDescent="0.25">
      <c r="A281" s="16" t="str">
        <f>'Components Data Source'!A281</f>
        <v>Numeric Indicator</v>
      </c>
      <c r="B281" s="8" t="str">
        <f>'Components Data Source'!B281</f>
        <v>F959D1C6-E0BE-415B-ABD6-DA5B386638F3</v>
      </c>
      <c r="C281" s="8" t="str">
        <f>'Components Data Source'!C281</f>
        <v>NumericIndicator.fcpx</v>
      </c>
      <c r="D281" s="8" t="str">
        <f>'Components Data Source'!D281</f>
        <v>Components\IO_Source\2dGDI\NumericIndicator.fcfx</v>
      </c>
      <c r="E281" s="8" t="str">
        <f>'Components Data Source'!E281</f>
        <v>FREE</v>
      </c>
      <c r="F281" s="8" t="str">
        <f>'Components Data Source'!F281</f>
        <v>INDICATORS</v>
      </c>
      <c r="G281" s="8" t="str">
        <f>'Components Data Source'!G281</f>
        <v xml:space="preserve">INDICATORS </v>
      </c>
      <c r="H281" s="8">
        <f>'Components Data Source'!H281</f>
        <v>0</v>
      </c>
      <c r="I281" s="8">
        <f>'Components Data Source'!I281</f>
        <v>0</v>
      </c>
      <c r="J281" s="8">
        <f>'Components Data Source'!J281</f>
        <v>1</v>
      </c>
      <c r="K281" s="8">
        <f>'Components Data Source'!K281</f>
        <v>1</v>
      </c>
      <c r="L281" s="8">
        <f>'Components Data Source'!L281</f>
        <v>1</v>
      </c>
      <c r="M281" s="8" t="s">
        <v>1727</v>
      </c>
      <c r="N281" s="17" t="str">
        <f>HYPERLINK('Components Data Source'!M281)</f>
        <v>https://www.flowcode.co.uk/wiki/index.php?title=Component:_ID_f959d1c6_e0be_415b_abd6_da5b386638f3</v>
      </c>
      <c r="O281" s="8" t="s">
        <v>1721</v>
      </c>
      <c r="P281" s="8" t="s">
        <v>2776</v>
      </c>
      <c r="Q281" s="8" t="str">
        <f t="shared" si="10"/>
        <v/>
      </c>
      <c r="R281" s="8" t="s">
        <v>1727</v>
      </c>
      <c r="S281" s="8" t="s">
        <v>1721</v>
      </c>
      <c r="T281" s="8"/>
      <c r="U281" s="8"/>
      <c r="V281" s="8" t="s">
        <v>1730</v>
      </c>
      <c r="W281" s="8" t="s">
        <v>1730</v>
      </c>
      <c r="X281" s="8"/>
      <c r="Y281" s="8"/>
      <c r="Z281" s="18">
        <f t="shared" si="9"/>
        <v>2</v>
      </c>
      <c r="AA281" s="8"/>
      <c r="AB281" s="7"/>
      <c r="AC281" s="7"/>
      <c r="AD281" s="8" t="s">
        <v>1721</v>
      </c>
      <c r="AE281" s="8" t="s">
        <v>1727</v>
      </c>
      <c r="AF281" s="8" t="s">
        <v>2401</v>
      </c>
      <c r="AG281" s="8"/>
      <c r="AH281" s="47"/>
      <c r="AI281" s="47">
        <f>VLOOKUP(B281,'Components Usage'!A$2:C$603,3,FALSE)</f>
        <v>21</v>
      </c>
      <c r="AJ281" s="28" t="s">
        <v>2401</v>
      </c>
    </row>
    <row r="282" spans="1:36" x14ac:dyDescent="0.25">
      <c r="A282" s="16" t="str">
        <f>'Components Data Source'!A282</f>
        <v>On / Off Indicator</v>
      </c>
      <c r="B282" s="8" t="str">
        <f>'Components Data Source'!B282</f>
        <v>4B055FCF-06DD-471B-8736-D2A089E0DBE5</v>
      </c>
      <c r="C282" s="8" t="str">
        <f>'Components Data Source'!C282</f>
        <v>OnOffIndicator.fcpx</v>
      </c>
      <c r="D282" s="8" t="str">
        <f>'Components Data Source'!D282</f>
        <v>Components\IO_Source\SCADA\Indicator.fcsx</v>
      </c>
      <c r="E282" s="8" t="str">
        <f>'Components Data Source'!E282</f>
        <v>FREE</v>
      </c>
      <c r="F282" s="8" t="str">
        <f>'Components Data Source'!F282</f>
        <v xml:space="preserve">INDICATORS </v>
      </c>
      <c r="G282" s="8" t="str">
        <f>'Components Data Source'!G282</f>
        <v>INDICATORS</v>
      </c>
      <c r="H282" s="8">
        <f>'Components Data Source'!H282</f>
        <v>0</v>
      </c>
      <c r="I282" s="8">
        <f>'Components Data Source'!I282</f>
        <v>0</v>
      </c>
      <c r="J282" s="8">
        <f>'Components Data Source'!J282</f>
        <v>1</v>
      </c>
      <c r="K282" s="8">
        <f>'Components Data Source'!K282</f>
        <v>1</v>
      </c>
      <c r="L282" s="8">
        <f>'Components Data Source'!L282</f>
        <v>1</v>
      </c>
      <c r="M282" s="8" t="s">
        <v>1727</v>
      </c>
      <c r="N282" s="17" t="str">
        <f>HYPERLINK('Components Data Source'!M282)</f>
        <v>https://www.flowcode.co.uk/wiki/index.php?title=Component:_ID_4b055fcf_06dd_471b_8736_d2a089e0dbe5</v>
      </c>
      <c r="O282" s="8" t="s">
        <v>1721</v>
      </c>
      <c r="P282" s="8"/>
      <c r="Q282" s="8" t="str">
        <f t="shared" si="10"/>
        <v/>
      </c>
      <c r="R282" s="8" t="s">
        <v>1727</v>
      </c>
      <c r="S282" s="8" t="s">
        <v>1721</v>
      </c>
      <c r="T282" s="8"/>
      <c r="U282" s="8"/>
      <c r="V282" s="8" t="s">
        <v>1730</v>
      </c>
      <c r="W282" s="8" t="s">
        <v>1730</v>
      </c>
      <c r="X282" s="8"/>
      <c r="Y282" s="8"/>
      <c r="Z282" s="18">
        <f t="shared" si="9"/>
        <v>2</v>
      </c>
      <c r="AA282" s="8"/>
      <c r="AB282" s="7"/>
      <c r="AC282" s="7"/>
      <c r="AD282" s="8" t="s">
        <v>1727</v>
      </c>
      <c r="AE282" s="8"/>
      <c r="AF282" s="8"/>
      <c r="AG282" s="8" t="s">
        <v>2401</v>
      </c>
      <c r="AH282" s="47" t="s">
        <v>3650</v>
      </c>
      <c r="AI282" s="47">
        <f>VLOOKUP(B282,'Components Usage'!A$2:C$603,3,FALSE)</f>
        <v>33</v>
      </c>
      <c r="AJ282" s="28"/>
    </row>
    <row r="283" spans="1:36" hidden="1" x14ac:dyDescent="0.25">
      <c r="A283" s="16" t="str">
        <f>'Components Data Source'!A283</f>
        <v>One Wire</v>
      </c>
      <c r="B283" s="8" t="str">
        <f>'Components Data Source'!B283</f>
        <v>64B26B13-68CF-4A92-8616-E882B7C71023</v>
      </c>
      <c r="C283" s="8" t="str">
        <f>'Components Data Source'!C283</f>
        <v>One_Wire.fcpx</v>
      </c>
      <c r="D283" s="8" t="str">
        <f>'Components Data Source'!D283</f>
        <v>Components\IO_Source\One_Wire.fcfx</v>
      </c>
      <c r="E283" s="8" t="str">
        <f>'Components Data Source'!E283</f>
        <v>COMMSA</v>
      </c>
      <c r="F283" s="8" t="str">
        <f>'Components Data Source'!F283</f>
        <v>COMMS: INTERFACE</v>
      </c>
      <c r="G283" s="8">
        <f>'Components Data Source'!G283</f>
        <v>0</v>
      </c>
      <c r="H283" s="8">
        <f>'Components Data Source'!H283</f>
        <v>0</v>
      </c>
      <c r="I283" s="8">
        <f>'Components Data Source'!I283</f>
        <v>0</v>
      </c>
      <c r="J283" s="8">
        <f>'Components Data Source'!J283</f>
        <v>1</v>
      </c>
      <c r="K283" s="8">
        <f>'Components Data Source'!K283</f>
        <v>1</v>
      </c>
      <c r="L283" s="8">
        <f>'Components Data Source'!L283</f>
        <v>0</v>
      </c>
      <c r="M283" s="8" t="s">
        <v>1727</v>
      </c>
      <c r="N283" s="17" t="str">
        <f>HYPERLINK('Components Data Source'!M283)</f>
        <v>https://www.flowcode.co.uk/wiki/index.php?title=Component:_ID_64b26b13_68cf_4a92_8616_e882b7c71023</v>
      </c>
      <c r="O283" s="8" t="s">
        <v>1721</v>
      </c>
      <c r="P283" s="8"/>
      <c r="Q283" s="8" t="str">
        <f t="shared" si="10"/>
        <v/>
      </c>
      <c r="R283" s="1" t="s">
        <v>1721</v>
      </c>
      <c r="S283" s="1" t="s">
        <v>1721</v>
      </c>
      <c r="T283" s="1" t="s">
        <v>1721</v>
      </c>
      <c r="U283" s="1" t="s">
        <v>1721</v>
      </c>
      <c r="V283" s="8" t="s">
        <v>2492</v>
      </c>
      <c r="W283" s="8" t="s">
        <v>2491</v>
      </c>
      <c r="X283" s="1" t="s">
        <v>1721</v>
      </c>
      <c r="Y283" s="8" t="s">
        <v>1721</v>
      </c>
      <c r="Z283" s="18">
        <f t="shared" si="9"/>
        <v>1</v>
      </c>
      <c r="AA283" s="8"/>
      <c r="AB283" s="6" t="s">
        <v>2452</v>
      </c>
      <c r="AC283" s="7"/>
      <c r="AD283" s="8" t="s">
        <v>1721</v>
      </c>
      <c r="AE283" s="8" t="s">
        <v>1721</v>
      </c>
      <c r="AF283" s="8" t="s">
        <v>1727</v>
      </c>
      <c r="AG283" s="8" t="s">
        <v>1721</v>
      </c>
      <c r="AH283" s="47"/>
      <c r="AI283" s="47">
        <f>VLOOKUP(B283,'Components Usage'!A$2:C$603,3,FALSE)</f>
        <v>34</v>
      </c>
      <c r="AJ283" s="28" t="s">
        <v>2401</v>
      </c>
    </row>
    <row r="284" spans="1:36" x14ac:dyDescent="0.25">
      <c r="A284" s="16" t="str">
        <f>'Components Data Source'!A284</f>
        <v>PWM 16CH 12Bit (PCA9685)</v>
      </c>
      <c r="B284" s="8" t="str">
        <f>'Components Data Source'!B284</f>
        <v>5BD41BE2-1B9C-4F30-BA78-84CB29D61CED</v>
      </c>
      <c r="C284" s="8" t="str">
        <f>'Components Data Source'!C284</f>
        <v>PCA9685_PWM.fcpx</v>
      </c>
      <c r="D284" s="8" t="str">
        <f>'Components Data Source'!D284</f>
        <v>Components\IO_Source\outputs\PCA9685_16_Channel_PWM.fcfx</v>
      </c>
      <c r="E284" s="8" t="str">
        <f>'Components Data Source'!E284</f>
        <v>FREE</v>
      </c>
      <c r="F284" s="8" t="str">
        <f>'Components Data Source'!F284</f>
        <v>GENERAL OUTPUT</v>
      </c>
      <c r="G284" s="8">
        <f>'Components Data Source'!G284</f>
        <v>0</v>
      </c>
      <c r="H284" s="8">
        <f>'Components Data Source'!H284</f>
        <v>0</v>
      </c>
      <c r="I284" s="8" t="str">
        <f>'Components Data Source'!I284</f>
        <v xml:space="preserve">I2C </v>
      </c>
      <c r="J284" s="8">
        <f>'Components Data Source'!J284</f>
        <v>1</v>
      </c>
      <c r="K284" s="8">
        <f>'Components Data Source'!K284</f>
        <v>1</v>
      </c>
      <c r="L284" s="8">
        <f>'Components Data Source'!L284</f>
        <v>0</v>
      </c>
      <c r="M284" s="8" t="s">
        <v>1727</v>
      </c>
      <c r="N284" s="17" t="str">
        <f>HYPERLINK('Components Data Source'!M284)</f>
        <v>https://www.flowcode.co.uk/wiki/index.php?title=Component:_ID_5bd41be2_1b9c_4f30_ba78_84cb29d61ced</v>
      </c>
      <c r="O284" s="8" t="s">
        <v>1721</v>
      </c>
      <c r="P284" s="8"/>
      <c r="Q284" s="8" t="str">
        <f t="shared" si="10"/>
        <v/>
      </c>
      <c r="R284" s="8" t="s">
        <v>1721</v>
      </c>
      <c r="S284" s="8" t="s">
        <v>1721</v>
      </c>
      <c r="T284" s="8" t="s">
        <v>1721</v>
      </c>
      <c r="U284" s="8" t="s">
        <v>1721</v>
      </c>
      <c r="V284" s="8" t="s">
        <v>1731</v>
      </c>
      <c r="W284" s="8" t="s">
        <v>1175</v>
      </c>
      <c r="X284" s="8" t="s">
        <v>1721</v>
      </c>
      <c r="Y284" s="8" t="s">
        <v>1721</v>
      </c>
      <c r="Z284" s="18">
        <f t="shared" si="9"/>
        <v>1</v>
      </c>
      <c r="AA284" s="8"/>
      <c r="AB284" s="7"/>
      <c r="AC284" s="7"/>
      <c r="AD284" s="8" t="s">
        <v>1721</v>
      </c>
      <c r="AE284" s="8" t="s">
        <v>1727</v>
      </c>
      <c r="AF284" s="8" t="s">
        <v>1727</v>
      </c>
      <c r="AG284" s="8"/>
      <c r="AH284" s="47"/>
      <c r="AI284" s="47">
        <f>VLOOKUP(B284,'Components Usage'!A$2:C$603,3,FALSE)</f>
        <v>0</v>
      </c>
      <c r="AJ284" s="28" t="s">
        <v>2401</v>
      </c>
    </row>
    <row r="285" spans="1:36" hidden="1" x14ac:dyDescent="0.25">
      <c r="A285" s="16" t="str">
        <f>'Components Data Source'!A285</f>
        <v>IO Expander(PCF8574)</v>
      </c>
      <c r="B285" s="8" t="str">
        <f>'Components Data Source'!B285</f>
        <v>D43A1C1F-8AD6-4271-9F62-20E1BDF529F0</v>
      </c>
      <c r="C285" s="8" t="str">
        <f>'Components Data Source'!C285</f>
        <v>PCF8574.fcpx</v>
      </c>
      <c r="D285" s="8" t="str">
        <f>'Components Data Source'!D285</f>
        <v>Components\IO_Source\IOEXP_PCF8574.fcfx</v>
      </c>
      <c r="E285" s="8" t="str">
        <f>'Components Data Source'!E285</f>
        <v>COMMSA</v>
      </c>
      <c r="F285" s="8" t="str">
        <f>'Components Data Source'!F285</f>
        <v>COMMS: SYSTEM</v>
      </c>
      <c r="G285" s="8">
        <f>'Components Data Source'!G285</f>
        <v>0</v>
      </c>
      <c r="H285" s="8">
        <f>'Components Data Source'!H285</f>
        <v>0</v>
      </c>
      <c r="I285" s="8" t="str">
        <f>'Components Data Source'!I285</f>
        <v xml:space="preserve">I2C </v>
      </c>
      <c r="J285" s="8">
        <f>'Components Data Source'!J285</f>
        <v>1</v>
      </c>
      <c r="K285" s="8">
        <f>'Components Data Source'!K285</f>
        <v>1</v>
      </c>
      <c r="L285" s="8">
        <f>'Components Data Source'!L285</f>
        <v>1</v>
      </c>
      <c r="M285" s="8" t="s">
        <v>1727</v>
      </c>
      <c r="N285" s="17" t="str">
        <f>HYPERLINK('Components Data Source'!M285)</f>
        <v>https://www.flowcode.co.uk/wiki/index.php?title=Component:_ID_d43a1c1f_8ad6_4271_9f62_20e1bdf529f0</v>
      </c>
      <c r="O285" s="8" t="s">
        <v>1721</v>
      </c>
      <c r="P285" s="8"/>
      <c r="Q285" s="8" t="str">
        <f t="shared" si="10"/>
        <v/>
      </c>
      <c r="R285" s="1" t="s">
        <v>1721</v>
      </c>
      <c r="S285" s="1" t="s">
        <v>1721</v>
      </c>
      <c r="T285" s="1" t="s">
        <v>1721</v>
      </c>
      <c r="U285" s="1" t="s">
        <v>1721</v>
      </c>
      <c r="V285" s="1" t="s">
        <v>1731</v>
      </c>
      <c r="W285" s="1" t="s">
        <v>1175</v>
      </c>
      <c r="X285" s="1" t="s">
        <v>1721</v>
      </c>
      <c r="Y285" s="8" t="s">
        <v>1721</v>
      </c>
      <c r="Z285" s="18">
        <f t="shared" si="9"/>
        <v>1</v>
      </c>
      <c r="AA285" s="8"/>
      <c r="AB285" s="7"/>
      <c r="AC285" s="7"/>
      <c r="AD285" s="8" t="s">
        <v>1721</v>
      </c>
      <c r="AE285" s="8" t="s">
        <v>1727</v>
      </c>
      <c r="AF285" s="8" t="s">
        <v>1727</v>
      </c>
      <c r="AG285" s="8"/>
      <c r="AH285" s="47"/>
      <c r="AI285" s="47">
        <f>VLOOKUP(B285,'Components Usage'!A$2:C$603,3,FALSE)</f>
        <v>28</v>
      </c>
      <c r="AJ285" s="28" t="s">
        <v>2401</v>
      </c>
    </row>
    <row r="286" spans="1:36" hidden="1" x14ac:dyDescent="0.25">
      <c r="A286" s="16" t="str">
        <f>'Components Data Source'!A286</f>
        <v>IO Expander(PCF8575)</v>
      </c>
      <c r="B286" s="8" t="str">
        <f>'Components Data Source'!B286</f>
        <v>4616B658-531F-4C5E-981A-4D9FC04F9A36</v>
      </c>
      <c r="C286" s="8" t="str">
        <f>'Components Data Source'!C286</f>
        <v>PCF8575.fcpx</v>
      </c>
      <c r="D286" s="8" t="str">
        <f>'Components Data Source'!D286</f>
        <v>Components\IO_Source\IOEXP_PCF8575.fcfx</v>
      </c>
      <c r="E286" s="8" t="str">
        <f>'Components Data Source'!E286</f>
        <v>COMMSA</v>
      </c>
      <c r="F286" s="8" t="str">
        <f>'Components Data Source'!F286</f>
        <v>COMMS: SYSTEM</v>
      </c>
      <c r="G286" s="8">
        <f>'Components Data Source'!G286</f>
        <v>0</v>
      </c>
      <c r="H286" s="8">
        <f>'Components Data Source'!H286</f>
        <v>0</v>
      </c>
      <c r="I286" s="8" t="str">
        <f>'Components Data Source'!I286</f>
        <v xml:space="preserve">I2C </v>
      </c>
      <c r="J286" s="8">
        <f>'Components Data Source'!J286</f>
        <v>1</v>
      </c>
      <c r="K286" s="8">
        <f>'Components Data Source'!K286</f>
        <v>1</v>
      </c>
      <c r="L286" s="8">
        <f>'Components Data Source'!L286</f>
        <v>1</v>
      </c>
      <c r="M286" s="8" t="s">
        <v>1727</v>
      </c>
      <c r="N286" s="17" t="str">
        <f>HYPERLINK('Components Data Source'!M286)</f>
        <v>https://www.flowcode.co.uk/wiki/index.php?title=Component:_ID_4616b658_531f_4c5e_981a_4d9fc04f9a36</v>
      </c>
      <c r="O286" s="8" t="s">
        <v>1721</v>
      </c>
      <c r="P286" s="8"/>
      <c r="Q286" s="8" t="str">
        <f t="shared" si="10"/>
        <v/>
      </c>
      <c r="R286" s="1" t="s">
        <v>1721</v>
      </c>
      <c r="S286" s="1" t="s">
        <v>1721</v>
      </c>
      <c r="T286" s="1" t="s">
        <v>1721</v>
      </c>
      <c r="U286" s="1" t="s">
        <v>1721</v>
      </c>
      <c r="V286" s="1" t="s">
        <v>1731</v>
      </c>
      <c r="W286" s="1" t="s">
        <v>1175</v>
      </c>
      <c r="X286" s="1" t="s">
        <v>1721</v>
      </c>
      <c r="Y286" s="8" t="s">
        <v>1721</v>
      </c>
      <c r="Z286" s="18">
        <f t="shared" si="9"/>
        <v>1</v>
      </c>
      <c r="AA286" s="8"/>
      <c r="AB286" s="7"/>
      <c r="AC286" s="7"/>
      <c r="AD286" s="8" t="s">
        <v>1721</v>
      </c>
      <c r="AE286" s="8" t="s">
        <v>1727</v>
      </c>
      <c r="AF286" s="8" t="s">
        <v>1727</v>
      </c>
      <c r="AG286" s="8"/>
      <c r="AH286" s="47"/>
      <c r="AI286" s="47">
        <f>VLOOKUP(B286,'Components Usage'!A$2:C$603,3,FALSE)</f>
        <v>0</v>
      </c>
      <c r="AJ286" s="28" t="s">
        <v>2401</v>
      </c>
    </row>
    <row r="287" spans="1:36" hidden="1" x14ac:dyDescent="0.25">
      <c r="A287" s="16" t="str">
        <f>'Components Data Source'!A287</f>
        <v>ADC QUAD + DAC (PCF8591)</v>
      </c>
      <c r="B287" s="8" t="str">
        <f>'Components Data Source'!B287</f>
        <v>E65E5368-AF24-44A9-897E-CB0422FCEA27</v>
      </c>
      <c r="C287" s="8" t="str">
        <f>'Components Data Source'!C287</f>
        <v>PCF8591.fcpx</v>
      </c>
      <c r="D287" s="8" t="str">
        <f>'Components Data Source'!D287</f>
        <v>Components\IO_Source\adc\External_ADC4_DAC1_PCF8591.fcfx</v>
      </c>
      <c r="E287" s="8" t="str">
        <f>'Components Data Source'!E287</f>
        <v>BASICIO</v>
      </c>
      <c r="F287" s="8" t="str">
        <f>'Components Data Source'!F287</f>
        <v>ANALOG INPUT</v>
      </c>
      <c r="G287" s="8" t="str">
        <f>'Components Data Source'!G287</f>
        <v>ANALOG OUTPUT</v>
      </c>
      <c r="H287" s="8" t="str">
        <f>'Components Data Source'!H287</f>
        <v xml:space="preserve">CONTROLS </v>
      </c>
      <c r="I287" s="8" t="str">
        <f>'Components Data Source'!I287</f>
        <v xml:space="preserve">I2C </v>
      </c>
      <c r="J287" s="8">
        <f>'Components Data Source'!J287</f>
        <v>1</v>
      </c>
      <c r="K287" s="8">
        <f>'Components Data Source'!K287</f>
        <v>1</v>
      </c>
      <c r="L287" s="8">
        <f>'Components Data Source'!L287</f>
        <v>1</v>
      </c>
      <c r="M287" s="8" t="s">
        <v>1727</v>
      </c>
      <c r="N287" s="17" t="str">
        <f>HYPERLINK('Components Data Source'!M287)</f>
        <v>https://www.flowcode.co.uk/wiki/index.php?title=Component:_ID_e65e5368_af24_44a9_897e_cb0422fcea27</v>
      </c>
      <c r="O287" s="8" t="s">
        <v>1721</v>
      </c>
      <c r="P287" s="8"/>
      <c r="Q287" s="8" t="str">
        <f t="shared" si="10"/>
        <v/>
      </c>
      <c r="R287" s="8" t="s">
        <v>1721</v>
      </c>
      <c r="S287" s="8" t="s">
        <v>1721</v>
      </c>
      <c r="T287" s="8" t="s">
        <v>1721</v>
      </c>
      <c r="U287" s="8" t="s">
        <v>1721</v>
      </c>
      <c r="V287" s="8" t="s">
        <v>1731</v>
      </c>
      <c r="W287" s="8" t="s">
        <v>1175</v>
      </c>
      <c r="X287" s="8" t="s">
        <v>1721</v>
      </c>
      <c r="Y287" s="8" t="s">
        <v>1721</v>
      </c>
      <c r="Z287" s="18">
        <f t="shared" si="9"/>
        <v>1</v>
      </c>
      <c r="AA287" s="8"/>
      <c r="AB287" s="7" t="s">
        <v>2421</v>
      </c>
      <c r="AC287" s="7"/>
      <c r="AD287" s="8" t="s">
        <v>1727</v>
      </c>
      <c r="AE287" s="8"/>
      <c r="AF287" s="8"/>
      <c r="AG287" s="8"/>
      <c r="AH287" s="47"/>
      <c r="AI287" s="47">
        <f>VLOOKUP(B287,'Components Usage'!A$2:C$603,3,FALSE)</f>
        <v>1</v>
      </c>
      <c r="AJ287" s="28"/>
    </row>
    <row r="288" spans="1:36" hidden="1" x14ac:dyDescent="0.25">
      <c r="A288" s="16" t="str">
        <f>'Components Data Source'!A288</f>
        <v>PIC32 Core Timer</v>
      </c>
      <c r="B288" s="8" t="str">
        <f>'Components Data Source'!B288</f>
        <v>EC64C307-3099-485B-BD55-052A5DA95128</v>
      </c>
      <c r="C288" s="8" t="str">
        <f>'Components Data Source'!C288</f>
        <v>PIC32CoreTimer.fcpx</v>
      </c>
      <c r="D288" s="8" t="str">
        <f>'Components Data Source'!D288</f>
        <v>Components\IO_Source\TimerComponentPIC32Core.fcfx</v>
      </c>
      <c r="E288" s="8" t="str">
        <f>'Components Data Source'!E288</f>
        <v>STORAGE</v>
      </c>
      <c r="F288" s="8" t="str">
        <f>'Components Data Source'!F288</f>
        <v>STORAGE</v>
      </c>
      <c r="G288" s="8">
        <f>'Components Data Source'!G288</f>
        <v>0</v>
      </c>
      <c r="H288" s="8">
        <f>'Components Data Source'!H288</f>
        <v>0</v>
      </c>
      <c r="I288" s="8">
        <f>'Components Data Source'!I288</f>
        <v>0</v>
      </c>
      <c r="J288" s="8">
        <f>'Components Data Source'!J288</f>
        <v>1</v>
      </c>
      <c r="K288" s="8">
        <f>'Components Data Source'!K288</f>
        <v>1</v>
      </c>
      <c r="L288" s="8">
        <f>'Components Data Source'!L288</f>
        <v>0</v>
      </c>
      <c r="M288" s="8" t="s">
        <v>1727</v>
      </c>
      <c r="N288" s="17" t="str">
        <f>HYPERLINK('Components Data Source'!M288)</f>
        <v>https://www.flowcode.co.uk/wiki/index.php?title=Component:_ID_ec64c307_3099_485b_bd55_052a5da95128</v>
      </c>
      <c r="O288" s="8" t="s">
        <v>1721</v>
      </c>
      <c r="P288" s="8"/>
      <c r="Q288" s="8" t="str">
        <f t="shared" si="10"/>
        <v/>
      </c>
      <c r="R288" s="8" t="s">
        <v>1721</v>
      </c>
      <c r="S288" s="8" t="s">
        <v>1721</v>
      </c>
      <c r="T288" s="8" t="s">
        <v>1727</v>
      </c>
      <c r="U288" s="8" t="s">
        <v>1727</v>
      </c>
      <c r="V288" s="8" t="s">
        <v>1731</v>
      </c>
      <c r="W288" s="8" t="s">
        <v>1731</v>
      </c>
      <c r="X288" s="8" t="s">
        <v>1721</v>
      </c>
      <c r="Y288" s="8" t="s">
        <v>1721</v>
      </c>
      <c r="Z288" s="18">
        <f t="shared" si="9"/>
        <v>1</v>
      </c>
      <c r="AA288" s="8"/>
      <c r="AB288" s="7"/>
      <c r="AC288" s="7"/>
      <c r="AD288" s="8" t="s">
        <v>1721</v>
      </c>
      <c r="AE288" s="8" t="s">
        <v>1727</v>
      </c>
      <c r="AF288" s="8" t="s">
        <v>2401</v>
      </c>
      <c r="AG288" s="8"/>
      <c r="AH288" s="47"/>
      <c r="AI288" s="47">
        <f>VLOOKUP(B288,'Components Usage'!A$2:C$603,3,FALSE)</f>
        <v>1</v>
      </c>
      <c r="AJ288" s="28" t="s">
        <v>2401</v>
      </c>
    </row>
    <row r="289" spans="1:36" hidden="1" x14ac:dyDescent="0.25">
      <c r="A289" s="16" t="str">
        <f>'Components Data Source'!A289</f>
        <v>PicoScope(PS2000)</v>
      </c>
      <c r="B289" s="8" t="str">
        <f>'Components Data Source'!B289</f>
        <v>66309A73-20DA-4F2F-BB92-C4749CFAD84C</v>
      </c>
      <c r="C289" s="8" t="str">
        <f>'Components Data Source'!C289</f>
        <v>PS2000.fcpx</v>
      </c>
      <c r="D289" s="8" t="str">
        <f>'Components Data Source'!D289</f>
        <v>Components\IO_Source\PS2000.fcsx</v>
      </c>
      <c r="E289" s="8" t="str">
        <f>'Components Data Source'!E289</f>
        <v>COMMSC</v>
      </c>
      <c r="F289" s="8" t="str">
        <f>'Components Data Source'!F289</f>
        <v>TEST EQUIPMENT</v>
      </c>
      <c r="G289" s="8">
        <f>'Components Data Source'!G289</f>
        <v>0</v>
      </c>
      <c r="H289" s="8">
        <f>'Components Data Source'!H289</f>
        <v>0</v>
      </c>
      <c r="I289" s="8">
        <f>'Components Data Source'!I289</f>
        <v>0</v>
      </c>
      <c r="J289" s="8">
        <f>'Components Data Source'!J289</f>
        <v>1</v>
      </c>
      <c r="K289" s="8">
        <f>'Components Data Source'!K289</f>
        <v>0</v>
      </c>
      <c r="L289" s="8">
        <f>'Components Data Source'!L289</f>
        <v>1</v>
      </c>
      <c r="M289" s="8" t="s">
        <v>1727</v>
      </c>
      <c r="N289" s="17" t="str">
        <f>HYPERLINK('Components Data Source'!M289)</f>
        <v>https://www.flowcode.co.uk/wiki/index.php?title=Component:_ID_66309a73_20da_4f2f_bb92_c4749cfad84c</v>
      </c>
      <c r="O289" s="8" t="s">
        <v>1721</v>
      </c>
      <c r="P289" s="8"/>
      <c r="Q289" s="8">
        <f t="shared" si="10"/>
        <v>1</v>
      </c>
      <c r="R289" s="1" t="s">
        <v>1721</v>
      </c>
      <c r="S289" s="1" t="s">
        <v>1721</v>
      </c>
      <c r="T289" s="1" t="s">
        <v>1727</v>
      </c>
      <c r="U289" s="1" t="s">
        <v>1727</v>
      </c>
      <c r="V289" s="1" t="s">
        <v>1731</v>
      </c>
      <c r="W289" s="1" t="s">
        <v>1731</v>
      </c>
      <c r="X289" s="1" t="s">
        <v>1721</v>
      </c>
      <c r="Y289" s="8" t="s">
        <v>1721</v>
      </c>
      <c r="Z289" s="18">
        <f t="shared" si="9"/>
        <v>1</v>
      </c>
      <c r="AA289" s="8"/>
      <c r="AB289" s="7"/>
      <c r="AC289" s="7"/>
      <c r="AD289" s="8" t="s">
        <v>1721</v>
      </c>
      <c r="AE289" s="8" t="s">
        <v>1721</v>
      </c>
      <c r="AF289" s="8" t="s">
        <v>2401</v>
      </c>
      <c r="AG289" s="8"/>
      <c r="AH289" s="47"/>
      <c r="AI289" s="47">
        <f>VLOOKUP(B289,'Components Usage'!A$2:C$603,3,FALSE)</f>
        <v>0</v>
      </c>
      <c r="AJ289" s="28" t="s">
        <v>2401</v>
      </c>
    </row>
    <row r="290" spans="1:36" hidden="1" x14ac:dyDescent="0.25">
      <c r="A290" s="16" t="str">
        <f>'Components Data Source'!A290</f>
        <v>PWM (Internal)</v>
      </c>
      <c r="B290" s="8" t="str">
        <f>'Components Data Source'!B290</f>
        <v>444FB704-814C-4707-A15C-759BA088505C</v>
      </c>
      <c r="C290" s="8" t="str">
        <f>'Components Data Source'!C290</f>
        <v>PWM.fcpx</v>
      </c>
      <c r="D290" s="8" t="str">
        <f>'Components Data Source'!D290</f>
        <v>Components\IO_Source\pwm_01.fcfx</v>
      </c>
      <c r="E290" s="8" t="str">
        <f>'Components Data Source'!E290</f>
        <v>BASICIO</v>
      </c>
      <c r="F290" s="8" t="str">
        <f>'Components Data Source'!F290</f>
        <v>GENERAL OUTPUT</v>
      </c>
      <c r="G290" s="8">
        <f>'Components Data Source'!G290</f>
        <v>0</v>
      </c>
      <c r="H290" s="8">
        <f>'Components Data Source'!H290</f>
        <v>0</v>
      </c>
      <c r="I290" s="8" t="str">
        <f>'Components Data Source'!I290</f>
        <v xml:space="preserve">PWM </v>
      </c>
      <c r="J290" s="8">
        <f>'Components Data Source'!J290</f>
        <v>1</v>
      </c>
      <c r="K290" s="8">
        <f>'Components Data Source'!K290</f>
        <v>1</v>
      </c>
      <c r="L290" s="8">
        <f>'Components Data Source'!L290</f>
        <v>0</v>
      </c>
      <c r="M290" s="8" t="s">
        <v>1727</v>
      </c>
      <c r="N290" s="17" t="str">
        <f>HYPERLINK('Components Data Source'!M290)</f>
        <v>https://www.flowcode.co.uk/wiki/index.php?title=Component:_ID_444fb704_814c_4707_a15c_759ba088505c</v>
      </c>
      <c r="O290" s="8" t="s">
        <v>1721</v>
      </c>
      <c r="P290" s="8"/>
      <c r="Q290" s="8" t="str">
        <f t="shared" si="10"/>
        <v/>
      </c>
      <c r="R290" s="8" t="s">
        <v>1727</v>
      </c>
      <c r="S290" s="8"/>
      <c r="T290" s="8"/>
      <c r="U290" s="8"/>
      <c r="V290" s="8" t="s">
        <v>1730</v>
      </c>
      <c r="W290" s="8" t="s">
        <v>1730</v>
      </c>
      <c r="X290" s="8"/>
      <c r="Y290" s="8"/>
      <c r="Z290" s="18">
        <f t="shared" si="9"/>
        <v>2</v>
      </c>
      <c r="AA290" s="8"/>
      <c r="AB290" s="7"/>
      <c r="AC290" s="7"/>
      <c r="AD290" s="8" t="s">
        <v>1721</v>
      </c>
      <c r="AE290" s="8" t="s">
        <v>1721</v>
      </c>
      <c r="AF290" s="8" t="s">
        <v>2401</v>
      </c>
      <c r="AG290" s="8" t="s">
        <v>1721</v>
      </c>
      <c r="AH290" s="47"/>
      <c r="AI290" s="47">
        <f>VLOOKUP(B290,'Components Usage'!A$2:C$603,3,FALSE)</f>
        <v>266</v>
      </c>
      <c r="AJ290" s="28" t="s">
        <v>2401</v>
      </c>
    </row>
    <row r="291" spans="1:36" hidden="1" x14ac:dyDescent="0.25">
      <c r="A291" s="16" t="str">
        <f>'Components Data Source'!A291</f>
        <v>Pedestrian Crossing</v>
      </c>
      <c r="B291" s="8" t="str">
        <f>'Components Data Source'!B291</f>
        <v>C46023C5-27E5-4122-BF3E-4519F23CFA0C</v>
      </c>
      <c r="C291" s="8" t="str">
        <f>'Components Data Source'!C291</f>
        <v>PedestrianCrossing.fcpx</v>
      </c>
      <c r="D291" s="8" t="str">
        <f>'Components Data Source'!D291</f>
        <v>Components\IO_Source\Simulation\PedestrianCrossing.fcfx</v>
      </c>
      <c r="E291" s="8" t="str">
        <f>'Components Data Source'!E291</f>
        <v>MODELS</v>
      </c>
      <c r="F291" s="8" t="str">
        <f>'Components Data Source'!F291</f>
        <v>SCENARIOS</v>
      </c>
      <c r="G291" s="8">
        <f>'Components Data Source'!G291</f>
        <v>0</v>
      </c>
      <c r="H291" s="8">
        <f>'Components Data Source'!H291</f>
        <v>0</v>
      </c>
      <c r="I291" s="8">
        <f>'Components Data Source'!I291</f>
        <v>0</v>
      </c>
      <c r="J291" s="8">
        <f>'Components Data Source'!J291</f>
        <v>1</v>
      </c>
      <c r="K291" s="8">
        <f>'Components Data Source'!K291</f>
        <v>0</v>
      </c>
      <c r="L291" s="8">
        <f>'Components Data Source'!L291</f>
        <v>0</v>
      </c>
      <c r="M291" s="8" t="s">
        <v>1727</v>
      </c>
      <c r="N291" s="17" t="str">
        <f>HYPERLINK('Components Data Source'!M291)</f>
        <v>https://www.flowcode.co.uk/wiki/index.php?title=Component:_ID_c46023c5_27e5_4122_bf3e_4519f23cfa0c</v>
      </c>
      <c r="O291" s="8" t="s">
        <v>1721</v>
      </c>
      <c r="P291" s="8"/>
      <c r="Q291" s="8" t="str">
        <f t="shared" si="10"/>
        <v/>
      </c>
      <c r="R291" s="8" t="s">
        <v>1727</v>
      </c>
      <c r="S291" s="8"/>
      <c r="T291" s="8"/>
      <c r="U291" s="8"/>
      <c r="V291" s="8" t="s">
        <v>1730</v>
      </c>
      <c r="W291" s="8" t="s">
        <v>1730</v>
      </c>
      <c r="X291" s="8"/>
      <c r="Y291" s="8"/>
      <c r="Z291" s="18">
        <f t="shared" si="9"/>
        <v>2</v>
      </c>
      <c r="AA291" s="8"/>
      <c r="AB291" s="7"/>
      <c r="AC291" s="7"/>
      <c r="AD291" s="8" t="s">
        <v>1721</v>
      </c>
      <c r="AE291" s="8" t="s">
        <v>1721</v>
      </c>
      <c r="AF291" s="8" t="s">
        <v>2401</v>
      </c>
      <c r="AG291" s="8"/>
      <c r="AH291" s="47"/>
      <c r="AI291" s="47">
        <f>VLOOKUP(B291,'Components Usage'!A$2:C$603,3,FALSE)</f>
        <v>1</v>
      </c>
      <c r="AJ291" s="28" t="s">
        <v>2401</v>
      </c>
    </row>
    <row r="292" spans="1:36" hidden="1" x14ac:dyDescent="0.25">
      <c r="A292" s="16" t="str">
        <f>'Components Data Source'!A292</f>
        <v>Photo Reflector</v>
      </c>
      <c r="B292" s="8" t="str">
        <f>'Components Data Source'!B292</f>
        <v>20A48DB1-D91D-4C51-A49F-F878D0BCBAD3</v>
      </c>
      <c r="C292" s="8" t="str">
        <f>'Components Data Source'!C292</f>
        <v>PhotoReflector.fcpx</v>
      </c>
      <c r="D292" s="8" t="str">
        <f>'Components Data Source'!D292</f>
        <v>Components\IO_Source\Sensors\PhotoReflector.fcfx</v>
      </c>
      <c r="E292" s="8" t="str">
        <f>'Components Data Source'!E292</f>
        <v>MECHATRONICS</v>
      </c>
      <c r="F292" s="8" t="str">
        <f>'Components Data Source'!F292</f>
        <v>LIGHT</v>
      </c>
      <c r="G292" s="8">
        <f>'Components Data Source'!G292</f>
        <v>0</v>
      </c>
      <c r="H292" s="8">
        <f>'Components Data Source'!H292</f>
        <v>0</v>
      </c>
      <c r="I292" s="8">
        <f>'Components Data Source'!I292</f>
        <v>0</v>
      </c>
      <c r="J292" s="8">
        <f>'Components Data Source'!J292</f>
        <v>1</v>
      </c>
      <c r="K292" s="8">
        <f>'Components Data Source'!K292</f>
        <v>1</v>
      </c>
      <c r="L292" s="8">
        <f>'Components Data Source'!L292</f>
        <v>0</v>
      </c>
      <c r="M292" s="8" t="s">
        <v>1727</v>
      </c>
      <c r="N292" s="17" t="str">
        <f>HYPERLINK('Components Data Source'!M292)</f>
        <v>https://www.flowcode.co.uk/wiki/index.php?title=Component:_ID_20a48db1_d91d_4c51_a49f_f878d0bcbad3</v>
      </c>
      <c r="O292" s="8" t="s">
        <v>1721</v>
      </c>
      <c r="P292" s="8"/>
      <c r="Q292" s="8" t="str">
        <f t="shared" si="10"/>
        <v/>
      </c>
      <c r="R292" s="8" t="s">
        <v>1727</v>
      </c>
      <c r="S292" s="8"/>
      <c r="T292" s="8"/>
      <c r="U292" s="8"/>
      <c r="V292" s="8" t="s">
        <v>1730</v>
      </c>
      <c r="W292" s="8" t="s">
        <v>1730</v>
      </c>
      <c r="X292" s="8"/>
      <c r="Y292" s="8"/>
      <c r="Z292" s="18">
        <f t="shared" si="9"/>
        <v>2</v>
      </c>
      <c r="AA292" s="8"/>
      <c r="AB292" s="7"/>
      <c r="AC292" s="7"/>
      <c r="AD292" s="8" t="s">
        <v>1721</v>
      </c>
      <c r="AE292" s="8" t="s">
        <v>1721</v>
      </c>
      <c r="AF292" s="8" t="s">
        <v>1727</v>
      </c>
      <c r="AG292" s="8"/>
      <c r="AH292" s="47"/>
      <c r="AI292" s="47">
        <f>VLOOKUP(B292,'Components Usage'!A$2:C$603,3,FALSE)</f>
        <v>1</v>
      </c>
      <c r="AJ292" s="28" t="s">
        <v>2401</v>
      </c>
    </row>
    <row r="293" spans="1:36" hidden="1" x14ac:dyDescent="0.25">
      <c r="A293" s="16" t="str">
        <f>'Components Data Source'!A293</f>
        <v>Photo Transistor</v>
      </c>
      <c r="B293" s="8" t="str">
        <f>'Components Data Source'!B293</f>
        <v>6E5B4F6F-E2D9-4272-A854-749A762F55C1</v>
      </c>
      <c r="C293" s="8" t="str">
        <f>'Components Data Source'!C293</f>
        <v>PhotoTransistor.fcpx</v>
      </c>
      <c r="D293" s="8" t="str">
        <f>'Components Data Source'!D293</f>
        <v>Components\IO_Source\Sensors\PhotoTransistor.fcfx</v>
      </c>
      <c r="E293" s="8" t="str">
        <f>'Components Data Source'!E293</f>
        <v>MECHATRONICS</v>
      </c>
      <c r="F293" s="8" t="str">
        <f>'Components Data Source'!F293</f>
        <v>LIGHT</v>
      </c>
      <c r="G293" s="8">
        <f>'Components Data Source'!G293</f>
        <v>0</v>
      </c>
      <c r="H293" s="8">
        <f>'Components Data Source'!H293</f>
        <v>0</v>
      </c>
      <c r="I293" s="8">
        <f>'Components Data Source'!I293</f>
        <v>0</v>
      </c>
      <c r="J293" s="8">
        <f>'Components Data Source'!J293</f>
        <v>1</v>
      </c>
      <c r="K293" s="8">
        <f>'Components Data Source'!K293</f>
        <v>1</v>
      </c>
      <c r="L293" s="8">
        <f>'Components Data Source'!L293</f>
        <v>0</v>
      </c>
      <c r="M293" s="8" t="s">
        <v>1727</v>
      </c>
      <c r="N293" s="17" t="str">
        <f>HYPERLINK('Components Data Source'!M293)</f>
        <v>https://www.flowcode.co.uk/wiki/index.php?title=Component:_ID_6e5b4f6f_e2d9_4272_a854_749a762f55c1</v>
      </c>
      <c r="O293" s="8" t="s">
        <v>1721</v>
      </c>
      <c r="P293" s="8"/>
      <c r="Q293" s="8" t="str">
        <f t="shared" si="10"/>
        <v/>
      </c>
      <c r="R293" s="8" t="s">
        <v>1727</v>
      </c>
      <c r="S293" s="8"/>
      <c r="T293" s="8"/>
      <c r="U293" s="8"/>
      <c r="V293" s="8" t="s">
        <v>1730</v>
      </c>
      <c r="W293" s="8" t="s">
        <v>1730</v>
      </c>
      <c r="X293" s="8"/>
      <c r="Y293" s="8"/>
      <c r="Z293" s="18">
        <f t="shared" si="9"/>
        <v>2</v>
      </c>
      <c r="AA293" s="8"/>
      <c r="AB293" s="7"/>
      <c r="AC293" s="7"/>
      <c r="AD293" s="8" t="s">
        <v>1721</v>
      </c>
      <c r="AE293" s="8" t="s">
        <v>1721</v>
      </c>
      <c r="AF293" s="8" t="s">
        <v>1727</v>
      </c>
      <c r="AG293" s="8"/>
      <c r="AH293" s="47"/>
      <c r="AI293" s="47">
        <f>VLOOKUP(B293,'Components Usage'!A$2:C$603,3,FALSE)</f>
        <v>1</v>
      </c>
      <c r="AJ293" s="28" t="s">
        <v>2401</v>
      </c>
    </row>
    <row r="294" spans="1:36" x14ac:dyDescent="0.25">
      <c r="A294" s="16" t="str">
        <f>'Components Data Source'!A294</f>
        <v>Pie Chart</v>
      </c>
      <c r="B294" s="8" t="str">
        <f>'Components Data Source'!B294</f>
        <v>77E27287-6CA9-44F7-A160-D338D87B68DE</v>
      </c>
      <c r="C294" s="8" t="str">
        <f>'Components Data Source'!C294</f>
        <v>PieChart.fcpx</v>
      </c>
      <c r="D294" s="8" t="str">
        <f>'Components Data Source'!D294</f>
        <v>Components\IO_Source\2dGDI\ChartPie.fcfx</v>
      </c>
      <c r="E294" s="8" t="str">
        <f>'Components Data Source'!E294</f>
        <v>FREE</v>
      </c>
      <c r="F294" s="8" t="str">
        <f>'Components Data Source'!F294</f>
        <v>CHARTS</v>
      </c>
      <c r="G294" s="8" t="str">
        <f>'Components Data Source'!G294</f>
        <v xml:space="preserve">CHARTS </v>
      </c>
      <c r="H294" s="8">
        <f>'Components Data Source'!H294</f>
        <v>0</v>
      </c>
      <c r="I294" s="8">
        <f>'Components Data Source'!I294</f>
        <v>0</v>
      </c>
      <c r="J294" s="8">
        <f>'Components Data Source'!J294</f>
        <v>1</v>
      </c>
      <c r="K294" s="8">
        <f>'Components Data Source'!K294</f>
        <v>1</v>
      </c>
      <c r="L294" s="8">
        <f>'Components Data Source'!L294</f>
        <v>1</v>
      </c>
      <c r="M294" s="8" t="s">
        <v>1727</v>
      </c>
      <c r="N294" s="17" t="str">
        <f>HYPERLINK('Components Data Source'!M294)</f>
        <v>https://www.flowcode.co.uk/wiki/index.php?title=Component:_ID_77e27287_6ca9_44f7_a160_d338d87b68de</v>
      </c>
      <c r="O294" s="8" t="s">
        <v>1721</v>
      </c>
      <c r="P294" s="8"/>
      <c r="Q294" s="8" t="str">
        <f t="shared" si="10"/>
        <v/>
      </c>
      <c r="R294" s="8" t="s">
        <v>1727</v>
      </c>
      <c r="S294" s="8"/>
      <c r="T294" s="8"/>
      <c r="U294" s="8"/>
      <c r="V294" s="8" t="s">
        <v>1730</v>
      </c>
      <c r="W294" s="8" t="s">
        <v>1730</v>
      </c>
      <c r="X294" s="8"/>
      <c r="Y294" s="8"/>
      <c r="Z294" s="18">
        <f t="shared" si="9"/>
        <v>2</v>
      </c>
      <c r="AA294" s="8"/>
      <c r="AB294" s="7"/>
      <c r="AC294" s="7"/>
      <c r="AD294" s="8" t="s">
        <v>1727</v>
      </c>
      <c r="AE294" s="8"/>
      <c r="AF294" s="8"/>
      <c r="AG294" s="8"/>
      <c r="AH294" s="47"/>
      <c r="AI294" s="47">
        <f>VLOOKUP(B294,'Components Usage'!A$2:C$603,3,FALSE)</f>
        <v>1</v>
      </c>
      <c r="AJ294" s="28"/>
    </row>
    <row r="295" spans="1:36" hidden="1" x14ac:dyDescent="0.25">
      <c r="A295" s="16" t="str">
        <f>'Components Data Source'!A295</f>
        <v>Piezo Sounder</v>
      </c>
      <c r="B295" s="8" t="str">
        <f>'Components Data Source'!B295</f>
        <v>70EC3AEE-F273-4B0E-8EE6-E2B3A8B693AF</v>
      </c>
      <c r="C295" s="8" t="str">
        <f>'Components Data Source'!C295</f>
        <v>PiezoSounder.fcpx</v>
      </c>
      <c r="D295" s="8" t="str">
        <f>'Components Data Source'!D295</f>
        <v>Components\IO_Source\outputs\PiezoSounder.fcfx</v>
      </c>
      <c r="E295" s="8" t="str">
        <f>'Components Data Source'!E295</f>
        <v>BASICIO</v>
      </c>
      <c r="F295" s="8" t="str">
        <f>'Components Data Source'!F295</f>
        <v>AUDIO OUTPUT</v>
      </c>
      <c r="G295" s="8">
        <f>'Components Data Source'!G295</f>
        <v>0</v>
      </c>
      <c r="H295" s="8">
        <f>'Components Data Source'!H295</f>
        <v>0</v>
      </c>
      <c r="I295" s="8">
        <f>'Components Data Source'!I295</f>
        <v>0</v>
      </c>
      <c r="J295" s="8">
        <f>'Components Data Source'!J295</f>
        <v>1</v>
      </c>
      <c r="K295" s="8">
        <f>'Components Data Source'!K295</f>
        <v>1</v>
      </c>
      <c r="L295" s="8">
        <f>'Components Data Source'!L295</f>
        <v>0</v>
      </c>
      <c r="M295" s="8" t="s">
        <v>1727</v>
      </c>
      <c r="N295" s="17" t="str">
        <f>HYPERLINK('Components Data Source'!M295)</f>
        <v>https://www.flowcode.co.uk/wiki/index.php?title=Component:_ID_70ec3aee_f273_4b0e_8ee6_e2b3a8b693af</v>
      </c>
      <c r="O295" s="8" t="s">
        <v>1721</v>
      </c>
      <c r="P295" s="8"/>
      <c r="Q295" s="8" t="str">
        <f t="shared" si="10"/>
        <v/>
      </c>
      <c r="R295" s="8" t="s">
        <v>1721</v>
      </c>
      <c r="S295" s="8" t="s">
        <v>1721</v>
      </c>
      <c r="T295" s="8" t="s">
        <v>1727</v>
      </c>
      <c r="U295" s="8" t="s">
        <v>1727</v>
      </c>
      <c r="V295" s="8" t="s">
        <v>1731</v>
      </c>
      <c r="W295" s="8" t="s">
        <v>1731</v>
      </c>
      <c r="X295" s="8" t="s">
        <v>1721</v>
      </c>
      <c r="Y295" s="8" t="s">
        <v>1721</v>
      </c>
      <c r="Z295" s="18">
        <f t="shared" si="9"/>
        <v>1</v>
      </c>
      <c r="AA295" s="8"/>
      <c r="AB295" s="7"/>
      <c r="AC295" s="7"/>
      <c r="AD295" s="8" t="s">
        <v>1721</v>
      </c>
      <c r="AE295" s="8" t="s">
        <v>1721</v>
      </c>
      <c r="AF295" s="8" t="s">
        <v>1721</v>
      </c>
      <c r="AG295" s="8"/>
      <c r="AH295" s="47"/>
      <c r="AI295" s="47">
        <f>VLOOKUP(B295,'Components Usage'!A$2:C$603,3,FALSE)</f>
        <v>8</v>
      </c>
      <c r="AJ295" s="28" t="s">
        <v>2401</v>
      </c>
    </row>
    <row r="296" spans="1:36" hidden="1" x14ac:dyDescent="0.25">
      <c r="A296" s="16" t="str">
        <f>'Components Data Source'!A296</f>
        <v>Pipe</v>
      </c>
      <c r="B296" s="8" t="str">
        <f>'Components Data Source'!B296</f>
        <v>10253706-19B9-4D0C-B3A2-33FABD2C5B82</v>
      </c>
      <c r="C296" s="8" t="str">
        <f>'Components Data Source'!C296</f>
        <v>Pipe.fcpx</v>
      </c>
      <c r="D296" s="8" t="str">
        <f>'Components Data Source'!D296</f>
        <v>Components\IO_Source\SCADA\Pipe.fcfx</v>
      </c>
      <c r="E296" s="8" t="str">
        <f>'Components Data Source'!E296</f>
        <v>SCADA</v>
      </c>
      <c r="F296" s="8" t="str">
        <f>'Components Data Source'!F296</f>
        <v>INDUSTRIAL</v>
      </c>
      <c r="G296" s="8">
        <f>'Components Data Source'!G296</f>
        <v>0</v>
      </c>
      <c r="H296" s="8">
        <f>'Components Data Source'!H296</f>
        <v>0</v>
      </c>
      <c r="I296" s="8">
        <f>'Components Data Source'!I296</f>
        <v>0</v>
      </c>
      <c r="J296" s="8">
        <f>'Components Data Source'!J296</f>
        <v>1</v>
      </c>
      <c r="K296" s="8">
        <f>'Components Data Source'!K296</f>
        <v>1</v>
      </c>
      <c r="L296" s="8">
        <f>'Components Data Source'!L296</f>
        <v>1</v>
      </c>
      <c r="M296" s="8" t="s">
        <v>1727</v>
      </c>
      <c r="N296" s="17" t="str">
        <f>HYPERLINK('Components Data Source'!M296)</f>
        <v>https://www.flowcode.co.uk/wiki/index.php?title=Component:_ID_10253706_19b9_4d0c_b3a2_33fabd2c5b82</v>
      </c>
      <c r="O296" s="8" t="s">
        <v>1721</v>
      </c>
      <c r="P296" s="8"/>
      <c r="Q296" s="8" t="str">
        <f t="shared" si="10"/>
        <v/>
      </c>
      <c r="R296" s="8" t="s">
        <v>1727</v>
      </c>
      <c r="S296" s="8"/>
      <c r="T296" s="8"/>
      <c r="U296" s="8"/>
      <c r="V296" s="8" t="s">
        <v>1730</v>
      </c>
      <c r="W296" s="8" t="s">
        <v>1730</v>
      </c>
      <c r="X296" s="8"/>
      <c r="Y296" s="8" t="s">
        <v>1727</v>
      </c>
      <c r="Z296" s="18">
        <f t="shared" si="9"/>
        <v>2</v>
      </c>
      <c r="AA296" s="8"/>
      <c r="AB296" s="7" t="s">
        <v>2494</v>
      </c>
      <c r="AC296" s="7"/>
      <c r="AD296" s="8" t="s">
        <v>1721</v>
      </c>
      <c r="AE296" s="8" t="s">
        <v>1721</v>
      </c>
      <c r="AF296" s="8" t="s">
        <v>2401</v>
      </c>
      <c r="AG296" s="8"/>
      <c r="AH296" s="47"/>
      <c r="AI296" s="47">
        <f>VLOOKUP(B296,'Components Usage'!A$2:C$603,3,FALSE)</f>
        <v>7</v>
      </c>
      <c r="AJ296" s="28"/>
    </row>
    <row r="297" spans="1:36" x14ac:dyDescent="0.25">
      <c r="A297" s="16" t="str">
        <f>'Components Data Source'!A297</f>
        <v>Polar Chart</v>
      </c>
      <c r="B297" s="8" t="str">
        <f>'Components Data Source'!B297</f>
        <v>64F4811D-E83F-4E82-BE8A-9E857F6EC6E6</v>
      </c>
      <c r="C297" s="8" t="str">
        <f>'Components Data Source'!C297</f>
        <v>PolarChart.fcpx</v>
      </c>
      <c r="D297" s="8" t="str">
        <f>'Components Data Source'!D297</f>
        <v>Components\IO_Source\2dGDI\ChartPolar.fcfx</v>
      </c>
      <c r="E297" s="8" t="str">
        <f>'Components Data Source'!E297</f>
        <v>FREE</v>
      </c>
      <c r="F297" s="8" t="str">
        <f>'Components Data Source'!F297</f>
        <v>CHARTS</v>
      </c>
      <c r="G297" s="8" t="str">
        <f>'Components Data Source'!G297</f>
        <v xml:space="preserve">CHARTS </v>
      </c>
      <c r="H297" s="8">
        <f>'Components Data Source'!H297</f>
        <v>0</v>
      </c>
      <c r="I297" s="8">
        <f>'Components Data Source'!I297</f>
        <v>0</v>
      </c>
      <c r="J297" s="8">
        <f>'Components Data Source'!J297</f>
        <v>1</v>
      </c>
      <c r="K297" s="8">
        <f>'Components Data Source'!K297</f>
        <v>1</v>
      </c>
      <c r="L297" s="8">
        <f>'Components Data Source'!L297</f>
        <v>1</v>
      </c>
      <c r="M297" s="8" t="s">
        <v>1727</v>
      </c>
      <c r="N297" s="17" t="str">
        <f>HYPERLINK('Components Data Source'!M297)</f>
        <v>https://www.flowcode.co.uk/wiki/index.php?title=Component:_ID_64f4811d_e83f_4e82_be8a_9e857f6ec6e6</v>
      </c>
      <c r="O297" s="8" t="s">
        <v>1721</v>
      </c>
      <c r="P297" s="8"/>
      <c r="Q297" s="8" t="str">
        <f t="shared" si="10"/>
        <v/>
      </c>
      <c r="R297" s="8" t="s">
        <v>1727</v>
      </c>
      <c r="S297" s="8" t="s">
        <v>1721</v>
      </c>
      <c r="T297" s="8"/>
      <c r="U297" s="8"/>
      <c r="V297" s="8" t="s">
        <v>1730</v>
      </c>
      <c r="W297" s="8" t="s">
        <v>1730</v>
      </c>
      <c r="X297" s="8"/>
      <c r="Y297" s="8"/>
      <c r="Z297" s="18">
        <f t="shared" si="9"/>
        <v>2</v>
      </c>
      <c r="AA297" s="8"/>
      <c r="AB297" s="7"/>
      <c r="AC297" s="7"/>
      <c r="AD297" s="8" t="s">
        <v>1727</v>
      </c>
      <c r="AE297" s="8"/>
      <c r="AF297" s="8"/>
      <c r="AG297" s="8"/>
      <c r="AH297" s="47"/>
      <c r="AI297" s="47">
        <f>VLOOKUP(B297,'Components Usage'!A$2:C$603,3,FALSE)</f>
        <v>0</v>
      </c>
      <c r="AJ297" s="28"/>
    </row>
    <row r="298" spans="1:36" ht="30" hidden="1" x14ac:dyDescent="0.25">
      <c r="A298" s="16" t="str">
        <f>'Components Data Source'!A298</f>
        <v>Barometer(MS5637)</v>
      </c>
      <c r="B298" s="8" t="str">
        <f>'Components Data Source'!B298</f>
        <v>B8C43425-121C-4DFC-8A70-665973E9938B</v>
      </c>
      <c r="C298" s="8" t="str">
        <f>'Components Data Source'!C298</f>
        <v>PressureSensor.fcpx</v>
      </c>
      <c r="D298" s="8" t="str">
        <f>'Components Data Source'!D298</f>
        <v>Components\IO_Source\Sensors\Pressure_Sensor_MS5637.fcfx</v>
      </c>
      <c r="E298" s="8" t="str">
        <f>'Components Data Source'!E298</f>
        <v>SENSORS</v>
      </c>
      <c r="F298" s="8" t="str">
        <f>'Components Data Source'!F298</f>
        <v>ENVIRONMENTAL</v>
      </c>
      <c r="G298" s="8">
        <f>'Components Data Source'!G298</f>
        <v>0</v>
      </c>
      <c r="H298" s="8">
        <f>'Components Data Source'!H298</f>
        <v>0</v>
      </c>
      <c r="I298" s="8" t="str">
        <f>'Components Data Source'!I298</f>
        <v xml:space="preserve">I2C </v>
      </c>
      <c r="J298" s="8">
        <f>'Components Data Source'!J298</f>
        <v>1</v>
      </c>
      <c r="K298" s="8">
        <f>'Components Data Source'!K298</f>
        <v>1</v>
      </c>
      <c r="L298" s="8">
        <f>'Components Data Source'!L298</f>
        <v>0</v>
      </c>
      <c r="M298" s="8" t="s">
        <v>1727</v>
      </c>
      <c r="N298" s="17" t="str">
        <f>HYPERLINK('Components Data Source'!M298)</f>
        <v>https://www.flowcode.co.uk/wiki/index.php?title=Component:_ID_b8c43425_121c_4dfc_8a70_665973e9938b</v>
      </c>
      <c r="O298" s="8" t="s">
        <v>1721</v>
      </c>
      <c r="P298" s="8"/>
      <c r="Q298" s="8" t="str">
        <f t="shared" si="10"/>
        <v/>
      </c>
      <c r="R298" s="8" t="s">
        <v>1721</v>
      </c>
      <c r="S298" s="8" t="s">
        <v>1721</v>
      </c>
      <c r="T298" s="8" t="s">
        <v>1721</v>
      </c>
      <c r="U298" s="8" t="s">
        <v>1721</v>
      </c>
      <c r="V298" s="8" t="s">
        <v>1731</v>
      </c>
      <c r="W298" s="8" t="s">
        <v>1175</v>
      </c>
      <c r="X298" s="8" t="s">
        <v>1721</v>
      </c>
      <c r="Y298" s="8" t="s">
        <v>1721</v>
      </c>
      <c r="Z298" s="18">
        <f t="shared" si="9"/>
        <v>1</v>
      </c>
      <c r="AA298" s="8" t="s">
        <v>1727</v>
      </c>
      <c r="AB298" s="7" t="s">
        <v>2588</v>
      </c>
      <c r="AC298" s="7" t="s">
        <v>2424</v>
      </c>
      <c r="AD298" s="8" t="s">
        <v>1721</v>
      </c>
      <c r="AE298" s="8" t="s">
        <v>1727</v>
      </c>
      <c r="AF298" s="8" t="s">
        <v>1727</v>
      </c>
      <c r="AG298" s="8"/>
      <c r="AH298" s="47"/>
      <c r="AI298" s="47">
        <f>VLOOKUP(B298,'Components Usage'!A$2:C$603,3,FALSE)</f>
        <v>0</v>
      </c>
      <c r="AJ298" s="28" t="s">
        <v>2401</v>
      </c>
    </row>
    <row r="299" spans="1:36" hidden="1" x14ac:dyDescent="0.25">
      <c r="A299" s="16" t="str">
        <f>'Components Data Source'!A299</f>
        <v>Barometer(BME280)</v>
      </c>
      <c r="B299" s="8" t="str">
        <f>'Components Data Source'!B299</f>
        <v>A9EB79B0-1D24-4ACF-AADE-D3639AA800C7</v>
      </c>
      <c r="C299" s="8" t="str">
        <f>'Components Data Source'!C299</f>
        <v>PressureSensor_BME280.fcpx</v>
      </c>
      <c r="D299" s="8" t="str">
        <f>'Components Data Source'!D299</f>
        <v>Components\IO_Source\Sensors\Pressure_Sensor_BME280.fcfx</v>
      </c>
      <c r="E299" s="8" t="str">
        <f>'Components Data Source'!E299</f>
        <v>SENSORS</v>
      </c>
      <c r="F299" s="8" t="str">
        <f>'Components Data Source'!F299</f>
        <v>ENVIRONMENTAL</v>
      </c>
      <c r="G299" s="8">
        <f>'Components Data Source'!G299</f>
        <v>0</v>
      </c>
      <c r="H299" s="8">
        <f>'Components Data Source'!H299</f>
        <v>0</v>
      </c>
      <c r="I299" s="8" t="str">
        <f>'Components Data Source'!I299</f>
        <v xml:space="preserve">I2C </v>
      </c>
      <c r="J299" s="8">
        <f>'Components Data Source'!J299</f>
        <v>1</v>
      </c>
      <c r="K299" s="8">
        <f>'Components Data Source'!K299</f>
        <v>1</v>
      </c>
      <c r="L299" s="8">
        <f>'Components Data Source'!L299</f>
        <v>1</v>
      </c>
      <c r="M299" s="8" t="s">
        <v>1727</v>
      </c>
      <c r="N299" s="17" t="str">
        <f>HYPERLINK('Components Data Source'!M299)</f>
        <v>https://www.flowcode.co.uk/wiki/index.php?title=Component:_ID_a9eb79b0_1d24_4acf_aade_d3639aa800c7</v>
      </c>
      <c r="O299" s="8" t="s">
        <v>1721</v>
      </c>
      <c r="P299" s="8"/>
      <c r="Q299" s="8" t="str">
        <f t="shared" si="10"/>
        <v/>
      </c>
      <c r="R299" s="8" t="s">
        <v>1721</v>
      </c>
      <c r="S299" s="8" t="s">
        <v>1721</v>
      </c>
      <c r="T299" s="8" t="s">
        <v>1721</v>
      </c>
      <c r="U299" s="8" t="s">
        <v>1721</v>
      </c>
      <c r="V299" s="8" t="s">
        <v>1731</v>
      </c>
      <c r="W299" s="8" t="s">
        <v>1175</v>
      </c>
      <c r="X299" s="8" t="s">
        <v>1721</v>
      </c>
      <c r="Y299" s="8" t="s">
        <v>1721</v>
      </c>
      <c r="Z299" s="18">
        <f t="shared" si="9"/>
        <v>1</v>
      </c>
      <c r="AA299" s="8"/>
      <c r="AB299" s="7" t="s">
        <v>2422</v>
      </c>
      <c r="AC299" s="7"/>
      <c r="AD299" s="8" t="s">
        <v>1721</v>
      </c>
      <c r="AE299" s="8" t="s">
        <v>1721</v>
      </c>
      <c r="AF299" s="8" t="s">
        <v>1721</v>
      </c>
      <c r="AG299" s="8"/>
      <c r="AH299" s="47"/>
      <c r="AI299" s="47">
        <f>VLOOKUP(B299,'Components Usage'!A$2:C$603,3,FALSE)</f>
        <v>40</v>
      </c>
      <c r="AJ299" s="28" t="s">
        <v>1721</v>
      </c>
    </row>
    <row r="300" spans="1:36" x14ac:dyDescent="0.25">
      <c r="A300" s="16" t="str">
        <f>'Components Data Source'!A300</f>
        <v>Property Manager</v>
      </c>
      <c r="B300" s="8" t="str">
        <f>'Components Data Source'!B300</f>
        <v>819D0C05-AAA2-4431-84DC-D40F3EEE1B54</v>
      </c>
      <c r="C300" s="8" t="str">
        <f>'Components Data Source'!C300</f>
        <v>PropertyManager.fcpx</v>
      </c>
      <c r="D300" s="8" t="str">
        <f>'Components Data Source'!D300</f>
        <v>Components\IO_Source\SCADA\PropertyManager.fcsx</v>
      </c>
      <c r="E300" s="8" t="str">
        <f>'Components Data Source'!E300</f>
        <v>FREE</v>
      </c>
      <c r="F300" s="8" t="str">
        <f>'Components Data Source'!F300</f>
        <v xml:space="preserve">STORAGE </v>
      </c>
      <c r="G300" s="8" t="str">
        <f>'Components Data Source'!G300</f>
        <v>RUNTIME TOOLS</v>
      </c>
      <c r="H300" s="8">
        <f>'Components Data Source'!H300</f>
        <v>0</v>
      </c>
      <c r="I300" s="8">
        <f>'Components Data Source'!I300</f>
        <v>0</v>
      </c>
      <c r="J300" s="8">
        <f>'Components Data Source'!J300</f>
        <v>1</v>
      </c>
      <c r="K300" s="8">
        <f>'Components Data Source'!K300</f>
        <v>1</v>
      </c>
      <c r="L300" s="8">
        <f>'Components Data Source'!L300</f>
        <v>1</v>
      </c>
      <c r="M300" s="8" t="s">
        <v>1727</v>
      </c>
      <c r="N300" s="17" t="str">
        <f>HYPERLINK('Components Data Source'!M300)</f>
        <v>https://www.flowcode.co.uk/wiki/index.php?title=Component:_ID_819d0c05_aaa2_4431_84dc_d40f3eee1b54</v>
      </c>
      <c r="O300" s="8" t="s">
        <v>1721</v>
      </c>
      <c r="P300" s="8"/>
      <c r="Q300" s="8" t="str">
        <f t="shared" si="10"/>
        <v/>
      </c>
      <c r="R300" s="1" t="s">
        <v>1721</v>
      </c>
      <c r="S300" s="1" t="s">
        <v>1721</v>
      </c>
      <c r="T300" s="1" t="s">
        <v>1727</v>
      </c>
      <c r="U300" s="1" t="s">
        <v>1721</v>
      </c>
      <c r="V300" s="1" t="s">
        <v>1731</v>
      </c>
      <c r="W300" s="1" t="s">
        <v>1731</v>
      </c>
      <c r="X300" s="1" t="s">
        <v>1721</v>
      </c>
      <c r="Y300" s="8" t="s">
        <v>1721</v>
      </c>
      <c r="Z300" s="18">
        <f t="shared" si="9"/>
        <v>1</v>
      </c>
      <c r="AA300" s="8"/>
      <c r="AB300" s="6" t="s">
        <v>2453</v>
      </c>
      <c r="AC300" s="7"/>
      <c r="AD300" s="8" t="s">
        <v>1721</v>
      </c>
      <c r="AE300" s="8" t="s">
        <v>1727</v>
      </c>
      <c r="AF300" s="8" t="s">
        <v>2401</v>
      </c>
      <c r="AG300" s="8"/>
      <c r="AH300" s="47"/>
      <c r="AI300" s="47">
        <f>VLOOKUP(B300,'Components Usage'!A$2:C$603,3,FALSE)</f>
        <v>3</v>
      </c>
      <c r="AJ300" s="28" t="s">
        <v>2401</v>
      </c>
    </row>
    <row r="301" spans="1:36" hidden="1" x14ac:dyDescent="0.25">
      <c r="A301" s="16" t="str">
        <f>'Components Data Source'!A301</f>
        <v>Magnetometer 3-Axis(QMC5883L)</v>
      </c>
      <c r="B301" s="8" t="str">
        <f>'Components Data Source'!B301</f>
        <v>03B98E89-8FEE-466F-87B9-42B3B3E1CB41</v>
      </c>
      <c r="C301" s="8" t="str">
        <f>'Components Data Source'!C301</f>
        <v>QMC5883_Magnetometer.fcpx</v>
      </c>
      <c r="D301" s="8" t="str">
        <f>'Components Data Source'!D301</f>
        <v>Components\IO_Source\Sensors\Magnetometer_QMC5883.fcfx</v>
      </c>
      <c r="E301" s="8" t="str">
        <f>'Components Data Source'!E301</f>
        <v>SENSORS</v>
      </c>
      <c r="F301" s="8" t="str">
        <f>'Components Data Source'!F301</f>
        <v>MOVEMENT &amp;AMP; ORIENTATION</v>
      </c>
      <c r="G301" s="8">
        <f>'Components Data Source'!G301</f>
        <v>0</v>
      </c>
      <c r="H301" s="8">
        <f>'Components Data Source'!H301</f>
        <v>0</v>
      </c>
      <c r="I301" s="8" t="str">
        <f>'Components Data Source'!I301</f>
        <v xml:space="preserve">I2C </v>
      </c>
      <c r="J301" s="8">
        <f>'Components Data Source'!J301</f>
        <v>1</v>
      </c>
      <c r="K301" s="8">
        <f>'Components Data Source'!K301</f>
        <v>1</v>
      </c>
      <c r="L301" s="8">
        <f>'Components Data Source'!L301</f>
        <v>1</v>
      </c>
      <c r="M301" s="8" t="s">
        <v>1727</v>
      </c>
      <c r="N301" s="17" t="str">
        <f>HYPERLINK('Components Data Source'!M301)</f>
        <v>https://www.flowcode.co.uk/wiki/index.php?title=Component:_ID_03b98e89_8fee_466f_87b9_42b3b3e1cb41</v>
      </c>
      <c r="O301" s="8" t="s">
        <v>1721</v>
      </c>
      <c r="P301" s="8" t="s">
        <v>2774</v>
      </c>
      <c r="Q301" s="8" t="str">
        <f t="shared" si="10"/>
        <v/>
      </c>
      <c r="R301" s="1" t="s">
        <v>1721</v>
      </c>
      <c r="S301" s="1" t="s">
        <v>1721</v>
      </c>
      <c r="T301" s="1" t="s">
        <v>1721</v>
      </c>
      <c r="U301" s="1" t="s">
        <v>1721</v>
      </c>
      <c r="V301" s="1" t="s">
        <v>1731</v>
      </c>
      <c r="W301" s="1" t="s">
        <v>1175</v>
      </c>
      <c r="X301" s="1" t="s">
        <v>1721</v>
      </c>
      <c r="Y301" s="8" t="s">
        <v>2401</v>
      </c>
      <c r="Z301" s="18">
        <f t="shared" si="9"/>
        <v>3</v>
      </c>
      <c r="AA301" s="8"/>
      <c r="AB301" s="6" t="s">
        <v>2447</v>
      </c>
      <c r="AC301" s="7"/>
      <c r="AD301" s="8" t="s">
        <v>1721</v>
      </c>
      <c r="AE301" s="8" t="s">
        <v>1721</v>
      </c>
      <c r="AF301" s="8" t="s">
        <v>1727</v>
      </c>
      <c r="AG301" s="8"/>
      <c r="AH301" s="47"/>
      <c r="AI301" s="47">
        <f>VLOOKUP(B301,'Components Usage'!A$2:C$603,3,FALSE)</f>
        <v>0</v>
      </c>
      <c r="AJ301" s="28" t="s">
        <v>2401</v>
      </c>
    </row>
    <row r="302" spans="1:36" x14ac:dyDescent="0.25">
      <c r="A302" s="16" t="str">
        <f>'Components Data Source'!A302</f>
        <v>RFID (Sparkfun Quiic / ID-12LA)</v>
      </c>
      <c r="B302" s="8" t="str">
        <f>'Components Data Source'!B302</f>
        <v>055A7AB6-78DF-47CA-B967-143485C4D706</v>
      </c>
      <c r="C302" s="8" t="str">
        <f>'Components Data Source'!C302</f>
        <v>Quiic_RFID.fcpx</v>
      </c>
      <c r="D302" s="8" t="str">
        <f>'Components Data Source'!D302</f>
        <v>Components\IO_Source\Sparkfun\Sparkfun_Quiic_Rfid.fcfx</v>
      </c>
      <c r="E302" s="8" t="str">
        <f>'Components Data Source'!E302</f>
        <v>FREE</v>
      </c>
      <c r="F302" s="8" t="str">
        <f>'Components Data Source'!F302</f>
        <v>WIRELESS</v>
      </c>
      <c r="G302" s="8">
        <f>'Components Data Source'!G302</f>
        <v>0</v>
      </c>
      <c r="H302" s="8">
        <f>'Components Data Source'!H302</f>
        <v>0</v>
      </c>
      <c r="I302" s="8" t="str">
        <f>'Components Data Source'!I302</f>
        <v xml:space="preserve">I2C </v>
      </c>
      <c r="J302" s="8">
        <f>'Components Data Source'!J302</f>
        <v>1</v>
      </c>
      <c r="K302" s="8">
        <f>'Components Data Source'!K302</f>
        <v>1</v>
      </c>
      <c r="L302" s="8">
        <f>'Components Data Source'!L302</f>
        <v>1</v>
      </c>
      <c r="M302" s="8" t="s">
        <v>1727</v>
      </c>
      <c r="N302" s="17" t="str">
        <f>HYPERLINK('Components Data Source'!M302)</f>
        <v>https://www.flowcode.co.uk/wiki/index.php?title=Component:_ID_055a7ab6_78df_47ca_b967_143485c4d706</v>
      </c>
      <c r="O302" s="8" t="s">
        <v>1721</v>
      </c>
      <c r="P302" s="8" t="s">
        <v>2774</v>
      </c>
      <c r="Q302" s="8" t="str">
        <f t="shared" si="10"/>
        <v/>
      </c>
      <c r="R302" s="1" t="s">
        <v>1721</v>
      </c>
      <c r="S302" s="1" t="s">
        <v>1721</v>
      </c>
      <c r="T302" s="8" t="s">
        <v>1721</v>
      </c>
      <c r="U302" s="8" t="s">
        <v>1721</v>
      </c>
      <c r="V302" s="1" t="s">
        <v>1731</v>
      </c>
      <c r="W302" s="1" t="s">
        <v>1175</v>
      </c>
      <c r="X302" s="8" t="s">
        <v>1721</v>
      </c>
      <c r="Y302" s="8" t="s">
        <v>1721</v>
      </c>
      <c r="Z302" s="18">
        <f t="shared" si="9"/>
        <v>1</v>
      </c>
      <c r="AA302" s="8"/>
      <c r="AB302" s="7"/>
      <c r="AC302" s="7"/>
      <c r="AD302" s="8" t="s">
        <v>1727</v>
      </c>
      <c r="AE302" s="8"/>
      <c r="AF302" s="8"/>
      <c r="AG302" s="8"/>
      <c r="AH302" s="47"/>
      <c r="AI302" s="47">
        <f>VLOOKUP(B302,'Components Usage'!A$2:C$603,3,FALSE)</f>
        <v>4</v>
      </c>
      <c r="AJ302" s="28"/>
    </row>
    <row r="303" spans="1:36" hidden="1" x14ac:dyDescent="0.25">
      <c r="A303" s="16" t="str">
        <f>'Components Data Source'!A303</f>
        <v>Right Angle Pipe</v>
      </c>
      <c r="B303" s="8" t="str">
        <f>'Components Data Source'!B303</f>
        <v>311ACBB0-1031-4952-BC15-9524B6B1B074</v>
      </c>
      <c r="C303" s="8" t="str">
        <f>'Components Data Source'!C303</f>
        <v>RA_Pipe.fcpx</v>
      </c>
      <c r="D303" s="8" t="str">
        <f>'Components Data Source'!D303</f>
        <v>Components\IO_Source\SCADA\RA_Pipe.fcfx</v>
      </c>
      <c r="E303" s="8" t="str">
        <f>'Components Data Source'!E303</f>
        <v>SCADA</v>
      </c>
      <c r="F303" s="8" t="str">
        <f>'Components Data Source'!F303</f>
        <v>INDUSTRIAL</v>
      </c>
      <c r="G303" s="8">
        <f>'Components Data Source'!G303</f>
        <v>0</v>
      </c>
      <c r="H303" s="8">
        <f>'Components Data Source'!H303</f>
        <v>0</v>
      </c>
      <c r="I303" s="8">
        <f>'Components Data Source'!I303</f>
        <v>0</v>
      </c>
      <c r="J303" s="8">
        <f>'Components Data Source'!J303</f>
        <v>1</v>
      </c>
      <c r="K303" s="8">
        <f>'Components Data Source'!K303</f>
        <v>1</v>
      </c>
      <c r="L303" s="8">
        <f>'Components Data Source'!L303</f>
        <v>1</v>
      </c>
      <c r="M303" s="8" t="s">
        <v>1727</v>
      </c>
      <c r="N303" s="17" t="str">
        <f>HYPERLINK('Components Data Source'!M303)</f>
        <v>https://www.flowcode.co.uk/wiki/index.php?title=Component:_ID_311acbb0_1031_4952_bc15_9524b6b1b074</v>
      </c>
      <c r="O303" s="8" t="s">
        <v>1721</v>
      </c>
      <c r="P303" s="8" t="s">
        <v>2776</v>
      </c>
      <c r="Q303" s="8" t="str">
        <f t="shared" si="10"/>
        <v/>
      </c>
      <c r="R303" s="8" t="s">
        <v>1727</v>
      </c>
      <c r="S303" s="8"/>
      <c r="T303" s="8"/>
      <c r="U303" s="8"/>
      <c r="V303" s="8" t="s">
        <v>1730</v>
      </c>
      <c r="W303" s="8" t="s">
        <v>1730</v>
      </c>
      <c r="X303" s="8"/>
      <c r="Y303" s="8"/>
      <c r="Z303" s="18">
        <f t="shared" si="9"/>
        <v>2</v>
      </c>
      <c r="AA303" s="8"/>
      <c r="AB303" s="7"/>
      <c r="AC303" s="7"/>
      <c r="AD303" s="8" t="s">
        <v>1721</v>
      </c>
      <c r="AE303" s="8" t="s">
        <v>1721</v>
      </c>
      <c r="AF303" s="8" t="s">
        <v>2401</v>
      </c>
      <c r="AG303" s="8"/>
      <c r="AH303" s="47"/>
      <c r="AI303" s="47">
        <f>VLOOKUP(B303,'Components Usage'!A$2:C$603,3,FALSE)</f>
        <v>7</v>
      </c>
      <c r="AJ303" s="28"/>
    </row>
    <row r="304" spans="1:36" x14ac:dyDescent="0.25">
      <c r="A304" s="16">
        <f>'Components Data Source'!A304</f>
        <v>0</v>
      </c>
      <c r="B304" s="8" t="str">
        <f>'Components Data Source'!B304</f>
        <v>81E90A9F-1594-4B34-8AEF-5DD671DDDC30</v>
      </c>
      <c r="C304" s="8" t="str">
        <f>'Components Data Source'!C304</f>
        <v>RC5.fcpx</v>
      </c>
      <c r="D304" s="8" t="str">
        <f>'Components Data Source'!D304</f>
        <v>ERROR - Multiple Source Files</v>
      </c>
      <c r="E304" s="8" t="str">
        <f>'Components Data Source'!E304</f>
        <v>FREE</v>
      </c>
      <c r="F304" s="8">
        <f>'Components Data Source'!F304</f>
        <v>0</v>
      </c>
      <c r="G304" s="8">
        <f>'Components Data Source'!G304</f>
        <v>0</v>
      </c>
      <c r="H304" s="8">
        <f>'Components Data Source'!H304</f>
        <v>0</v>
      </c>
      <c r="I304" s="8">
        <f>'Components Data Source'!I304</f>
        <v>0</v>
      </c>
      <c r="J304" s="8">
        <f>'Components Data Source'!J304</f>
        <v>0</v>
      </c>
      <c r="K304" s="8">
        <f>'Components Data Source'!K304</f>
        <v>0</v>
      </c>
      <c r="L304" s="8">
        <f>'Components Data Source'!L304</f>
        <v>0</v>
      </c>
      <c r="M304" s="8" t="s">
        <v>1727</v>
      </c>
      <c r="N304" s="17" t="str">
        <f>HYPERLINK('Components Data Source'!M304)</f>
        <v>https://www.flowcode.co.uk/wiki/index.php?title=Component:_ID_81e90a9f_1594_4b34_8aef_5dd671dddc30</v>
      </c>
      <c r="O304" s="8" t="s">
        <v>1721</v>
      </c>
      <c r="P304" s="8"/>
      <c r="Q304" s="8" t="str">
        <f t="shared" si="10"/>
        <v/>
      </c>
      <c r="R304" s="1" t="s">
        <v>1721</v>
      </c>
      <c r="S304" s="1" t="s">
        <v>1721</v>
      </c>
      <c r="T304" s="1" t="s">
        <v>1727</v>
      </c>
      <c r="U304" s="1" t="s">
        <v>1721</v>
      </c>
      <c r="V304" s="1" t="s">
        <v>1731</v>
      </c>
      <c r="W304" s="1" t="s">
        <v>1731</v>
      </c>
      <c r="X304" s="1" t="s">
        <v>1721</v>
      </c>
      <c r="Y304" s="8" t="s">
        <v>1721</v>
      </c>
      <c r="Z304" s="18">
        <f t="shared" si="9"/>
        <v>1</v>
      </c>
      <c r="AA304" s="8"/>
      <c r="AB304" s="7"/>
      <c r="AC304" s="7"/>
      <c r="AD304" s="8" t="s">
        <v>1721</v>
      </c>
      <c r="AE304" s="8" t="s">
        <v>1721</v>
      </c>
      <c r="AF304" s="8" t="s">
        <v>1721</v>
      </c>
      <c r="AG304" s="8"/>
      <c r="AH304" s="47"/>
      <c r="AI304" s="47">
        <f>VLOOKUP(B304,'Components Usage'!A$2:C$603,3,FALSE)</f>
        <v>9</v>
      </c>
      <c r="AJ304" s="28" t="s">
        <v>2401</v>
      </c>
    </row>
    <row r="305" spans="1:36" hidden="1" x14ac:dyDescent="0.25">
      <c r="A305" s="16" t="str">
        <f>'Components Data Source'!A305</f>
        <v>RFID (EB052 RWD-MICODE)</v>
      </c>
      <c r="B305" s="8" t="str">
        <f>'Components Data Source'!B305</f>
        <v>74423151-1BF4-48B8-8BA8-A70C170EF2DE</v>
      </c>
      <c r="C305" s="8" t="str">
        <f>'Components Data Source'!C305</f>
        <v>RFID.fcpx</v>
      </c>
      <c r="D305" s="8" t="str">
        <f>'Components Data Source'!D305</f>
        <v>Components\IO_Source\RFID.fcfx</v>
      </c>
      <c r="E305" s="8" t="str">
        <f>'Components Data Source'!E305</f>
        <v>COMMSB</v>
      </c>
      <c r="F305" s="8" t="str">
        <f>'Components Data Source'!F305</f>
        <v>WIRELESS</v>
      </c>
      <c r="G305" s="8">
        <f>'Components Data Source'!G305</f>
        <v>0</v>
      </c>
      <c r="H305" s="8">
        <f>'Components Data Source'!H305</f>
        <v>0</v>
      </c>
      <c r="I305" s="8" t="str">
        <f>'Components Data Source'!I305</f>
        <v xml:space="preserve">UART </v>
      </c>
      <c r="J305" s="8">
        <f>'Components Data Source'!J305</f>
        <v>1</v>
      </c>
      <c r="K305" s="8">
        <f>'Components Data Source'!K305</f>
        <v>1</v>
      </c>
      <c r="L305" s="8">
        <f>'Components Data Source'!L305</f>
        <v>0</v>
      </c>
      <c r="M305" s="8" t="s">
        <v>1727</v>
      </c>
      <c r="N305" s="17" t="str">
        <f>HYPERLINK('Components Data Source'!M305)</f>
        <v>https://www.flowcode.co.uk/wiki/index.php?title=Component:_ID_74423151_1bf4_48b8_8ba8_a70c170ef2de</v>
      </c>
      <c r="O305" s="8" t="s">
        <v>2504</v>
      </c>
      <c r="P305" s="8" t="s">
        <v>2774</v>
      </c>
      <c r="Q305" s="8" t="str">
        <f t="shared" si="10"/>
        <v/>
      </c>
      <c r="R305" s="1" t="s">
        <v>1721</v>
      </c>
      <c r="S305" s="1" t="s">
        <v>1721</v>
      </c>
      <c r="T305" s="1" t="s">
        <v>1721</v>
      </c>
      <c r="U305" s="1"/>
      <c r="V305" s="1" t="s">
        <v>1731</v>
      </c>
      <c r="W305" s="1" t="s">
        <v>1180</v>
      </c>
      <c r="X305" s="1" t="s">
        <v>1721</v>
      </c>
      <c r="Y305" s="8" t="s">
        <v>1721</v>
      </c>
      <c r="Z305" s="18">
        <f t="shared" si="9"/>
        <v>1</v>
      </c>
      <c r="AA305" s="8"/>
      <c r="AB305" s="7"/>
      <c r="AC305" s="7"/>
      <c r="AD305" s="8" t="s">
        <v>1721</v>
      </c>
      <c r="AE305" s="8" t="s">
        <v>1721</v>
      </c>
      <c r="AF305" s="8" t="s">
        <v>1727</v>
      </c>
      <c r="AG305" s="8"/>
      <c r="AH305" s="47"/>
      <c r="AI305" s="47">
        <f>VLOOKUP(B305,'Components Usage'!A$2:C$603,3,FALSE)</f>
        <v>2</v>
      </c>
      <c r="AJ305" s="28" t="s">
        <v>2401</v>
      </c>
    </row>
    <row r="306" spans="1:36" hidden="1" x14ac:dyDescent="0.25">
      <c r="A306" s="16" t="str">
        <f>'Components Data Source'!A306</f>
        <v>RFID (BL0197)</v>
      </c>
      <c r="B306" s="8" t="str">
        <f>'Components Data Source'!B306</f>
        <v>05B6159B-1572-4C0D-8DDF-705D9741955A</v>
      </c>
      <c r="C306" s="8" t="str">
        <f>'Components Data Source'!C306</f>
        <v>RFID_BL0197.fcpx</v>
      </c>
      <c r="D306" s="8" t="str">
        <f>'Components Data Source'!D306</f>
        <v>Components\IO_Source\EB2\EBlocks2_RFID_BL0197.fcfx</v>
      </c>
      <c r="E306" s="8" t="str">
        <f>'Components Data Source'!E306</f>
        <v>COMMSB</v>
      </c>
      <c r="F306" s="8" t="str">
        <f>'Components Data Source'!F306</f>
        <v>E-BLOCKS 2</v>
      </c>
      <c r="G306" s="8">
        <f>'Components Data Source'!G306</f>
        <v>0</v>
      </c>
      <c r="H306" s="8">
        <f>'Components Data Source'!H306</f>
        <v>0</v>
      </c>
      <c r="I306" s="8" t="str">
        <f>'Components Data Source'!I306</f>
        <v xml:space="preserve">UART </v>
      </c>
      <c r="J306" s="8">
        <f>'Components Data Source'!J306</f>
        <v>1</v>
      </c>
      <c r="K306" s="8">
        <f>'Components Data Source'!K306</f>
        <v>1</v>
      </c>
      <c r="L306" s="8">
        <f>'Components Data Source'!L306</f>
        <v>0</v>
      </c>
      <c r="M306" s="8" t="s">
        <v>1727</v>
      </c>
      <c r="N306" s="17" t="str">
        <f>HYPERLINK('Components Data Source'!M306)</f>
        <v>https://www.flowcode.co.uk/wiki/index.php?title=Component:_ID_05b6159b_1572_4c0d_8ddf_705d9741955a</v>
      </c>
      <c r="O306" s="8" t="s">
        <v>2589</v>
      </c>
      <c r="P306" s="8"/>
      <c r="Q306" s="8" t="str">
        <f t="shared" si="10"/>
        <v/>
      </c>
      <c r="R306" s="8" t="s">
        <v>1721</v>
      </c>
      <c r="S306" s="8" t="s">
        <v>1721</v>
      </c>
      <c r="T306" s="8" t="s">
        <v>1721</v>
      </c>
      <c r="U306" s="8" t="s">
        <v>1721</v>
      </c>
      <c r="V306" s="8" t="s">
        <v>1731</v>
      </c>
      <c r="W306" s="8" t="s">
        <v>1183</v>
      </c>
      <c r="X306" s="8" t="s">
        <v>1721</v>
      </c>
      <c r="Y306" s="8" t="s">
        <v>1721</v>
      </c>
      <c r="Z306" s="18">
        <f t="shared" si="9"/>
        <v>1</v>
      </c>
      <c r="AA306" s="8"/>
      <c r="AB306" s="7"/>
      <c r="AC306" s="7"/>
      <c r="AD306" s="8" t="s">
        <v>1721</v>
      </c>
      <c r="AE306" s="8" t="s">
        <v>1727</v>
      </c>
      <c r="AF306" s="8" t="s">
        <v>1727</v>
      </c>
      <c r="AG306" s="8"/>
      <c r="AH306" s="47"/>
      <c r="AI306" s="47">
        <f>VLOOKUP(B306,'Components Usage'!A$2:C$603,3,FALSE)</f>
        <v>0</v>
      </c>
      <c r="AJ306" s="28" t="s">
        <v>2401</v>
      </c>
    </row>
    <row r="307" spans="1:36" hidden="1" x14ac:dyDescent="0.25">
      <c r="A307" s="16" t="str">
        <f>'Components Data Source'!A307</f>
        <v>RFID (MFRC522)</v>
      </c>
      <c r="B307" s="8" t="str">
        <f>'Components Data Source'!B307</f>
        <v>3F8D29A6-40A6-4D5E-A254-190C86D9EBB7</v>
      </c>
      <c r="C307" s="8" t="str">
        <f>'Components Data Source'!C307</f>
        <v>RFID_MFRC522.fcpx</v>
      </c>
      <c r="D307" s="8" t="str">
        <f>'Components Data Source'!D307</f>
        <v>Components\IO_Source\MFRC522.fcfx</v>
      </c>
      <c r="E307" s="8" t="str">
        <f>'Components Data Source'!E307</f>
        <v>COMMSC</v>
      </c>
      <c r="F307" s="8" t="str">
        <f>'Components Data Source'!F307</f>
        <v>WIRELESS</v>
      </c>
      <c r="G307" s="8">
        <f>'Components Data Source'!G307</f>
        <v>0</v>
      </c>
      <c r="H307" s="8">
        <f>'Components Data Source'!H307</f>
        <v>0</v>
      </c>
      <c r="I307" s="8" t="str">
        <f>'Components Data Source'!I307</f>
        <v xml:space="preserve">SPI </v>
      </c>
      <c r="J307" s="8">
        <f>'Components Data Source'!J307</f>
        <v>1</v>
      </c>
      <c r="K307" s="8">
        <f>'Components Data Source'!K307</f>
        <v>1</v>
      </c>
      <c r="L307" s="8">
        <f>'Components Data Source'!L307</f>
        <v>1</v>
      </c>
      <c r="M307" s="8" t="s">
        <v>1727</v>
      </c>
      <c r="N307" s="17" t="str">
        <f>HYPERLINK('Components Data Source'!M307)</f>
        <v>https://www.flowcode.co.uk/wiki/index.php?title=Component:_ID_3f8d29a6_40a6_4d5e_a254_190c86d9ebb7</v>
      </c>
      <c r="O307" s="8" t="s">
        <v>1721</v>
      </c>
      <c r="P307" s="8"/>
      <c r="Q307" s="8" t="str">
        <f t="shared" si="10"/>
        <v/>
      </c>
      <c r="R307" s="1" t="s">
        <v>1721</v>
      </c>
      <c r="S307" s="1" t="s">
        <v>1721</v>
      </c>
      <c r="T307" s="1" t="s">
        <v>1721</v>
      </c>
      <c r="U307" s="1"/>
      <c r="V307" s="1" t="s">
        <v>1731</v>
      </c>
      <c r="W307" s="1" t="s">
        <v>1180</v>
      </c>
      <c r="X307" s="1" t="s">
        <v>1721</v>
      </c>
      <c r="Y307" s="8" t="s">
        <v>1721</v>
      </c>
      <c r="Z307" s="18">
        <f t="shared" si="9"/>
        <v>1</v>
      </c>
      <c r="AA307" s="8"/>
      <c r="AB307" s="7"/>
      <c r="AC307" s="7"/>
      <c r="AD307" s="8" t="s">
        <v>1721</v>
      </c>
      <c r="AE307" s="8" t="s">
        <v>1721</v>
      </c>
      <c r="AF307" s="8" t="s">
        <v>1727</v>
      </c>
      <c r="AG307" s="8"/>
      <c r="AH307" s="47"/>
      <c r="AI307" s="47">
        <f>VLOOKUP(B307,'Components Usage'!A$2:C$603,3,FALSE)</f>
        <v>7</v>
      </c>
      <c r="AJ307" s="28" t="s">
        <v>2401</v>
      </c>
    </row>
    <row r="308" spans="1:36" hidden="1" x14ac:dyDescent="0.25">
      <c r="A308" s="16" t="str">
        <f>'Components Data Source'!A308</f>
        <v>RF ISM (EB063 MRF49XA)</v>
      </c>
      <c r="B308" s="8" t="str">
        <f>'Components Data Source'!B308</f>
        <v>45BD9065-B6F7-42BE-B96F-28C3DF2C0A22</v>
      </c>
      <c r="C308" s="8" t="str">
        <f>'Components Data Source'!C308</f>
        <v>RF_ISM.fcpx</v>
      </c>
      <c r="D308" s="8" t="str">
        <f>'Components Data Source'!D308</f>
        <v>Components\IO_Source\RF-ISM.fcfx</v>
      </c>
      <c r="E308" s="8" t="str">
        <f>'Components Data Source'!E308</f>
        <v>COMMSB</v>
      </c>
      <c r="F308" s="8" t="str">
        <f>'Components Data Source'!F308</f>
        <v>WIRELESS</v>
      </c>
      <c r="G308" s="8">
        <f>'Components Data Source'!G308</f>
        <v>0</v>
      </c>
      <c r="H308" s="8">
        <f>'Components Data Source'!H308</f>
        <v>0</v>
      </c>
      <c r="I308" s="8" t="str">
        <f>'Components Data Source'!I308</f>
        <v xml:space="preserve">SPI </v>
      </c>
      <c r="J308" s="8">
        <f>'Components Data Source'!J308</f>
        <v>1</v>
      </c>
      <c r="K308" s="8">
        <f>'Components Data Source'!K308</f>
        <v>1</v>
      </c>
      <c r="L308" s="8">
        <f>'Components Data Source'!L308</f>
        <v>0</v>
      </c>
      <c r="M308" s="8" t="s">
        <v>1727</v>
      </c>
      <c r="N308" s="17" t="str">
        <f>HYPERLINK('Components Data Source'!M308)</f>
        <v>https://www.flowcode.co.uk/wiki/index.php?title=Component:_ID_45bd9065_b6f7_42be_b96f_28c3df2c0a22</v>
      </c>
      <c r="O308" s="8" t="s">
        <v>1721</v>
      </c>
      <c r="P308" s="8"/>
      <c r="Q308" s="8" t="str">
        <f t="shared" si="10"/>
        <v/>
      </c>
      <c r="R308" s="1" t="s">
        <v>1721</v>
      </c>
      <c r="S308" s="1" t="s">
        <v>1721</v>
      </c>
      <c r="T308" s="1" t="s">
        <v>1721</v>
      </c>
      <c r="U308" s="1" t="s">
        <v>1721</v>
      </c>
      <c r="V308" s="1" t="s">
        <v>1731</v>
      </c>
      <c r="W308" s="1" t="s">
        <v>1180</v>
      </c>
      <c r="X308" s="1" t="s">
        <v>1721</v>
      </c>
      <c r="Y308" s="8" t="s">
        <v>1721</v>
      </c>
      <c r="Z308" s="18">
        <f t="shared" si="9"/>
        <v>1</v>
      </c>
      <c r="AA308" s="8"/>
      <c r="AB308" s="7"/>
      <c r="AC308" s="7"/>
      <c r="AD308" s="8" t="s">
        <v>1721</v>
      </c>
      <c r="AE308" s="8" t="s">
        <v>1721</v>
      </c>
      <c r="AF308" s="8" t="s">
        <v>1727</v>
      </c>
      <c r="AG308" s="8"/>
      <c r="AH308" s="47"/>
      <c r="AI308" s="47">
        <f>VLOOKUP(B308,'Components Usage'!A$2:C$603,3,FALSE)</f>
        <v>1</v>
      </c>
      <c r="AJ308" s="28" t="s">
        <v>2401</v>
      </c>
    </row>
    <row r="309" spans="1:36" x14ac:dyDescent="0.25">
      <c r="A309" s="16" t="str">
        <f>'Components Data Source'!A309</f>
        <v>RGB LED LP5030 LP5036</v>
      </c>
      <c r="B309" s="8" t="str">
        <f>'Components Data Source'!B309</f>
        <v>12A23E2A-0B1E-427E-975A-F0B56D4A9483</v>
      </c>
      <c r="C309" s="8" t="str">
        <f>'Components Data Source'!C309</f>
        <v>RGB_LED_LP503x.fcpx</v>
      </c>
      <c r="D309" s="8" t="str">
        <f>'Components Data Source'!D309</f>
        <v>Components\IO_Source\outputs\LP5036_RGB_LED.fcfx</v>
      </c>
      <c r="E309" s="8" t="str">
        <f>'Components Data Source'!E309</f>
        <v>FREE</v>
      </c>
      <c r="F309" s="8" t="str">
        <f>'Components Data Source'!F309</f>
        <v>LEDS</v>
      </c>
      <c r="G309" s="8">
        <f>'Components Data Source'!G309</f>
        <v>0</v>
      </c>
      <c r="H309" s="8">
        <f>'Components Data Source'!H309</f>
        <v>0</v>
      </c>
      <c r="I309" s="8" t="str">
        <f>'Components Data Source'!I309</f>
        <v xml:space="preserve">I2C </v>
      </c>
      <c r="J309" s="8">
        <f>'Components Data Source'!J309</f>
        <v>1</v>
      </c>
      <c r="K309" s="8">
        <f>'Components Data Source'!K309</f>
        <v>1</v>
      </c>
      <c r="L309" s="8">
        <f>'Components Data Source'!L309</f>
        <v>0</v>
      </c>
      <c r="M309" s="8" t="s">
        <v>1727</v>
      </c>
      <c r="N309" s="17" t="str">
        <f>HYPERLINK('Components Data Source'!M309)</f>
        <v>https://www.flowcode.co.uk/wiki/index.php?title=Component:_ID_12a23e2a_0b1e_427e_975a_f0b56d4a9483</v>
      </c>
      <c r="O309" s="8" t="s">
        <v>1721</v>
      </c>
      <c r="P309" s="8"/>
      <c r="Q309" s="8" t="str">
        <f t="shared" si="10"/>
        <v/>
      </c>
      <c r="R309" s="8" t="s">
        <v>1727</v>
      </c>
      <c r="S309" s="8" t="s">
        <v>2474</v>
      </c>
      <c r="T309" s="8"/>
      <c r="U309" s="8"/>
      <c r="V309" s="8" t="s">
        <v>1730</v>
      </c>
      <c r="W309" s="8" t="s">
        <v>1730</v>
      </c>
      <c r="X309" s="8"/>
      <c r="Y309" s="8" t="s">
        <v>1727</v>
      </c>
      <c r="Z309" s="18">
        <f t="shared" si="9"/>
        <v>2</v>
      </c>
      <c r="AA309" s="8" t="s">
        <v>1727</v>
      </c>
      <c r="AB309" s="7" t="s">
        <v>2526</v>
      </c>
      <c r="AC309" s="7"/>
      <c r="AD309" s="8" t="s">
        <v>1727</v>
      </c>
      <c r="AE309" s="8"/>
      <c r="AF309" s="8"/>
      <c r="AG309" s="8"/>
      <c r="AH309" s="47"/>
      <c r="AI309" s="47">
        <f>VLOOKUP(B309,'Components Usage'!A$2:C$603,3,FALSE)</f>
        <v>0</v>
      </c>
      <c r="AJ309" s="28"/>
    </row>
    <row r="310" spans="1:36" hidden="1" x14ac:dyDescent="0.25">
      <c r="A310" s="16" t="str">
        <f>'Components Data Source'!A310</f>
        <v>UART (RS232)</v>
      </c>
      <c r="B310" s="8" t="str">
        <f>'Components Data Source'!B310</f>
        <v>C73616D1-7AD0-45D9-AADA-69CCFA4C5EFC</v>
      </c>
      <c r="C310" s="8" t="str">
        <f>'Components Data Source'!C310</f>
        <v>RS232.fcpx</v>
      </c>
      <c r="D310" s="8" t="str">
        <f>'Components Data Source'!D310</f>
        <v>Components\IO_Source\RS232.fcfx</v>
      </c>
      <c r="E310" s="8" t="str">
        <f>'Components Data Source'!E310</f>
        <v>COMMSA</v>
      </c>
      <c r="F310" s="8" t="str">
        <f>'Components Data Source'!F310</f>
        <v>COMMS: INTERFACE</v>
      </c>
      <c r="G310" s="8">
        <f>'Components Data Source'!G310</f>
        <v>0</v>
      </c>
      <c r="H310" s="8">
        <f>'Components Data Source'!H310</f>
        <v>0</v>
      </c>
      <c r="I310" s="8" t="str">
        <f>'Components Data Source'!I310</f>
        <v xml:space="preserve">UART </v>
      </c>
      <c r="J310" s="8">
        <f>'Components Data Source'!J310</f>
        <v>1</v>
      </c>
      <c r="K310" s="8">
        <f>'Components Data Source'!K310</f>
        <v>1</v>
      </c>
      <c r="L310" s="8">
        <f>'Components Data Source'!L310</f>
        <v>0</v>
      </c>
      <c r="M310" s="8" t="s">
        <v>1727</v>
      </c>
      <c r="N310" s="17" t="str">
        <f>HYPERLINK('Components Data Source'!M310)</f>
        <v>https://www.flowcode.co.uk/wiki/index.php?title=Component:_ID_c73616d1_7ad0_45d9_aada_69ccfa4c5efc</v>
      </c>
      <c r="O310" s="8" t="s">
        <v>1721</v>
      </c>
      <c r="P310" s="45" t="s">
        <v>3552</v>
      </c>
      <c r="Q310" s="8" t="str">
        <f t="shared" si="10"/>
        <v/>
      </c>
      <c r="R310" s="1" t="s">
        <v>1721</v>
      </c>
      <c r="S310" s="1" t="s">
        <v>1721</v>
      </c>
      <c r="T310" s="1" t="s">
        <v>1721</v>
      </c>
      <c r="U310" s="1" t="s">
        <v>1721</v>
      </c>
      <c r="V310" s="1" t="s">
        <v>1731</v>
      </c>
      <c r="W310" s="1" t="s">
        <v>1183</v>
      </c>
      <c r="X310" s="1" t="s">
        <v>1721</v>
      </c>
      <c r="Y310" s="8" t="s">
        <v>1721</v>
      </c>
      <c r="Z310" s="18">
        <f t="shared" si="9"/>
        <v>1</v>
      </c>
      <c r="AA310" s="8"/>
      <c r="AB310" s="6" t="s">
        <v>2460</v>
      </c>
      <c r="AC310" s="7"/>
      <c r="AD310" s="8" t="s">
        <v>1721</v>
      </c>
      <c r="AE310" s="8" t="s">
        <v>1721</v>
      </c>
      <c r="AF310" s="8" t="s">
        <v>1727</v>
      </c>
      <c r="AG310" s="8" t="s">
        <v>1721</v>
      </c>
      <c r="AH310" s="47"/>
      <c r="AI310" s="47">
        <f>VLOOKUP(B310,'Components Usage'!A$2:C$603,3,FALSE)</f>
        <v>443</v>
      </c>
      <c r="AJ310" s="28" t="s">
        <v>1721</v>
      </c>
    </row>
    <row r="311" spans="1:36" hidden="1" x14ac:dyDescent="0.25">
      <c r="A311" s="16" t="str">
        <f>'Components Data Source'!A311</f>
        <v>Real Time Clock (Internal DS1307 DS3231 DS3232)</v>
      </c>
      <c r="B311" s="8" t="str">
        <f>'Components Data Source'!B311</f>
        <v>F0E01201-8951-4748-87C3-D1F8423BB6E4</v>
      </c>
      <c r="C311" s="8" t="str">
        <f>'Components Data Source'!C311</f>
        <v>RTC.fcpx</v>
      </c>
      <c r="D311" s="8" t="str">
        <f>'Components Data Source'!D311</f>
        <v>Components\IO_Source\RealTimeClock.fcfx</v>
      </c>
      <c r="E311" s="8" t="str">
        <f>'Components Data Source'!E311</f>
        <v>STORAGE</v>
      </c>
      <c r="F311" s="8" t="str">
        <f>'Components Data Source'!F311</f>
        <v>STORAGE</v>
      </c>
      <c r="G311" s="8">
        <f>'Components Data Source'!G311</f>
        <v>0</v>
      </c>
      <c r="H311" s="8">
        <f>'Components Data Source'!H311</f>
        <v>0</v>
      </c>
      <c r="I311" s="8" t="str">
        <f>'Components Data Source'!I311</f>
        <v xml:space="preserve">I2C </v>
      </c>
      <c r="J311" s="8">
        <f>'Components Data Source'!J311</f>
        <v>1</v>
      </c>
      <c r="K311" s="8">
        <f>'Components Data Source'!K311</f>
        <v>1</v>
      </c>
      <c r="L311" s="8">
        <f>'Components Data Source'!L311</f>
        <v>0</v>
      </c>
      <c r="M311" s="8" t="s">
        <v>1727</v>
      </c>
      <c r="N311" s="17" t="str">
        <f>HYPERLINK('Components Data Source'!M311)</f>
        <v>https://www.flowcode.co.uk/wiki/index.php?title=Component:_ID_f0e01201_8951_4748_87c3_d1f8423bb6e4</v>
      </c>
      <c r="O311" s="8" t="s">
        <v>1721</v>
      </c>
      <c r="P311" s="8"/>
      <c r="Q311" s="8" t="str">
        <f t="shared" si="10"/>
        <v/>
      </c>
      <c r="R311" s="1" t="s">
        <v>1721</v>
      </c>
      <c r="S311" s="1" t="s">
        <v>1721</v>
      </c>
      <c r="T311" s="1" t="s">
        <v>1721</v>
      </c>
      <c r="U311" s="1" t="s">
        <v>1721</v>
      </c>
      <c r="V311" s="1" t="s">
        <v>1730</v>
      </c>
      <c r="W311" s="1" t="s">
        <v>1175</v>
      </c>
      <c r="X311" s="1" t="s">
        <v>1721</v>
      </c>
      <c r="Y311" s="8" t="s">
        <v>1721</v>
      </c>
      <c r="Z311" s="18">
        <f t="shared" si="9"/>
        <v>1</v>
      </c>
      <c r="AA311" s="8"/>
      <c r="AB311" s="7"/>
      <c r="AC311" s="7"/>
      <c r="AD311" s="8" t="s">
        <v>1721</v>
      </c>
      <c r="AE311" s="8" t="s">
        <v>1721</v>
      </c>
      <c r="AF311" s="8" t="s">
        <v>1727</v>
      </c>
      <c r="AG311" s="8" t="s">
        <v>1721</v>
      </c>
      <c r="AH311" s="47"/>
      <c r="AI311" s="47">
        <f>VLOOKUP(B311,'Components Usage'!A$2:C$603,3,FALSE)</f>
        <v>99</v>
      </c>
      <c r="AJ311" s="28" t="s">
        <v>2401</v>
      </c>
    </row>
    <row r="312" spans="1:36" x14ac:dyDescent="0.25">
      <c r="A312" s="16" t="str">
        <f>'Components Data Source'!A312</f>
        <v>Radar Chart</v>
      </c>
      <c r="B312" s="8" t="str">
        <f>'Components Data Source'!B312</f>
        <v>B49DA131-FAF9-4BD7-BCDF-323016E64FFD</v>
      </c>
      <c r="C312" s="8" t="str">
        <f>'Components Data Source'!C312</f>
        <v>RadarChart.fcpx</v>
      </c>
      <c r="D312" s="8" t="str">
        <f>'Components Data Source'!D312</f>
        <v>Components\IO_Source\2dGDI\ChartRadar.fcfx</v>
      </c>
      <c r="E312" s="8" t="str">
        <f>'Components Data Source'!E312</f>
        <v>FREE</v>
      </c>
      <c r="F312" s="8" t="str">
        <f>'Components Data Source'!F312</f>
        <v>CHARTS</v>
      </c>
      <c r="G312" s="8" t="str">
        <f>'Components Data Source'!G312</f>
        <v xml:space="preserve">CHARTS </v>
      </c>
      <c r="H312" s="8">
        <f>'Components Data Source'!H312</f>
        <v>0</v>
      </c>
      <c r="I312" s="8">
        <f>'Components Data Source'!I312</f>
        <v>0</v>
      </c>
      <c r="J312" s="8">
        <f>'Components Data Source'!J312</f>
        <v>1</v>
      </c>
      <c r="K312" s="8">
        <f>'Components Data Source'!K312</f>
        <v>1</v>
      </c>
      <c r="L312" s="8">
        <f>'Components Data Source'!L312</f>
        <v>1</v>
      </c>
      <c r="M312" s="8" t="s">
        <v>1727</v>
      </c>
      <c r="N312" s="17" t="str">
        <f>HYPERLINK('Components Data Source'!M312)</f>
        <v>https://www.flowcode.co.uk/wiki/index.php?title=Component:_ID_b49da131_faf9_4bd7_bcdf_323016e64ffd</v>
      </c>
      <c r="O312" s="8" t="s">
        <v>1721</v>
      </c>
      <c r="P312" s="8"/>
      <c r="Q312" s="8" t="str">
        <f t="shared" si="10"/>
        <v/>
      </c>
      <c r="R312" s="8" t="s">
        <v>1727</v>
      </c>
      <c r="S312" s="8" t="s">
        <v>1721</v>
      </c>
      <c r="T312" s="8"/>
      <c r="U312" s="8"/>
      <c r="V312" s="8" t="s">
        <v>1730</v>
      </c>
      <c r="W312" s="8" t="s">
        <v>1730</v>
      </c>
      <c r="X312" s="8"/>
      <c r="Y312" s="8"/>
      <c r="Z312" s="18">
        <f t="shared" si="9"/>
        <v>2</v>
      </c>
      <c r="AA312" s="8"/>
      <c r="AB312" s="7"/>
      <c r="AC312" s="7"/>
      <c r="AD312" s="8" t="s">
        <v>1727</v>
      </c>
      <c r="AE312" s="8"/>
      <c r="AF312" s="8"/>
      <c r="AG312" s="8"/>
      <c r="AH312" s="47"/>
      <c r="AI312" s="47">
        <f>VLOOKUP(B312,'Components Usage'!A$2:C$603,3,FALSE)</f>
        <v>0</v>
      </c>
      <c r="AJ312" s="28"/>
    </row>
    <row r="313" spans="1:36" x14ac:dyDescent="0.25">
      <c r="A313" s="16" t="str">
        <f>'Components Data Source'!A313</f>
        <v>RadioButton</v>
      </c>
      <c r="B313" s="8" t="str">
        <f>'Components Data Source'!B313</f>
        <v>73611F11-F97D-4E6E-88E6-2D59B39C0A4A</v>
      </c>
      <c r="C313" s="8" t="str">
        <f>'Components Data Source'!C313</f>
        <v>RadioButton.fcpx</v>
      </c>
      <c r="D313" s="8" t="str">
        <f>'Components Data Source'!D313</f>
        <v>Components\IO_Source\SCADA\RadioButton.fcsx</v>
      </c>
      <c r="E313" s="8" t="str">
        <f>'Components Data Source'!E313</f>
        <v>FREE</v>
      </c>
      <c r="F313" s="8" t="str">
        <f>'Components Data Source'!F313</f>
        <v xml:space="preserve">CONTROLS </v>
      </c>
      <c r="G313" s="8" t="str">
        <f>'Components Data Source'!G313</f>
        <v>CONTROLS</v>
      </c>
      <c r="H313" s="8">
        <f>'Components Data Source'!H313</f>
        <v>0</v>
      </c>
      <c r="I313" s="8">
        <f>'Components Data Source'!I313</f>
        <v>0</v>
      </c>
      <c r="J313" s="8">
        <f>'Components Data Source'!J313</f>
        <v>1</v>
      </c>
      <c r="K313" s="8">
        <f>'Components Data Source'!K313</f>
        <v>1</v>
      </c>
      <c r="L313" s="8">
        <f>'Components Data Source'!L313</f>
        <v>1</v>
      </c>
      <c r="M313" s="8" t="s">
        <v>1727</v>
      </c>
      <c r="N313" s="17" t="str">
        <f>HYPERLINK('Components Data Source'!M313)</f>
        <v>https://www.flowcode.co.uk/wiki/index.php?title=Component:_ID_73611f11_f97d_4e6e_88e6_2d59b39c0a4a</v>
      </c>
      <c r="O313" s="8" t="s">
        <v>1721</v>
      </c>
      <c r="P313" s="8" t="s">
        <v>3553</v>
      </c>
      <c r="Q313" s="8" t="str">
        <f t="shared" si="10"/>
        <v/>
      </c>
      <c r="R313" s="8" t="s">
        <v>1727</v>
      </c>
      <c r="S313" s="8" t="s">
        <v>1721</v>
      </c>
      <c r="T313" s="8"/>
      <c r="U313" s="8"/>
      <c r="V313" s="8" t="s">
        <v>1730</v>
      </c>
      <c r="W313" s="8" t="s">
        <v>1730</v>
      </c>
      <c r="X313" s="8"/>
      <c r="Y313" s="8"/>
      <c r="Z313" s="18">
        <f t="shared" si="9"/>
        <v>2</v>
      </c>
      <c r="AA313" s="8" t="s">
        <v>1727</v>
      </c>
      <c r="AB313" s="7" t="s">
        <v>2527</v>
      </c>
      <c r="AC313" s="7"/>
      <c r="AD313" s="8" t="s">
        <v>1727</v>
      </c>
      <c r="AE313" s="8" t="s">
        <v>1727</v>
      </c>
      <c r="AF313" s="8" t="s">
        <v>2401</v>
      </c>
      <c r="AG313" s="8" t="s">
        <v>1721</v>
      </c>
      <c r="AH313" s="47"/>
      <c r="AI313" s="47">
        <f>VLOOKUP(B313,'Components Usage'!A$2:C$603,3,FALSE)</f>
        <v>8</v>
      </c>
      <c r="AJ313" s="28"/>
    </row>
    <row r="314" spans="1:36" x14ac:dyDescent="0.25">
      <c r="A314" s="16" t="str">
        <f>'Components Data Source'!A314</f>
        <v>Range Time of Flight (VL53L0X)</v>
      </c>
      <c r="B314" s="8" t="str">
        <f>'Components Data Source'!B314</f>
        <v>488C3A77-9FF2-4E60-9BFD-CF074405E294</v>
      </c>
      <c r="C314" s="8" t="str">
        <f>'Components Data Source'!C314</f>
        <v>RangeTOF_VL53L0X.fcpx</v>
      </c>
      <c r="D314" s="8" t="str">
        <f>'Components Data Source'!D314</f>
        <v>Components\IO_Source\Sensors\RangeTOF_VL53L0X.fcfx</v>
      </c>
      <c r="E314" s="8" t="str">
        <f>'Components Data Source'!E314</f>
        <v>FREE</v>
      </c>
      <c r="F314" s="8" t="str">
        <f>'Components Data Source'!F314</f>
        <v>LIGHT</v>
      </c>
      <c r="G314" s="8">
        <f>'Components Data Source'!G314</f>
        <v>0</v>
      </c>
      <c r="H314" s="8">
        <f>'Components Data Source'!H314</f>
        <v>0</v>
      </c>
      <c r="I314" s="8" t="str">
        <f>'Components Data Source'!I314</f>
        <v xml:space="preserve">I2C </v>
      </c>
      <c r="J314" s="8">
        <f>'Components Data Source'!J314</f>
        <v>1</v>
      </c>
      <c r="K314" s="8">
        <f>'Components Data Source'!K314</f>
        <v>1</v>
      </c>
      <c r="L314" s="8">
        <f>'Components Data Source'!L314</f>
        <v>1</v>
      </c>
      <c r="M314" s="8" t="s">
        <v>1727</v>
      </c>
      <c r="N314" s="17" t="str">
        <f>HYPERLINK('Components Data Source'!M314)</f>
        <v>https://www.flowcode.co.uk/wiki/index.php?title=Component:_ID_488c3a77_9ff2_4e60_9bfd_cf074405e294</v>
      </c>
      <c r="O314" s="8" t="s">
        <v>2590</v>
      </c>
      <c r="P314" s="8" t="s">
        <v>2777</v>
      </c>
      <c r="Q314" s="8" t="str">
        <f t="shared" si="10"/>
        <v/>
      </c>
      <c r="R314" s="8" t="s">
        <v>1721</v>
      </c>
      <c r="S314" s="8" t="s">
        <v>1721</v>
      </c>
      <c r="T314" s="8" t="s">
        <v>1721</v>
      </c>
      <c r="U314" s="8" t="s">
        <v>1721</v>
      </c>
      <c r="V314" s="8" t="s">
        <v>1731</v>
      </c>
      <c r="W314" s="8" t="s">
        <v>1175</v>
      </c>
      <c r="X314" s="8" t="s">
        <v>1721</v>
      </c>
      <c r="Y314" s="8" t="s">
        <v>1727</v>
      </c>
      <c r="Z314" s="18">
        <f t="shared" si="9"/>
        <v>0</v>
      </c>
      <c r="AA314" s="8"/>
      <c r="AB314" s="7" t="s">
        <v>2496</v>
      </c>
      <c r="AC314" s="7"/>
      <c r="AD314" s="8" t="s">
        <v>1727</v>
      </c>
      <c r="AE314" s="8"/>
      <c r="AF314" s="8"/>
      <c r="AG314" s="8"/>
      <c r="AH314" s="47"/>
      <c r="AI314" s="47">
        <f>VLOOKUP(B314,'Components Usage'!A$2:C$603,3,FALSE)</f>
        <v>0</v>
      </c>
      <c r="AJ314" s="28"/>
    </row>
    <row r="315" spans="1:36" hidden="1" x14ac:dyDescent="0.25">
      <c r="A315" s="16" t="str">
        <f>'Components Data Source'!A315</f>
        <v>Speech (RealSpeak)</v>
      </c>
      <c r="B315" s="8" t="str">
        <f>'Components Data Source'!B315</f>
        <v>4AE66A67-562D-4D77-8417-9CD652F4F103</v>
      </c>
      <c r="C315" s="8" t="str">
        <f>'Components Data Source'!C315</f>
        <v>RealSpeak.fcpx</v>
      </c>
      <c r="D315" s="8" t="str">
        <f>'Components Data Source'!D315</f>
        <v>Components\IO_Source\Speech\RealSpeak.fcfx</v>
      </c>
      <c r="E315" s="8" t="str">
        <f>'Components Data Source'!E315</f>
        <v>STORAGE</v>
      </c>
      <c r="F315" s="8" t="str">
        <f>'Components Data Source'!F315</f>
        <v>INDICATORS</v>
      </c>
      <c r="G315" s="8" t="str">
        <f>'Components Data Source'!G315</f>
        <v xml:space="preserve">INDICATORS </v>
      </c>
      <c r="H315" s="8">
        <f>'Components Data Source'!H315</f>
        <v>0</v>
      </c>
      <c r="I315" s="8">
        <f>'Components Data Source'!I315</f>
        <v>0</v>
      </c>
      <c r="J315" s="8">
        <f>'Components Data Source'!J315</f>
        <v>1</v>
      </c>
      <c r="K315" s="8">
        <f>'Components Data Source'!K315</f>
        <v>1</v>
      </c>
      <c r="L315" s="8">
        <f>'Components Data Source'!L315</f>
        <v>1</v>
      </c>
      <c r="M315" s="8" t="s">
        <v>1727</v>
      </c>
      <c r="N315" s="17" t="str">
        <f>HYPERLINK('Components Data Source'!M315)</f>
        <v>https://www.flowcode.co.uk/wiki/index.php?title=Component:_ID_4ae66a67_562d_4d77_8417_9cd652f4f103</v>
      </c>
      <c r="O315" s="8" t="s">
        <v>1721</v>
      </c>
      <c r="P315" s="8"/>
      <c r="Q315" s="8" t="str">
        <f t="shared" si="10"/>
        <v/>
      </c>
      <c r="R315" s="1" t="s">
        <v>1721</v>
      </c>
      <c r="S315" s="1" t="s">
        <v>1721</v>
      </c>
      <c r="T315" s="1" t="s">
        <v>1727</v>
      </c>
      <c r="U315" s="1" t="s">
        <v>1727</v>
      </c>
      <c r="V315" s="1" t="s">
        <v>1731</v>
      </c>
      <c r="W315" s="1" t="s">
        <v>1731</v>
      </c>
      <c r="X315" s="1" t="s">
        <v>1721</v>
      </c>
      <c r="Y315" s="8" t="s">
        <v>1721</v>
      </c>
      <c r="Z315" s="18">
        <f t="shared" si="9"/>
        <v>1</v>
      </c>
      <c r="AA315" s="8"/>
      <c r="AB315" s="7"/>
      <c r="AC315" s="7"/>
      <c r="AD315" s="8" t="s">
        <v>1721</v>
      </c>
      <c r="AE315" s="8" t="s">
        <v>1727</v>
      </c>
      <c r="AF315" s="8" t="s">
        <v>2401</v>
      </c>
      <c r="AG315" s="8"/>
      <c r="AH315" s="47"/>
      <c r="AI315" s="47">
        <f>VLOOKUP(B315,'Components Usage'!A$2:C$603,3,FALSE)</f>
        <v>14</v>
      </c>
      <c r="AJ315" s="28" t="s">
        <v>2401</v>
      </c>
    </row>
    <row r="316" spans="1:36" hidden="1" x14ac:dyDescent="0.25">
      <c r="A316" s="16" t="str">
        <f>'Components Data Source'!A316</f>
        <v>3D Printer</v>
      </c>
      <c r="B316" s="8" t="str">
        <f>'Components Data Source'!B316</f>
        <v>62B6CA37-EB0A-4B5F-B2E1-9A732C4E05CE</v>
      </c>
      <c r="C316" s="8" t="str">
        <f>'Components Data Source'!C316</f>
        <v>RepRap_Printer.fcpx</v>
      </c>
      <c r="D316" s="8" t="str">
        <f>'Components Data Source'!D316</f>
        <v>Components\IO_Source\Simulation\3D_Printer.fcfx</v>
      </c>
      <c r="E316" s="8" t="str">
        <f>'Components Data Source'!E316</f>
        <v>MECHATRONICS</v>
      </c>
      <c r="F316" s="8" t="str">
        <f>'Components Data Source'!F316</f>
        <v>SCENARIOS</v>
      </c>
      <c r="G316" s="8">
        <f>'Components Data Source'!G316</f>
        <v>0</v>
      </c>
      <c r="H316" s="8">
        <f>'Components Data Source'!H316</f>
        <v>0</v>
      </c>
      <c r="I316" s="8">
        <f>'Components Data Source'!I316</f>
        <v>0</v>
      </c>
      <c r="J316" s="8">
        <f>'Components Data Source'!J316</f>
        <v>1</v>
      </c>
      <c r="K316" s="8">
        <f>'Components Data Source'!K316</f>
        <v>1</v>
      </c>
      <c r="L316" s="8">
        <f>'Components Data Source'!L316</f>
        <v>0</v>
      </c>
      <c r="M316" s="8" t="s">
        <v>1727</v>
      </c>
      <c r="N316" s="17" t="str">
        <f>HYPERLINK('Components Data Source'!M316)</f>
        <v>https://www.flowcode.co.uk/wiki/index.php?title=Component:_ID_62b6ca37_eb0a_4b5f_b2e1_9a732c4e05ce</v>
      </c>
      <c r="O316" s="8" t="s">
        <v>1721</v>
      </c>
      <c r="P316" s="8"/>
      <c r="Q316" s="8" t="str">
        <f t="shared" si="10"/>
        <v/>
      </c>
      <c r="R316" s="8" t="s">
        <v>1727</v>
      </c>
      <c r="S316" s="8"/>
      <c r="T316" s="8"/>
      <c r="U316" s="8"/>
      <c r="V316" s="8" t="s">
        <v>1730</v>
      </c>
      <c r="W316" s="8" t="s">
        <v>1730</v>
      </c>
      <c r="X316" s="8"/>
      <c r="Y316" s="8"/>
      <c r="Z316" s="18">
        <f t="shared" si="9"/>
        <v>2</v>
      </c>
      <c r="AA316" s="8"/>
      <c r="AB316" s="7"/>
      <c r="AC316" s="7"/>
      <c r="AD316" s="8" t="s">
        <v>1721</v>
      </c>
      <c r="AE316" s="8" t="s">
        <v>1721</v>
      </c>
      <c r="AF316" s="8" t="s">
        <v>2401</v>
      </c>
      <c r="AG316" s="8"/>
      <c r="AH316" s="47"/>
      <c r="AI316" s="47">
        <f>VLOOKUP(B316,'Components Usage'!A$2:C$603,3,FALSE)</f>
        <v>2</v>
      </c>
      <c r="AJ316" s="28" t="s">
        <v>2401</v>
      </c>
    </row>
    <row r="317" spans="1:36" hidden="1" x14ac:dyDescent="0.25">
      <c r="A317" s="16" t="str">
        <f>'Components Data Source'!A317</f>
        <v>Reprap Mendel 3D Printer</v>
      </c>
      <c r="B317" s="42" t="str">
        <f>'Components Data Source'!B317</f>
        <v>C474787B-7730-4E4E-9883-24530B676EA3</v>
      </c>
      <c r="C317" s="8" t="str">
        <f>'Components Data Source'!C317</f>
        <v>Reprap_Mendel.fcpx</v>
      </c>
      <c r="D317" s="8" t="str">
        <f>'Components Data Source'!D317</f>
        <v>Components\IO_Source\Reprap\3DPrinter.fcfx</v>
      </c>
      <c r="E317" s="8" t="str">
        <f>'Components Data Source'!E317</f>
        <v>MECHATRONICS</v>
      </c>
      <c r="F317" s="8">
        <f>'Components Data Source'!F317</f>
        <v>0</v>
      </c>
      <c r="G317" s="8">
        <f>'Components Data Source'!G317</f>
        <v>0</v>
      </c>
      <c r="H317" s="8">
        <f>'Components Data Source'!H317</f>
        <v>0</v>
      </c>
      <c r="I317" s="8">
        <f>'Components Data Source'!I317</f>
        <v>0</v>
      </c>
      <c r="J317" s="8">
        <f>'Components Data Source'!J317</f>
        <v>1</v>
      </c>
      <c r="K317" s="8">
        <f>'Components Data Source'!K317</f>
        <v>0</v>
      </c>
      <c r="L317" s="8">
        <f>'Components Data Source'!L317</f>
        <v>1</v>
      </c>
      <c r="M317" s="8" t="s">
        <v>1727</v>
      </c>
      <c r="N317" s="17" t="str">
        <f>HYPERLINK('Components Data Source'!M317)</f>
        <v>https://www.flowcode.co.uk/wiki/index.php?title=Component:_ID_c474787b_7730_4e4e_9883_24530b676ea3</v>
      </c>
      <c r="O317" s="8" t="s">
        <v>1721</v>
      </c>
      <c r="P317" s="8" t="s">
        <v>2778</v>
      </c>
      <c r="Q317" s="8">
        <f t="shared" si="10"/>
        <v>1</v>
      </c>
      <c r="R317" s="8" t="s">
        <v>1727</v>
      </c>
      <c r="S317" s="8" t="s">
        <v>1727</v>
      </c>
      <c r="T317" s="8"/>
      <c r="U317" s="8"/>
      <c r="V317" s="8" t="s">
        <v>1730</v>
      </c>
      <c r="W317" s="8" t="s">
        <v>1730</v>
      </c>
      <c r="X317" s="8"/>
      <c r="Y317" s="8"/>
      <c r="Z317" s="18">
        <f t="shared" si="9"/>
        <v>2</v>
      </c>
      <c r="AA317" s="8"/>
      <c r="AB317" s="7"/>
      <c r="AC317" s="7"/>
      <c r="AD317" s="8" t="s">
        <v>1721</v>
      </c>
      <c r="AE317" s="8" t="s">
        <v>1727</v>
      </c>
      <c r="AF317" s="8" t="s">
        <v>2401</v>
      </c>
      <c r="AG317" s="8"/>
      <c r="AH317" s="47"/>
      <c r="AI317" s="47">
        <f>VLOOKUP(B317,'Components Usage'!A$2:C$603,3,FALSE)</f>
        <v>2</v>
      </c>
      <c r="AJ317" s="28" t="s">
        <v>2401</v>
      </c>
    </row>
    <row r="318" spans="1:36" x14ac:dyDescent="0.25">
      <c r="A318" s="16" t="str">
        <f>'Components Data Source'!A318</f>
        <v>Robot Arm v2</v>
      </c>
      <c r="B318" s="8" t="str">
        <f>'Components Data Source'!B318</f>
        <v>76E989D0-A2ED-457F-A293-3025B804F433</v>
      </c>
      <c r="C318" s="8" t="str">
        <f>'Components Data Source'!C318</f>
        <v>RobotArmV2.fcpx</v>
      </c>
      <c r="D318" s="8" t="str">
        <f>'Components Data Source'!D318</f>
        <v>Components\IO_Source\RA2_ComponentSource.fcsx</v>
      </c>
      <c r="E318" s="8" t="str">
        <f>'Components Data Source'!E318</f>
        <v>FREE</v>
      </c>
      <c r="F318" s="8" t="str">
        <f>'Components Data Source'!F318</f>
        <v>ALLCODE</v>
      </c>
      <c r="G318" s="8">
        <f>'Components Data Source'!G318</f>
        <v>0</v>
      </c>
      <c r="H318" s="8">
        <f>'Components Data Source'!H318</f>
        <v>0</v>
      </c>
      <c r="I318" s="8">
        <f>'Components Data Source'!I318</f>
        <v>0</v>
      </c>
      <c r="J318" s="8">
        <f>'Components Data Source'!J318</f>
        <v>1</v>
      </c>
      <c r="K318" s="8">
        <f>'Components Data Source'!K318</f>
        <v>0</v>
      </c>
      <c r="L318" s="8">
        <f>'Components Data Source'!L318</f>
        <v>1</v>
      </c>
      <c r="M318" s="8" t="s">
        <v>1727</v>
      </c>
      <c r="N318" s="17" t="str">
        <f>HYPERLINK('Components Data Source'!M318)</f>
        <v>https://www.flowcode.co.uk/wiki/index.php?title=Component:_ID_76e989d0_a2ed_457f_a293_3025b804f433</v>
      </c>
      <c r="O318" s="8" t="s">
        <v>2589</v>
      </c>
      <c r="P318" s="8"/>
      <c r="Q318" s="8">
        <f t="shared" si="10"/>
        <v>1</v>
      </c>
      <c r="R318" s="8" t="s">
        <v>1721</v>
      </c>
      <c r="S318" s="8" t="s">
        <v>1721</v>
      </c>
      <c r="T318" s="8" t="s">
        <v>1721</v>
      </c>
      <c r="U318" s="8" t="s">
        <v>1721</v>
      </c>
      <c r="V318" s="8" t="s">
        <v>1731</v>
      </c>
      <c r="W318" s="8" t="s">
        <v>1731</v>
      </c>
      <c r="X318" s="8"/>
      <c r="Y318" s="8"/>
      <c r="Z318" s="18">
        <f t="shared" si="9"/>
        <v>0</v>
      </c>
      <c r="AA318" s="8"/>
      <c r="AB318" s="7" t="s">
        <v>2497</v>
      </c>
      <c r="AC318" s="7"/>
      <c r="AD318" s="8" t="s">
        <v>1721</v>
      </c>
      <c r="AE318" s="8" t="s">
        <v>1727</v>
      </c>
      <c r="AF318" s="8" t="s">
        <v>2401</v>
      </c>
      <c r="AG318" s="8"/>
      <c r="AH318" s="47"/>
      <c r="AI318" s="47">
        <f>VLOOKUP(B318,'Components Usage'!A$2:C$603,3,FALSE)</f>
        <v>3</v>
      </c>
      <c r="AJ318" s="28" t="s">
        <v>2401</v>
      </c>
    </row>
    <row r="319" spans="1:36" hidden="1" x14ac:dyDescent="0.25">
      <c r="A319" s="16" t="str">
        <f>'Components Data Source'!A319</f>
        <v>Rotary Switch</v>
      </c>
      <c r="B319" s="8" t="str">
        <f>'Components Data Source'!B319</f>
        <v>9306F758-06AF-49F8-8B09-D10D2B4374DD</v>
      </c>
      <c r="C319" s="8" t="str">
        <f>'Components Data Source'!C319</f>
        <v>RotarySwitch.fcpx</v>
      </c>
      <c r="D319" s="8" t="str">
        <f>'Components Data Source'!D319</f>
        <v>Components\IO_Source\switch\RotarySwitch10-16.fcfx</v>
      </c>
      <c r="E319" s="8" t="str">
        <f>'Components Data Source'!E319</f>
        <v>BASICIO</v>
      </c>
      <c r="F319" s="8" t="str">
        <f>'Components Data Source'!F319</f>
        <v>SWITCH</v>
      </c>
      <c r="G319" s="8">
        <f>'Components Data Source'!G319</f>
        <v>0</v>
      </c>
      <c r="H319" s="8">
        <f>'Components Data Source'!H319</f>
        <v>0</v>
      </c>
      <c r="I319" s="8">
        <f>'Components Data Source'!I319</f>
        <v>0</v>
      </c>
      <c r="J319" s="8">
        <f>'Components Data Source'!J319</f>
        <v>1</v>
      </c>
      <c r="K319" s="8">
        <f>'Components Data Source'!K319</f>
        <v>1</v>
      </c>
      <c r="L319" s="8">
        <f>'Components Data Source'!L319</f>
        <v>0</v>
      </c>
      <c r="M319" s="8" t="s">
        <v>1727</v>
      </c>
      <c r="N319" s="17" t="str">
        <f>HYPERLINK('Components Data Source'!M319)</f>
        <v>https://www.flowcode.co.uk/wiki/index.php?title=Component:_ID_9306f758_06af_49f8_8b09_d10d2b4374dd</v>
      </c>
      <c r="O319" s="8" t="s">
        <v>1721</v>
      </c>
      <c r="P319" s="8"/>
      <c r="Q319" s="8" t="str">
        <f t="shared" si="10"/>
        <v/>
      </c>
      <c r="R319" s="8" t="s">
        <v>1727</v>
      </c>
      <c r="S319" s="8"/>
      <c r="T319" s="8"/>
      <c r="U319" s="8"/>
      <c r="V319" s="8" t="s">
        <v>1730</v>
      </c>
      <c r="W319" s="8" t="s">
        <v>1730</v>
      </c>
      <c r="X319" s="8"/>
      <c r="Y319" s="8"/>
      <c r="Z319" s="18">
        <f t="shared" si="9"/>
        <v>2</v>
      </c>
      <c r="AA319" s="8"/>
      <c r="AB319" s="7"/>
      <c r="AC319" s="7"/>
      <c r="AD319" s="8" t="s">
        <v>1721</v>
      </c>
      <c r="AE319" s="8" t="s">
        <v>2401</v>
      </c>
      <c r="AF319" s="8" t="s">
        <v>2401</v>
      </c>
      <c r="AG319" s="8"/>
      <c r="AH319" s="47"/>
      <c r="AI319" s="47">
        <f>VLOOKUP(B319,'Components Usage'!A$2:C$603,3,FALSE)</f>
        <v>4</v>
      </c>
      <c r="AJ319" s="28" t="s">
        <v>2401</v>
      </c>
    </row>
    <row r="320" spans="1:36" x14ac:dyDescent="0.25">
      <c r="A320" s="16" t="str">
        <f>'Components Data Source'!A320</f>
        <v>API (Arduino Mega)</v>
      </c>
      <c r="B320" s="8" t="str">
        <f>'Components Data Source'!B320</f>
        <v>C7EDC169-D417-46EC-AD9B-983EE0326E29</v>
      </c>
      <c r="C320" s="8" t="str">
        <f>'Components Data Source'!C320</f>
        <v>SCADA_Ard_Mega.fcpx</v>
      </c>
      <c r="D320" s="8" t="str">
        <f>'Components Data Source'!D320</f>
        <v>Components\IO_Source\SCADA Targets\Arduino_Mega_API_Comp.fcfx</v>
      </c>
      <c r="E320" s="8" t="str">
        <f>'Components Data Source'!E320</f>
        <v>FREE</v>
      </c>
      <c r="F320" s="8" t="str">
        <f>'Components Data Source'!F320</f>
        <v>API SLAVE DEVICES</v>
      </c>
      <c r="G320" s="8">
        <f>'Components Data Source'!G320</f>
        <v>0</v>
      </c>
      <c r="H320" s="8">
        <f>'Components Data Source'!H320</f>
        <v>0</v>
      </c>
      <c r="I320" s="8">
        <f>'Components Data Source'!I320</f>
        <v>0</v>
      </c>
      <c r="J320" s="8">
        <f>'Components Data Source'!J320</f>
        <v>1</v>
      </c>
      <c r="K320" s="8">
        <f>'Components Data Source'!K320</f>
        <v>1</v>
      </c>
      <c r="L320" s="8">
        <f>'Components Data Source'!L320</f>
        <v>1</v>
      </c>
      <c r="M320" s="8" t="s">
        <v>1727</v>
      </c>
      <c r="N320" s="17" t="str">
        <f>HYPERLINK('Components Data Source'!M320)</f>
        <v>https://www.flowcode.co.uk/wiki/index.php?title=Component:_ID_c7edc169_d417_46ec_ad9b_983ee0326e29</v>
      </c>
      <c r="O320" s="8" t="s">
        <v>1721</v>
      </c>
      <c r="P320" s="8"/>
      <c r="Q320" s="8" t="str">
        <f t="shared" si="10"/>
        <v/>
      </c>
      <c r="R320" s="12" t="s">
        <v>1721</v>
      </c>
      <c r="S320" s="12" t="s">
        <v>1721</v>
      </c>
      <c r="T320" s="12" t="s">
        <v>1721</v>
      </c>
      <c r="U320" s="12" t="s">
        <v>1721</v>
      </c>
      <c r="V320" s="12" t="s">
        <v>1734</v>
      </c>
      <c r="W320" s="12" t="s">
        <v>1731</v>
      </c>
      <c r="X320" s="12" t="s">
        <v>1721</v>
      </c>
      <c r="Y320" s="8" t="s">
        <v>1721</v>
      </c>
      <c r="Z320" s="18">
        <f t="shared" si="9"/>
        <v>1</v>
      </c>
      <c r="AA320" s="8"/>
      <c r="AB320" s="7"/>
      <c r="AC320" s="7"/>
      <c r="AD320" s="8" t="s">
        <v>1721</v>
      </c>
      <c r="AE320" s="8" t="s">
        <v>1727</v>
      </c>
      <c r="AF320" s="8" t="s">
        <v>2401</v>
      </c>
      <c r="AG320" s="8"/>
      <c r="AH320" s="47"/>
      <c r="AI320" s="47">
        <f>VLOOKUP(B320,'Components Usage'!A$2:C$603,3,FALSE)</f>
        <v>6</v>
      </c>
      <c r="AJ320" s="28" t="s">
        <v>2401</v>
      </c>
    </row>
    <row r="321" spans="1:36" x14ac:dyDescent="0.25">
      <c r="A321" s="16" t="str">
        <f>'Components Data Source'!A321</f>
        <v>API (Arduino Uno)</v>
      </c>
      <c r="B321" s="8" t="str">
        <f>'Components Data Source'!B321</f>
        <v>2B53C2F2-B5D4-4E36-A647-6F9238744A75</v>
      </c>
      <c r="C321" s="8" t="str">
        <f>'Components Data Source'!C321</f>
        <v>SCADA_Ard_Uno.fcpx</v>
      </c>
      <c r="D321" s="8" t="str">
        <f>'Components Data Source'!D321</f>
        <v>Components\IO_Source\SCADA Targets\Arduino_Uno_API_Comp.fcfx</v>
      </c>
      <c r="E321" s="8" t="str">
        <f>'Components Data Source'!E321</f>
        <v>FREE</v>
      </c>
      <c r="F321" s="8" t="str">
        <f>'Components Data Source'!F321</f>
        <v>API SLAVE DEVICES</v>
      </c>
      <c r="G321" s="8">
        <f>'Components Data Source'!G321</f>
        <v>0</v>
      </c>
      <c r="H321" s="8">
        <f>'Components Data Source'!H321</f>
        <v>0</v>
      </c>
      <c r="I321" s="8">
        <f>'Components Data Source'!I321</f>
        <v>0</v>
      </c>
      <c r="J321" s="8">
        <f>'Components Data Source'!J321</f>
        <v>1</v>
      </c>
      <c r="K321" s="8">
        <f>'Components Data Source'!K321</f>
        <v>1</v>
      </c>
      <c r="L321" s="8">
        <f>'Components Data Source'!L321</f>
        <v>1</v>
      </c>
      <c r="M321" s="8" t="s">
        <v>1727</v>
      </c>
      <c r="N321" s="17" t="str">
        <f>HYPERLINK('Components Data Source'!M321)</f>
        <v>https://www.flowcode.co.uk/wiki/index.php?title=Component:_ID_2b53c2f2_b5d4_4e36_a647_6f9238744a75</v>
      </c>
      <c r="O321" s="8" t="s">
        <v>1721</v>
      </c>
      <c r="P321" s="8"/>
      <c r="Q321" s="8" t="str">
        <f t="shared" si="10"/>
        <v/>
      </c>
      <c r="R321" s="1" t="s">
        <v>1721</v>
      </c>
      <c r="S321" s="1" t="s">
        <v>1721</v>
      </c>
      <c r="T321" s="1" t="s">
        <v>1721</v>
      </c>
      <c r="U321" s="1" t="s">
        <v>1721</v>
      </c>
      <c r="V321" s="1" t="s">
        <v>1734</v>
      </c>
      <c r="W321" s="1" t="s">
        <v>1731</v>
      </c>
      <c r="X321" s="1" t="s">
        <v>1721</v>
      </c>
      <c r="Y321" s="8" t="s">
        <v>1721</v>
      </c>
      <c r="Z321" s="18">
        <f t="shared" si="9"/>
        <v>1</v>
      </c>
      <c r="AA321" s="8"/>
      <c r="AB321" s="7"/>
      <c r="AC321" s="7"/>
      <c r="AD321" s="8" t="s">
        <v>1721</v>
      </c>
      <c r="AE321" s="8" t="s">
        <v>1727</v>
      </c>
      <c r="AF321" s="8" t="s">
        <v>2401</v>
      </c>
      <c r="AG321" s="8" t="s">
        <v>1721</v>
      </c>
      <c r="AH321" s="47"/>
      <c r="AI321" s="47">
        <f>VLOOKUP(B321,'Components Usage'!A$2:C$603,3,FALSE)</f>
        <v>94</v>
      </c>
      <c r="AJ321" s="28" t="s">
        <v>2401</v>
      </c>
    </row>
    <row r="322" spans="1:36" x14ac:dyDescent="0.25">
      <c r="A322" s="16" t="str">
        <f>'Components Data Source'!A322</f>
        <v>API (BL0032)</v>
      </c>
      <c r="B322" s="8" t="str">
        <f>'Components Data Source'!B322</f>
        <v>556754B4-BED5-4BCD-88DD-FB13F92020D6</v>
      </c>
      <c r="C322" s="8" t="str">
        <f>'Components Data Source'!C322</f>
        <v>SCADA_BL0032.fcpx</v>
      </c>
      <c r="D322" s="8" t="str">
        <f>'Components Data Source'!D322</f>
        <v>Components\IO_Source\SCADA Targets\BL0032_API_Comp.fcfx</v>
      </c>
      <c r="E322" s="8" t="str">
        <f>'Components Data Source'!E322</f>
        <v>FREE</v>
      </c>
      <c r="F322" s="8" t="str">
        <f>'Components Data Source'!F322</f>
        <v>API SLAVE DEVICES</v>
      </c>
      <c r="G322" s="8">
        <f>'Components Data Source'!G322</f>
        <v>0</v>
      </c>
      <c r="H322" s="8">
        <f>'Components Data Source'!H322</f>
        <v>0</v>
      </c>
      <c r="I322" s="8">
        <f>'Components Data Source'!I322</f>
        <v>0</v>
      </c>
      <c r="J322" s="8">
        <f>'Components Data Source'!J322</f>
        <v>1</v>
      </c>
      <c r="K322" s="8">
        <f>'Components Data Source'!K322</f>
        <v>1</v>
      </c>
      <c r="L322" s="8">
        <f>'Components Data Source'!L322</f>
        <v>1</v>
      </c>
      <c r="M322" s="8" t="s">
        <v>1727</v>
      </c>
      <c r="N322" s="17" t="str">
        <f>HYPERLINK('Components Data Source'!M322)</f>
        <v>https://www.flowcode.co.uk/wiki/index.php?title=Component:_ID_556754b4_bed5_4bcd_88dd_fb13f92020d6</v>
      </c>
      <c r="O322" s="8" t="s">
        <v>1721</v>
      </c>
      <c r="P322" s="8"/>
      <c r="Q322" s="8" t="str">
        <f t="shared" si="10"/>
        <v/>
      </c>
      <c r="R322" s="1" t="s">
        <v>1721</v>
      </c>
      <c r="S322" s="1" t="s">
        <v>1721</v>
      </c>
      <c r="T322" s="1" t="s">
        <v>1721</v>
      </c>
      <c r="U322" s="1" t="s">
        <v>1721</v>
      </c>
      <c r="V322" s="1" t="s">
        <v>1734</v>
      </c>
      <c r="W322" s="1" t="s">
        <v>1731</v>
      </c>
      <c r="X322" s="1" t="s">
        <v>1721</v>
      </c>
      <c r="Y322" s="8" t="s">
        <v>1721</v>
      </c>
      <c r="Z322" s="18">
        <f t="shared" ref="Z322:Z385" si="11">IF(AND(R322="Y",Y322="Y"),1,IF(R322="N",2,IF(R322="",4,IF(Y322="A",3,0))))</f>
        <v>1</v>
      </c>
      <c r="AA322" s="8"/>
      <c r="AB322" s="7"/>
      <c r="AC322" s="7"/>
      <c r="AD322" s="8" t="s">
        <v>1721</v>
      </c>
      <c r="AE322" s="8" t="s">
        <v>1727</v>
      </c>
      <c r="AF322" s="8" t="s">
        <v>2401</v>
      </c>
      <c r="AG322" s="8"/>
      <c r="AH322" s="47"/>
      <c r="AI322" s="47">
        <f>VLOOKUP(B322,'Components Usage'!A$2:C$603,3,FALSE)</f>
        <v>1</v>
      </c>
      <c r="AJ322" s="28" t="s">
        <v>2401</v>
      </c>
    </row>
    <row r="323" spans="1:36" x14ac:dyDescent="0.25">
      <c r="A323" s="16" t="str">
        <f>'Components Data Source'!A323</f>
        <v>API (ECIO28P)</v>
      </c>
      <c r="B323" s="8" t="str">
        <f>'Components Data Source'!B323</f>
        <v>C9197106-EDF6-4DCC-9654-EA56AD26F370</v>
      </c>
      <c r="C323" s="8" t="str">
        <f>'Components Data Source'!C323</f>
        <v>SCADA_ECIO28P.fcpx</v>
      </c>
      <c r="D323" s="8" t="str">
        <f>'Components Data Source'!D323</f>
        <v>Components\IO_Source\SCADA Targets\ECIO28P_API_Comp.fcfx</v>
      </c>
      <c r="E323" s="8" t="str">
        <f>'Components Data Source'!E323</f>
        <v>FREE</v>
      </c>
      <c r="F323" s="8" t="str">
        <f>'Components Data Source'!F323</f>
        <v>API SLAVE DEVICES</v>
      </c>
      <c r="G323" s="8">
        <f>'Components Data Source'!G323</f>
        <v>0</v>
      </c>
      <c r="H323" s="8">
        <f>'Components Data Source'!H323</f>
        <v>0</v>
      </c>
      <c r="I323" s="8">
        <f>'Components Data Source'!I323</f>
        <v>0</v>
      </c>
      <c r="J323" s="8">
        <f>'Components Data Source'!J323</f>
        <v>1</v>
      </c>
      <c r="K323" s="8">
        <f>'Components Data Source'!K323</f>
        <v>1</v>
      </c>
      <c r="L323" s="8">
        <f>'Components Data Source'!L323</f>
        <v>1</v>
      </c>
      <c r="M323" s="8" t="s">
        <v>1727</v>
      </c>
      <c r="N323" s="17" t="str">
        <f>HYPERLINK('Components Data Source'!M323)</f>
        <v>https://www.flowcode.co.uk/wiki/index.php?title=Component:_ID_c9197106_edf6_4dcc_9654_ea56ad26f370</v>
      </c>
      <c r="O323" s="8" t="s">
        <v>1721</v>
      </c>
      <c r="P323" s="8"/>
      <c r="Q323" s="8" t="str">
        <f t="shared" si="10"/>
        <v/>
      </c>
      <c r="R323" s="1" t="s">
        <v>1721</v>
      </c>
      <c r="S323" s="1" t="s">
        <v>1721</v>
      </c>
      <c r="T323" s="1" t="s">
        <v>1721</v>
      </c>
      <c r="U323" s="1" t="s">
        <v>1721</v>
      </c>
      <c r="V323" s="1" t="s">
        <v>1734</v>
      </c>
      <c r="W323" s="1" t="s">
        <v>1731</v>
      </c>
      <c r="X323" s="1" t="s">
        <v>1721</v>
      </c>
      <c r="Y323" s="8" t="s">
        <v>1721</v>
      </c>
      <c r="Z323" s="18">
        <f t="shared" si="11"/>
        <v>1</v>
      </c>
      <c r="AA323" s="8"/>
      <c r="AB323" s="7"/>
      <c r="AC323" s="7"/>
      <c r="AD323" s="8" t="s">
        <v>1721</v>
      </c>
      <c r="AE323" s="8" t="s">
        <v>1727</v>
      </c>
      <c r="AF323" s="8" t="s">
        <v>2401</v>
      </c>
      <c r="AG323" s="8"/>
      <c r="AH323" s="47"/>
      <c r="AI323" s="47">
        <f>VLOOKUP(B323,'Components Usage'!A$2:C$603,3,FALSE)</f>
        <v>1</v>
      </c>
      <c r="AJ323" s="28" t="s">
        <v>2401</v>
      </c>
    </row>
    <row r="324" spans="1:36" x14ac:dyDescent="0.25">
      <c r="A324" s="16" t="str">
        <f>'Components Data Source'!A324</f>
        <v>API (ECIO40P)</v>
      </c>
      <c r="B324" s="8" t="str">
        <f>'Components Data Source'!B324</f>
        <v>40D5F2E2-3FB5-479A-91E1-F8EC3AAE9E3A</v>
      </c>
      <c r="C324" s="8" t="str">
        <f>'Components Data Source'!C324</f>
        <v>SCADA_ECIO40P.fcpx</v>
      </c>
      <c r="D324" s="8" t="str">
        <f>'Components Data Source'!D324</f>
        <v>Components\IO_Source\SCADA Targets\ECIO40P_API_Comp.fcfx</v>
      </c>
      <c r="E324" s="8" t="str">
        <f>'Components Data Source'!E324</f>
        <v>FREE</v>
      </c>
      <c r="F324" s="8" t="str">
        <f>'Components Data Source'!F324</f>
        <v>API SLAVE DEVICES</v>
      </c>
      <c r="G324" s="8">
        <f>'Components Data Source'!G324</f>
        <v>0</v>
      </c>
      <c r="H324" s="8">
        <f>'Components Data Source'!H324</f>
        <v>0</v>
      </c>
      <c r="I324" s="8">
        <f>'Components Data Source'!I324</f>
        <v>0</v>
      </c>
      <c r="J324" s="8">
        <f>'Components Data Source'!J324</f>
        <v>1</v>
      </c>
      <c r="K324" s="8">
        <f>'Components Data Source'!K324</f>
        <v>1</v>
      </c>
      <c r="L324" s="8">
        <f>'Components Data Source'!L324</f>
        <v>1</v>
      </c>
      <c r="M324" s="8" t="s">
        <v>1727</v>
      </c>
      <c r="N324" s="17" t="str">
        <f>HYPERLINK('Components Data Source'!M324)</f>
        <v>https://www.flowcode.co.uk/wiki/index.php?title=Component:_ID_40d5f2e2_3fb5_479a_91e1_f8ec3aae9e3a</v>
      </c>
      <c r="O324" s="8" t="s">
        <v>1721</v>
      </c>
      <c r="P324" s="8"/>
      <c r="Q324" s="8" t="str">
        <f t="shared" si="10"/>
        <v/>
      </c>
      <c r="R324" s="1" t="s">
        <v>1721</v>
      </c>
      <c r="S324" s="1" t="s">
        <v>1721</v>
      </c>
      <c r="T324" s="1" t="s">
        <v>1721</v>
      </c>
      <c r="U324" s="1" t="s">
        <v>1721</v>
      </c>
      <c r="V324" s="1" t="s">
        <v>1734</v>
      </c>
      <c r="W324" s="1" t="s">
        <v>1731</v>
      </c>
      <c r="X324" s="1" t="s">
        <v>1721</v>
      </c>
      <c r="Y324" s="8" t="s">
        <v>1721</v>
      </c>
      <c r="Z324" s="18">
        <f t="shared" si="11"/>
        <v>1</v>
      </c>
      <c r="AA324" s="8"/>
      <c r="AB324" s="7"/>
      <c r="AC324" s="7"/>
      <c r="AD324" s="8" t="s">
        <v>1721</v>
      </c>
      <c r="AE324" s="8" t="s">
        <v>1727</v>
      </c>
      <c r="AF324" s="8" t="s">
        <v>2401</v>
      </c>
      <c r="AG324" s="8"/>
      <c r="AH324" s="47"/>
      <c r="AI324" s="47">
        <f>VLOOKUP(B324,'Components Usage'!A$2:C$603,3,FALSE)</f>
        <v>9</v>
      </c>
      <c r="AJ324" s="28" t="s">
        <v>2401</v>
      </c>
    </row>
    <row r="325" spans="1:36" x14ac:dyDescent="0.25">
      <c r="A325" s="16" t="str">
        <f>'Components Data Source'!A325</f>
        <v>API (ESP32)</v>
      </c>
      <c r="B325" s="8" t="str">
        <f>'Components Data Source'!B325</f>
        <v>E52B2356-D8B7-458B-8583-71F208BFD572</v>
      </c>
      <c r="C325" s="8" t="str">
        <f>'Components Data Source'!C325</f>
        <v>SCADA_ESP32.fcpx</v>
      </c>
      <c r="D325" s="8" t="str">
        <f>'Components Data Source'!D325</f>
        <v>Components\IO_Source\SCADA Targets\ESP32_API_Comp.fcfx</v>
      </c>
      <c r="E325" s="8" t="str">
        <f>'Components Data Source'!E325</f>
        <v>FREE</v>
      </c>
      <c r="F325" s="8" t="str">
        <f>'Components Data Source'!F325</f>
        <v>API SLAVE DEVICES</v>
      </c>
      <c r="G325" s="8">
        <f>'Components Data Source'!G325</f>
        <v>0</v>
      </c>
      <c r="H325" s="8">
        <f>'Components Data Source'!H325</f>
        <v>0</v>
      </c>
      <c r="I325" s="8">
        <f>'Components Data Source'!I325</f>
        <v>0</v>
      </c>
      <c r="J325" s="8">
        <f>'Components Data Source'!J325</f>
        <v>1</v>
      </c>
      <c r="K325" s="8">
        <f>'Components Data Source'!K325</f>
        <v>1</v>
      </c>
      <c r="L325" s="8">
        <f>'Components Data Source'!L325</f>
        <v>1</v>
      </c>
      <c r="M325" s="8" t="s">
        <v>1727</v>
      </c>
      <c r="N325" s="17" t="str">
        <f>HYPERLINK('Components Data Source'!M325)</f>
        <v>https://www.flowcode.co.uk/wiki/index.php?title=Component:_ID_e52b2356_d8b7_458b_8583_71f208bfd572</v>
      </c>
      <c r="O325" s="8" t="s">
        <v>1721</v>
      </c>
      <c r="P325" s="45" t="s">
        <v>3554</v>
      </c>
      <c r="Q325" s="8" t="str">
        <f t="shared" si="10"/>
        <v/>
      </c>
      <c r="R325" s="1" t="s">
        <v>1721</v>
      </c>
      <c r="S325" s="1" t="s">
        <v>1721</v>
      </c>
      <c r="T325" s="1" t="s">
        <v>1721</v>
      </c>
      <c r="U325" s="1" t="s">
        <v>1721</v>
      </c>
      <c r="V325" s="1" t="s">
        <v>1734</v>
      </c>
      <c r="W325" s="1" t="s">
        <v>1731</v>
      </c>
      <c r="X325" s="1" t="s">
        <v>1721</v>
      </c>
      <c r="Y325" s="8" t="s">
        <v>1721</v>
      </c>
      <c r="Z325" s="18">
        <f t="shared" si="11"/>
        <v>1</v>
      </c>
      <c r="AA325" s="8"/>
      <c r="AB325" s="7"/>
      <c r="AC325" s="7"/>
      <c r="AD325" s="8" t="s">
        <v>1721</v>
      </c>
      <c r="AE325" s="8" t="s">
        <v>1727</v>
      </c>
      <c r="AF325" s="8" t="s">
        <v>2401</v>
      </c>
      <c r="AG325" s="8"/>
      <c r="AH325" s="47"/>
      <c r="AI325" s="47">
        <f>VLOOKUP(B325,'Components Usage'!A$2:C$603,3,FALSE)</f>
        <v>2</v>
      </c>
      <c r="AJ325" s="28" t="s">
        <v>2401</v>
      </c>
    </row>
    <row r="326" spans="1:36" hidden="1" x14ac:dyDescent="0.25">
      <c r="A326" s="16" t="str">
        <f>'Components Data Source'!A326</f>
        <v>Indicator Gauge</v>
      </c>
      <c r="B326" s="8" t="str">
        <f>'Components Data Source'!B326</f>
        <v>B0A73B26-A060-4BBC-A94E-D4EE2FD0EDBD</v>
      </c>
      <c r="C326" s="8" t="str">
        <f>'Components Data Source'!C326</f>
        <v>SCADA_Guage.fcpx</v>
      </c>
      <c r="D326" s="8" t="str">
        <f>'Components Data Source'!D326</f>
        <v>Components\IO_Source\SCADA\IndicatorGauge.fcfx</v>
      </c>
      <c r="E326" s="8" t="str">
        <f>'Components Data Source'!E326</f>
        <v>SCADA</v>
      </c>
      <c r="F326" s="8" t="str">
        <f>'Components Data Source'!F326</f>
        <v>INDICATORS</v>
      </c>
      <c r="G326" s="8">
        <f>'Components Data Source'!G326</f>
        <v>0</v>
      </c>
      <c r="H326" s="8">
        <f>'Components Data Source'!H326</f>
        <v>0</v>
      </c>
      <c r="I326" s="8">
        <f>'Components Data Source'!I326</f>
        <v>0</v>
      </c>
      <c r="J326" s="8">
        <f>'Components Data Source'!J326</f>
        <v>1</v>
      </c>
      <c r="K326" s="8">
        <f>'Components Data Source'!K326</f>
        <v>1</v>
      </c>
      <c r="L326" s="8">
        <f>'Components Data Source'!L326</f>
        <v>1</v>
      </c>
      <c r="M326" s="8" t="s">
        <v>1727</v>
      </c>
      <c r="N326" s="17" t="str">
        <f>HYPERLINK('Components Data Source'!M326)</f>
        <v>https://www.flowcode.co.uk/wiki/index.php?title=Component:_ID_b0a73b26_a060_4bbc_a94e_d4ee2fd0edbd</v>
      </c>
      <c r="O326" s="8" t="s">
        <v>1721</v>
      </c>
      <c r="P326" s="8"/>
      <c r="Q326" s="8" t="str">
        <f t="shared" si="10"/>
        <v/>
      </c>
      <c r="R326" s="8" t="s">
        <v>1727</v>
      </c>
      <c r="S326" s="8"/>
      <c r="T326" s="8"/>
      <c r="U326" s="8"/>
      <c r="V326" s="8" t="s">
        <v>1730</v>
      </c>
      <c r="W326" s="8" t="s">
        <v>1730</v>
      </c>
      <c r="X326" s="8"/>
      <c r="Y326" s="8"/>
      <c r="Z326" s="18">
        <f t="shared" si="11"/>
        <v>2</v>
      </c>
      <c r="AA326" s="8"/>
      <c r="AB326" s="7"/>
      <c r="AC326" s="7"/>
      <c r="AD326" s="8" t="s">
        <v>1721</v>
      </c>
      <c r="AE326" s="8" t="s">
        <v>2401</v>
      </c>
      <c r="AF326" s="8" t="s">
        <v>2401</v>
      </c>
      <c r="AG326" s="8"/>
      <c r="AH326" s="47"/>
      <c r="AI326" s="47">
        <f>VLOOKUP(B326,'Components Usage'!A$2:C$603,3,FALSE)</f>
        <v>8</v>
      </c>
      <c r="AJ326" s="28" t="s">
        <v>2401</v>
      </c>
    </row>
    <row r="327" spans="1:36" x14ac:dyDescent="0.25">
      <c r="A327" s="16" t="str">
        <f>'Components Data Source'!A327</f>
        <v>API (Interface Board)</v>
      </c>
      <c r="B327" s="8" t="str">
        <f>'Components Data Source'!B327</f>
        <v>ED171D42-05FD-4946-9BF1-E59A9C98C5B8</v>
      </c>
      <c r="C327" s="8" t="str">
        <f>'Components Data Source'!C327</f>
        <v>SCADA_InterfaceBoard.fcpx</v>
      </c>
      <c r="D327" s="8" t="str">
        <f>'Components Data Source'!D327</f>
        <v>Components\IO_Source\RowlandTech\Interface_Board_Comp.fcfx</v>
      </c>
      <c r="E327" s="8" t="str">
        <f>'Components Data Source'!E327</f>
        <v>FREE</v>
      </c>
      <c r="F327" s="8" t="str">
        <f>'Components Data Source'!F327</f>
        <v>API SLAVE DEVICES</v>
      </c>
      <c r="G327" s="8">
        <f>'Components Data Source'!G327</f>
        <v>0</v>
      </c>
      <c r="H327" s="8">
        <f>'Components Data Source'!H327</f>
        <v>0</v>
      </c>
      <c r="I327" s="8">
        <f>'Components Data Source'!I327</f>
        <v>0</v>
      </c>
      <c r="J327" s="8">
        <f>'Components Data Source'!J327</f>
        <v>1</v>
      </c>
      <c r="K327" s="8">
        <f>'Components Data Source'!K327</f>
        <v>1</v>
      </c>
      <c r="L327" s="8">
        <f>'Components Data Source'!L327</f>
        <v>1</v>
      </c>
      <c r="M327" s="8" t="s">
        <v>1727</v>
      </c>
      <c r="N327" s="17" t="str">
        <f>HYPERLINK('Components Data Source'!M327)</f>
        <v>https://www.flowcode.co.uk/wiki/index.php?title=Component:_ID_ed171d42_05fd_4946_9bf1_e59a9c98c5b8</v>
      </c>
      <c r="O327" s="8" t="s">
        <v>1721</v>
      </c>
      <c r="P327" s="8"/>
      <c r="Q327" s="8" t="str">
        <f t="shared" si="10"/>
        <v/>
      </c>
      <c r="R327" s="1" t="s">
        <v>1721</v>
      </c>
      <c r="S327" s="1" t="s">
        <v>1721</v>
      </c>
      <c r="T327" s="1" t="s">
        <v>1721</v>
      </c>
      <c r="U327" s="1" t="s">
        <v>1721</v>
      </c>
      <c r="V327" s="1" t="s">
        <v>1734</v>
      </c>
      <c r="W327" s="1" t="s">
        <v>1731</v>
      </c>
      <c r="X327" s="1" t="s">
        <v>1721</v>
      </c>
      <c r="Y327" s="8" t="s">
        <v>1721</v>
      </c>
      <c r="Z327" s="18">
        <f t="shared" si="11"/>
        <v>1</v>
      </c>
      <c r="AA327" s="8"/>
      <c r="AB327" s="6" t="s">
        <v>2454</v>
      </c>
      <c r="AC327" s="7"/>
      <c r="AD327" s="8" t="s">
        <v>1721</v>
      </c>
      <c r="AE327" s="8" t="s">
        <v>1721</v>
      </c>
      <c r="AF327" s="8" t="s">
        <v>2401</v>
      </c>
      <c r="AG327" s="8"/>
      <c r="AH327" s="47"/>
      <c r="AI327" s="47">
        <f>VLOOKUP(B327,'Components Usage'!A$2:C$603,3,FALSE)</f>
        <v>7</v>
      </c>
      <c r="AJ327" s="28" t="s">
        <v>2401</v>
      </c>
    </row>
    <row r="328" spans="1:36" hidden="1" x14ac:dyDescent="0.25">
      <c r="A328" s="16" t="str">
        <f>'Components Data Source'!A328</f>
        <v>Indicator Meter</v>
      </c>
      <c r="B328" s="8" t="str">
        <f>'Components Data Source'!B328</f>
        <v>3705F53B-93CE-4FA7-8947-0B67F098022D</v>
      </c>
      <c r="C328" s="8" t="str">
        <f>'Components Data Source'!C328</f>
        <v>SCADA_Meter.fcpx</v>
      </c>
      <c r="D328" s="8" t="str">
        <f>'Components Data Source'!D328</f>
        <v>Components\IO_Source\SCADA\IndicatorMeter.fcfx</v>
      </c>
      <c r="E328" s="8" t="str">
        <f>'Components Data Source'!E328</f>
        <v>SCADA</v>
      </c>
      <c r="F328" s="8" t="str">
        <f>'Components Data Source'!F328</f>
        <v>INDICATORS</v>
      </c>
      <c r="G328" s="8">
        <f>'Components Data Source'!G328</f>
        <v>0</v>
      </c>
      <c r="H328" s="8">
        <f>'Components Data Source'!H328</f>
        <v>0</v>
      </c>
      <c r="I328" s="8">
        <f>'Components Data Source'!I328</f>
        <v>0</v>
      </c>
      <c r="J328" s="8">
        <f>'Components Data Source'!J328</f>
        <v>1</v>
      </c>
      <c r="K328" s="8">
        <f>'Components Data Source'!K328</f>
        <v>1</v>
      </c>
      <c r="L328" s="8">
        <f>'Components Data Source'!L328</f>
        <v>1</v>
      </c>
      <c r="M328" s="8" t="s">
        <v>1727</v>
      </c>
      <c r="N328" s="17" t="str">
        <f>HYPERLINK('Components Data Source'!M328)</f>
        <v>https://www.flowcode.co.uk/wiki/index.php?title=Component:_ID_3705f53b_93ce_4fa7_8947_0b67f098022d</v>
      </c>
      <c r="O328" s="8" t="s">
        <v>1721</v>
      </c>
      <c r="P328" s="8"/>
      <c r="Q328" s="8" t="str">
        <f t="shared" si="10"/>
        <v/>
      </c>
      <c r="R328" s="8" t="s">
        <v>1727</v>
      </c>
      <c r="S328" s="8" t="s">
        <v>1727</v>
      </c>
      <c r="T328" s="8"/>
      <c r="U328" s="8"/>
      <c r="V328" s="8" t="s">
        <v>1730</v>
      </c>
      <c r="W328" s="8" t="s">
        <v>1730</v>
      </c>
      <c r="X328" s="8"/>
      <c r="Y328" s="8"/>
      <c r="Z328" s="18">
        <f t="shared" si="11"/>
        <v>2</v>
      </c>
      <c r="AA328" s="8"/>
      <c r="AB328" s="7"/>
      <c r="AC328" s="7"/>
      <c r="AD328" s="8" t="s">
        <v>1721</v>
      </c>
      <c r="AE328" s="8" t="s">
        <v>2401</v>
      </c>
      <c r="AF328" s="8" t="s">
        <v>2401</v>
      </c>
      <c r="AG328" s="8"/>
      <c r="AH328" s="47"/>
      <c r="AI328" s="47">
        <f>VLOOKUP(B328,'Components Usage'!A$2:C$603,3,FALSE)</f>
        <v>10</v>
      </c>
      <c r="AJ328" s="28" t="s">
        <v>2401</v>
      </c>
    </row>
    <row r="329" spans="1:36" x14ac:dyDescent="0.25">
      <c r="A329" s="16" t="str">
        <f>'Components Data Source'!A329</f>
        <v>API (RPI)</v>
      </c>
      <c r="B329" s="8" t="str">
        <f>'Components Data Source'!B329</f>
        <v>EC492589-4787-4B79-96DF-718F9A2B46F1</v>
      </c>
      <c r="C329" s="8" t="str">
        <f>'Components Data Source'!C329</f>
        <v>SCADA_RPI.fcpx</v>
      </c>
      <c r="D329" s="8" t="str">
        <f>'Components Data Source'!D329</f>
        <v>Components\IO_Source\SCADA Targets\RPI_API_Comp.fcfx</v>
      </c>
      <c r="E329" s="8" t="str">
        <f>'Components Data Source'!E329</f>
        <v>FREE</v>
      </c>
      <c r="F329" s="8" t="str">
        <f>'Components Data Source'!F329</f>
        <v>API SLAVE DEVICES</v>
      </c>
      <c r="G329" s="8">
        <f>'Components Data Source'!G329</f>
        <v>0</v>
      </c>
      <c r="H329" s="8">
        <f>'Components Data Source'!H329</f>
        <v>0</v>
      </c>
      <c r="I329" s="8">
        <f>'Components Data Source'!I329</f>
        <v>0</v>
      </c>
      <c r="J329" s="8">
        <f>'Components Data Source'!J329</f>
        <v>1</v>
      </c>
      <c r="K329" s="8">
        <f>'Components Data Source'!K329</f>
        <v>1</v>
      </c>
      <c r="L329" s="8">
        <f>'Components Data Source'!L329</f>
        <v>1</v>
      </c>
      <c r="M329" s="8" t="s">
        <v>1727</v>
      </c>
      <c r="N329" s="17" t="str">
        <f>HYPERLINK('Components Data Source'!M329)</f>
        <v>https://www.flowcode.co.uk/wiki/index.php?title=Component:_ID_ec492589_4787_4b79_96df_718f9a2b46f1</v>
      </c>
      <c r="O329" s="8" t="s">
        <v>1721</v>
      </c>
      <c r="P329" s="8"/>
      <c r="Q329" s="8" t="str">
        <f t="shared" si="10"/>
        <v/>
      </c>
      <c r="R329" s="1" t="s">
        <v>1721</v>
      </c>
      <c r="S329" s="1" t="s">
        <v>1721</v>
      </c>
      <c r="T329" s="1" t="s">
        <v>1721</v>
      </c>
      <c r="U329" s="1" t="s">
        <v>1721</v>
      </c>
      <c r="V329" s="1" t="s">
        <v>1734</v>
      </c>
      <c r="W329" s="1" t="s">
        <v>1731</v>
      </c>
      <c r="X329" s="1" t="s">
        <v>1721</v>
      </c>
      <c r="Y329" s="8" t="s">
        <v>1721</v>
      </c>
      <c r="Z329" s="18">
        <f t="shared" si="11"/>
        <v>1</v>
      </c>
      <c r="AA329" s="8"/>
      <c r="AB329" s="6" t="s">
        <v>2455</v>
      </c>
      <c r="AC329" s="7"/>
      <c r="AD329" s="8" t="s">
        <v>1721</v>
      </c>
      <c r="AE329" s="8" t="s">
        <v>1727</v>
      </c>
      <c r="AF329" s="8" t="s">
        <v>2401</v>
      </c>
      <c r="AG329" s="8"/>
      <c r="AH329" s="47"/>
      <c r="AI329" s="47">
        <f>VLOOKUP(B329,'Components Usage'!A$2:C$603,3,FALSE)</f>
        <v>4</v>
      </c>
      <c r="AJ329" s="28" t="s">
        <v>2401</v>
      </c>
    </row>
    <row r="330" spans="1:36" hidden="1" x14ac:dyDescent="0.25">
      <c r="A330" s="16" t="str">
        <f>'Components Data Source'!A330</f>
        <v>Control Knob</v>
      </c>
      <c r="B330" s="8" t="str">
        <f>'Components Data Source'!B330</f>
        <v>1F50402B-CC0B-468C-A329-5108C448E263</v>
      </c>
      <c r="C330" s="8" t="str">
        <f>'Components Data Source'!C330</f>
        <v>SCADA_knob.fcpx</v>
      </c>
      <c r="D330" s="8" t="str">
        <f>'Components Data Source'!D330</f>
        <v>Components\IO_Source\SCADA\ControlKnob.fcfx</v>
      </c>
      <c r="E330" s="8" t="str">
        <f>'Components Data Source'!E330</f>
        <v>SCADA</v>
      </c>
      <c r="F330" s="8" t="str">
        <f>'Components Data Source'!F330</f>
        <v>CONTROLS</v>
      </c>
      <c r="G330" s="8">
        <f>'Components Data Source'!G330</f>
        <v>0</v>
      </c>
      <c r="H330" s="8">
        <f>'Components Data Source'!H330</f>
        <v>0</v>
      </c>
      <c r="I330" s="8">
        <f>'Components Data Source'!I330</f>
        <v>0</v>
      </c>
      <c r="J330" s="8">
        <f>'Components Data Source'!J330</f>
        <v>1</v>
      </c>
      <c r="K330" s="8">
        <f>'Components Data Source'!K330</f>
        <v>1</v>
      </c>
      <c r="L330" s="8">
        <f>'Components Data Source'!L330</f>
        <v>1</v>
      </c>
      <c r="M330" s="8" t="s">
        <v>1727</v>
      </c>
      <c r="N330" s="17" t="str">
        <f>HYPERLINK('Components Data Source'!M330)</f>
        <v>https://www.flowcode.co.uk/wiki/index.php?title=Component:_ID_1f50402b_cc0b_468c_a329_5108c448e263</v>
      </c>
      <c r="O330" s="8" t="s">
        <v>1721</v>
      </c>
      <c r="P330" s="8"/>
      <c r="Q330" s="8" t="str">
        <f t="shared" si="10"/>
        <v/>
      </c>
      <c r="R330" s="8" t="s">
        <v>1727</v>
      </c>
      <c r="S330" s="8"/>
      <c r="T330" s="8"/>
      <c r="U330" s="8"/>
      <c r="V330" s="8" t="s">
        <v>1730</v>
      </c>
      <c r="W330" s="8" t="s">
        <v>1730</v>
      </c>
      <c r="X330" s="8"/>
      <c r="Y330" s="8"/>
      <c r="Z330" s="18">
        <f t="shared" si="11"/>
        <v>2</v>
      </c>
      <c r="AA330" s="8"/>
      <c r="AB330" s="7"/>
      <c r="AC330" s="7"/>
      <c r="AD330" s="8" t="s">
        <v>1721</v>
      </c>
      <c r="AE330" s="8" t="s">
        <v>2401</v>
      </c>
      <c r="AF330" s="8" t="s">
        <v>2401</v>
      </c>
      <c r="AG330" s="8"/>
      <c r="AH330" s="47"/>
      <c r="AI330" s="47">
        <f>VLOOKUP(B330,'Components Usage'!A$2:C$603,3,FALSE)</f>
        <v>0</v>
      </c>
      <c r="AJ330" s="28" t="s">
        <v>2401</v>
      </c>
    </row>
    <row r="331" spans="1:36" hidden="1" x14ac:dyDescent="0.2">
      <c r="A331" s="16" t="str">
        <f>'Components Data Source'!A331</f>
        <v>Magnetometer(SM324)</v>
      </c>
      <c r="B331" s="8" t="str">
        <f>'Components Data Source'!B331</f>
        <v>E4F1697E-5571-475A-A2B1-AA7243920422</v>
      </c>
      <c r="C331" s="8" t="str">
        <f>'Components Data Source'!C331</f>
        <v>SM324_Mag.fcpx</v>
      </c>
      <c r="D331" s="8" t="str">
        <f>'Components Data Source'!D331</f>
        <v>Components\IO_Source\Sensors\Magnetometer_SM324.fcfx</v>
      </c>
      <c r="E331" s="8" t="str">
        <f>'Components Data Source'!E331</f>
        <v>SENSORS</v>
      </c>
      <c r="F331" s="8" t="str">
        <f>'Components Data Source'!F331</f>
        <v>MOVEMENT &amp;AMP; ORIENTATION</v>
      </c>
      <c r="G331" s="8">
        <f>'Components Data Source'!G331</f>
        <v>0</v>
      </c>
      <c r="H331" s="8">
        <f>'Components Data Source'!H331</f>
        <v>0</v>
      </c>
      <c r="I331" s="8" t="str">
        <f>'Components Data Source'!I331</f>
        <v xml:space="preserve">I2C </v>
      </c>
      <c r="J331" s="8">
        <f>'Components Data Source'!J331</f>
        <v>1</v>
      </c>
      <c r="K331" s="8">
        <f>'Components Data Source'!K331</f>
        <v>1</v>
      </c>
      <c r="L331" s="8">
        <f>'Components Data Source'!L331</f>
        <v>0</v>
      </c>
      <c r="M331" s="8" t="s">
        <v>1727</v>
      </c>
      <c r="N331" s="17" t="str">
        <f>HYPERLINK('Components Data Source'!M331)</f>
        <v>https://www.flowcode.co.uk/wiki/index.php?title=Component:_ID_e4f1697e_5571_475a_a2b1_aa7243920422</v>
      </c>
      <c r="O331" s="8" t="s">
        <v>1721</v>
      </c>
      <c r="P331" s="45" t="s">
        <v>3554</v>
      </c>
      <c r="Q331" s="8" t="str">
        <f t="shared" si="10"/>
        <v/>
      </c>
      <c r="R331" s="8" t="s">
        <v>1721</v>
      </c>
      <c r="S331" s="8" t="s">
        <v>1721</v>
      </c>
      <c r="T331" s="8" t="s">
        <v>1721</v>
      </c>
      <c r="U331" s="8" t="s">
        <v>1721</v>
      </c>
      <c r="V331" s="8" t="s">
        <v>1731</v>
      </c>
      <c r="W331" s="8" t="s">
        <v>1175</v>
      </c>
      <c r="X331" s="8" t="s">
        <v>1721</v>
      </c>
      <c r="Y331" s="8" t="s">
        <v>1721</v>
      </c>
      <c r="Z331" s="18">
        <f t="shared" si="11"/>
        <v>1</v>
      </c>
      <c r="AA331" s="8"/>
      <c r="AB331" s="7" t="s">
        <v>2587</v>
      </c>
      <c r="AC331" s="7"/>
      <c r="AD331" s="8" t="s">
        <v>1721</v>
      </c>
      <c r="AE331" s="8" t="s">
        <v>1727</v>
      </c>
      <c r="AF331" s="8" t="s">
        <v>1727</v>
      </c>
      <c r="AG331" s="8"/>
      <c r="AH331" s="47"/>
      <c r="AI331" s="47">
        <f>VLOOKUP(B331,'Components Usage'!A$2:C$603,3,FALSE)</f>
        <v>0</v>
      </c>
      <c r="AJ331" s="28" t="s">
        <v>2401</v>
      </c>
    </row>
    <row r="332" spans="1:36" hidden="1" x14ac:dyDescent="0.25">
      <c r="A332" s="16" t="str">
        <f>'Components Data Source'!A332</f>
        <v>SPI Master(EB013)</v>
      </c>
      <c r="B332" s="8" t="str">
        <f>'Components Data Source'!B332</f>
        <v>4627D2FB-B41E-44CF-B125-E8511E5EBAA4</v>
      </c>
      <c r="C332" s="8" t="str">
        <f>'Components Data Source'!C332</f>
        <v>SPI_Legacy.fcpx</v>
      </c>
      <c r="D332" s="8" t="str">
        <f>'Components Data Source'!D332</f>
        <v>Components\IO_Source\SPI_Legacy.fcfx</v>
      </c>
      <c r="E332" s="8" t="str">
        <f>'Components Data Source'!E332</f>
        <v>COMMSA</v>
      </c>
      <c r="F332" s="8" t="str">
        <f>'Components Data Source'!F332</f>
        <v>E-BLOCKS 1</v>
      </c>
      <c r="G332" s="8">
        <f>'Components Data Source'!G332</f>
        <v>0</v>
      </c>
      <c r="H332" s="8">
        <f>'Components Data Source'!H332</f>
        <v>0</v>
      </c>
      <c r="I332" s="8" t="str">
        <f>'Components Data Source'!I332</f>
        <v xml:space="preserve">SPI </v>
      </c>
      <c r="J332" s="8">
        <f>'Components Data Source'!J332</f>
        <v>1</v>
      </c>
      <c r="K332" s="8">
        <f>'Components Data Source'!K332</f>
        <v>1</v>
      </c>
      <c r="L332" s="8">
        <f>'Components Data Source'!L332</f>
        <v>0</v>
      </c>
      <c r="M332" s="8" t="s">
        <v>1727</v>
      </c>
      <c r="N332" s="17" t="str">
        <f>HYPERLINK('Components Data Source'!M332)</f>
        <v>https://www.flowcode.co.uk/wiki/index.php?title=Component:_ID_4627d2fb_b41e_44cf_b125_e8511e5ebaa4</v>
      </c>
      <c r="O332" s="8" t="s">
        <v>2589</v>
      </c>
      <c r="P332" s="8"/>
      <c r="Q332" s="8" t="str">
        <f t="shared" si="10"/>
        <v/>
      </c>
      <c r="R332" s="8" t="s">
        <v>1721</v>
      </c>
      <c r="S332" s="8" t="s">
        <v>1721</v>
      </c>
      <c r="T332" s="8" t="s">
        <v>1721</v>
      </c>
      <c r="U332" s="8" t="s">
        <v>1721</v>
      </c>
      <c r="V332" s="8" t="s">
        <v>1731</v>
      </c>
      <c r="W332" s="8" t="s">
        <v>1180</v>
      </c>
      <c r="X332" s="8" t="s">
        <v>1721</v>
      </c>
      <c r="Y332" s="8" t="s">
        <v>1721</v>
      </c>
      <c r="Z332" s="18">
        <f t="shared" si="11"/>
        <v>1</v>
      </c>
      <c r="AA332" s="8"/>
      <c r="AB332" s="7"/>
      <c r="AC332" s="7"/>
      <c r="AD332" s="8" t="s">
        <v>1721</v>
      </c>
      <c r="AE332" s="8" t="s">
        <v>1727</v>
      </c>
      <c r="AF332" s="8" t="s">
        <v>1727</v>
      </c>
      <c r="AG332" s="8"/>
      <c r="AH332" s="47"/>
      <c r="AI332" s="47">
        <f>VLOOKUP(B332,'Components Usage'!A$2:C$603,3,FALSE)</f>
        <v>13</v>
      </c>
      <c r="AJ332" s="28" t="s">
        <v>2401</v>
      </c>
    </row>
    <row r="333" spans="1:36" hidden="1" x14ac:dyDescent="0.25">
      <c r="A333" s="16" t="str">
        <f>'Components Data Source'!A333</f>
        <v>SPI Master</v>
      </c>
      <c r="B333" s="8" t="str">
        <f>'Components Data Source'!B333</f>
        <v>96862C4D-DEBC-45FA-9433-74711A4B9A3B</v>
      </c>
      <c r="C333" s="8" t="str">
        <f>'Components Data Source'!C333</f>
        <v>SPI_Master.fcpx</v>
      </c>
      <c r="D333" s="8" t="str">
        <f>'Components Data Source'!D333</f>
        <v>Components\IO_Source\SPI_Master.fcfx</v>
      </c>
      <c r="E333" s="8" t="str">
        <f>'Components Data Source'!E333</f>
        <v>COMMSA</v>
      </c>
      <c r="F333" s="8" t="str">
        <f>'Components Data Source'!F333</f>
        <v>COMMS: INTERFACE</v>
      </c>
      <c r="G333" s="8" t="str">
        <f>'Components Data Source'!G333</f>
        <v xml:space="preserve">COMMS: INTERFACE </v>
      </c>
      <c r="H333" s="8">
        <f>'Components Data Source'!H333</f>
        <v>0</v>
      </c>
      <c r="I333" s="8" t="str">
        <f>'Components Data Source'!I333</f>
        <v xml:space="preserve">SPI </v>
      </c>
      <c r="J333" s="8">
        <f>'Components Data Source'!J333</f>
        <v>1</v>
      </c>
      <c r="K333" s="8">
        <f>'Components Data Source'!K333</f>
        <v>1</v>
      </c>
      <c r="L333" s="8">
        <f>'Components Data Source'!L333</f>
        <v>1</v>
      </c>
      <c r="M333" s="8" t="s">
        <v>1727</v>
      </c>
      <c r="N333" s="17" t="str">
        <f>HYPERLINK('Components Data Source'!M333)</f>
        <v>https://www.flowcode.co.uk/wiki/index.php?title=Component:_ID_96862c4d_debc_45fa_9433_74711a4b9a3b</v>
      </c>
      <c r="O333" s="8" t="s">
        <v>1721</v>
      </c>
      <c r="P333" s="8"/>
      <c r="Q333" s="8" t="str">
        <f t="shared" si="10"/>
        <v/>
      </c>
      <c r="R333" s="1" t="s">
        <v>1721</v>
      </c>
      <c r="S333" s="1" t="s">
        <v>1721</v>
      </c>
      <c r="T333" s="1" t="s">
        <v>1721</v>
      </c>
      <c r="U333" s="1" t="s">
        <v>1721</v>
      </c>
      <c r="V333" s="1" t="s">
        <v>1731</v>
      </c>
      <c r="W333" s="1" t="s">
        <v>1180</v>
      </c>
      <c r="X333" s="1" t="s">
        <v>1721</v>
      </c>
      <c r="Y333" s="8" t="s">
        <v>1721</v>
      </c>
      <c r="Z333" s="18">
        <f t="shared" si="11"/>
        <v>1</v>
      </c>
      <c r="AA333" s="8"/>
      <c r="AB333" s="7" t="s">
        <v>2498</v>
      </c>
      <c r="AC333" s="7"/>
      <c r="AD333" s="8" t="s">
        <v>1721</v>
      </c>
      <c r="AE333" s="8" t="s">
        <v>1727</v>
      </c>
      <c r="AF333" s="8" t="s">
        <v>1727</v>
      </c>
      <c r="AG333" s="8" t="s">
        <v>1721</v>
      </c>
      <c r="AH333" s="47"/>
      <c r="AI333" s="47">
        <f>VLOOKUP(B333,'Components Usage'!A$2:C$603,3,FALSE)</f>
        <v>67</v>
      </c>
      <c r="AJ333" s="28" t="s">
        <v>2401</v>
      </c>
    </row>
    <row r="334" spans="1:36" hidden="1" x14ac:dyDescent="0.25">
      <c r="A334" s="16" t="str">
        <f>'Components Data Source'!A334</f>
        <v>SPI Slave</v>
      </c>
      <c r="B334" s="8" t="str">
        <f>'Components Data Source'!B334</f>
        <v>E2955F6C-D724-4AB0-AFCA-D62093A77248</v>
      </c>
      <c r="C334" s="8" t="str">
        <f>'Components Data Source'!C334</f>
        <v>SPI_Slave.fcpx</v>
      </c>
      <c r="D334" s="8" t="str">
        <f>'Components Data Source'!D334</f>
        <v>Components\IO_Source\SPI_Slave.fcfx</v>
      </c>
      <c r="E334" s="8" t="str">
        <f>'Components Data Source'!E334</f>
        <v>COMMSA</v>
      </c>
      <c r="F334" s="8" t="str">
        <f>'Components Data Source'!F334</f>
        <v>COMMS: INTERFACE</v>
      </c>
      <c r="G334" s="8">
        <f>'Components Data Source'!G334</f>
        <v>0</v>
      </c>
      <c r="H334" s="8">
        <f>'Components Data Source'!H334</f>
        <v>0</v>
      </c>
      <c r="I334" s="8" t="str">
        <f>'Components Data Source'!I334</f>
        <v xml:space="preserve">SPI </v>
      </c>
      <c r="J334" s="8">
        <f>'Components Data Source'!J334</f>
        <v>1</v>
      </c>
      <c r="K334" s="8">
        <f>'Components Data Source'!K334</f>
        <v>1</v>
      </c>
      <c r="L334" s="8">
        <f>'Components Data Source'!L334</f>
        <v>0</v>
      </c>
      <c r="M334" s="8" t="s">
        <v>1727</v>
      </c>
      <c r="N334" s="17" t="str">
        <f>HYPERLINK('Components Data Source'!M334)</f>
        <v>https://www.flowcode.co.uk/wiki/index.php?title=Component:_ID_e2955f6c_d724_4ab0_afca_d62093a77248</v>
      </c>
      <c r="O334" s="8" t="s">
        <v>1721</v>
      </c>
      <c r="P334" s="8"/>
      <c r="Q334" s="8" t="str">
        <f t="shared" si="10"/>
        <v/>
      </c>
      <c r="R334" s="1" t="s">
        <v>1721</v>
      </c>
      <c r="S334" s="1" t="s">
        <v>1721</v>
      </c>
      <c r="T334" s="1" t="s">
        <v>1721</v>
      </c>
      <c r="U334" s="1" t="s">
        <v>1721</v>
      </c>
      <c r="V334" s="1" t="s">
        <v>1731</v>
      </c>
      <c r="W334" s="1" t="s">
        <v>1180</v>
      </c>
      <c r="X334" s="1" t="s">
        <v>1721</v>
      </c>
      <c r="Y334" s="8" t="s">
        <v>1721</v>
      </c>
      <c r="Z334" s="18">
        <f t="shared" si="11"/>
        <v>1</v>
      </c>
      <c r="AA334" s="8"/>
      <c r="AB334" s="7"/>
      <c r="AC334" s="7"/>
      <c r="AD334" s="8" t="s">
        <v>1721</v>
      </c>
      <c r="AE334" s="8" t="s">
        <v>1721</v>
      </c>
      <c r="AF334" s="8" t="s">
        <v>1727</v>
      </c>
      <c r="AG334" s="8"/>
      <c r="AH334" s="47"/>
      <c r="AI334" s="47">
        <f>VLOOKUP(B334,'Components Usage'!A$2:C$603,3,FALSE)</f>
        <v>1</v>
      </c>
      <c r="AJ334" s="28" t="s">
        <v>2401</v>
      </c>
    </row>
    <row r="335" spans="1:36" hidden="1" x14ac:dyDescent="0.25">
      <c r="A335" s="16" t="str">
        <f>'Components Data Source'!A335</f>
        <v>SRF (WirelessThings)</v>
      </c>
      <c r="B335" s="8" t="str">
        <f>'Components Data Source'!B335</f>
        <v>CD5898BF-3A23-455E-B4E0-CDDC1EEC1D62</v>
      </c>
      <c r="C335" s="8" t="str">
        <f>'Components Data Source'!C335</f>
        <v>SRFModuleWirelessThings.fcpx</v>
      </c>
      <c r="D335" s="8" t="str">
        <f>'Components Data Source'!D335</f>
        <v>Components\IO_Source\SRF Component_v2.fcfx</v>
      </c>
      <c r="E335" s="8" t="str">
        <f>'Components Data Source'!E335</f>
        <v>COMMSB</v>
      </c>
      <c r="F335" s="8" t="str">
        <f>'Components Data Source'!F335</f>
        <v>WIRELESS</v>
      </c>
      <c r="G335" s="8">
        <f>'Components Data Source'!G335</f>
        <v>0</v>
      </c>
      <c r="H335" s="8">
        <f>'Components Data Source'!H335</f>
        <v>0</v>
      </c>
      <c r="I335" s="8" t="str">
        <f>'Components Data Source'!I335</f>
        <v xml:space="preserve">UART </v>
      </c>
      <c r="J335" s="8">
        <f>'Components Data Source'!J335</f>
        <v>1</v>
      </c>
      <c r="K335" s="8">
        <f>'Components Data Source'!K335</f>
        <v>1</v>
      </c>
      <c r="L335" s="8">
        <f>'Components Data Source'!L335</f>
        <v>0</v>
      </c>
      <c r="M335" s="8" t="s">
        <v>1727</v>
      </c>
      <c r="N335" s="17" t="str">
        <f>HYPERLINK('Components Data Source'!M335)</f>
        <v>https://www.flowcode.co.uk/wiki/index.php?title=Component:_ID_cd5898bf_3a23_455e_b4e0_cddc1eec1d62</v>
      </c>
      <c r="O335" s="8" t="s">
        <v>1721</v>
      </c>
      <c r="P335" s="8"/>
      <c r="Q335" s="8" t="str">
        <f t="shared" ref="Q335:Q398" si="12">IF(L335=1,IF(K335=1,"",1),"")</f>
        <v/>
      </c>
      <c r="R335" s="1" t="s">
        <v>1721</v>
      </c>
      <c r="S335" s="1" t="s">
        <v>1721</v>
      </c>
      <c r="T335" s="1" t="s">
        <v>1721</v>
      </c>
      <c r="U335" s="1"/>
      <c r="V335" s="1" t="s">
        <v>1731</v>
      </c>
      <c r="W335" s="1" t="s">
        <v>1183</v>
      </c>
      <c r="X335" s="1" t="s">
        <v>1721</v>
      </c>
      <c r="Y335" s="8" t="s">
        <v>1721</v>
      </c>
      <c r="Z335" s="18">
        <f t="shared" si="11"/>
        <v>1</v>
      </c>
      <c r="AA335" s="8"/>
      <c r="AB335" s="6" t="s">
        <v>2441</v>
      </c>
      <c r="AC335" s="7"/>
      <c r="AD335" s="8" t="s">
        <v>1721</v>
      </c>
      <c r="AE335" s="8" t="s">
        <v>1727</v>
      </c>
      <c r="AF335" s="8" t="s">
        <v>1727</v>
      </c>
      <c r="AG335" s="8"/>
      <c r="AH335" s="47"/>
      <c r="AI335" s="47">
        <f>VLOOKUP(B335,'Components Usage'!A$2:C$603,3,FALSE)</f>
        <v>0</v>
      </c>
      <c r="AJ335" s="28" t="s">
        <v>2401</v>
      </c>
    </row>
    <row r="336" spans="1:36" hidden="1" x14ac:dyDescent="0.25">
      <c r="A336" s="16" t="str">
        <f>'Components Data Source'!A336</f>
        <v>STM32 Timer</v>
      </c>
      <c r="B336" s="8" t="str">
        <f>'Components Data Source'!B336</f>
        <v>A871AC1D-7A58-4474-A08B-C9C9017CD2ED</v>
      </c>
      <c r="C336" s="8" t="str">
        <f>'Components Data Source'!C336</f>
        <v>STM32Timer.fcpx</v>
      </c>
      <c r="D336" s="8" t="str">
        <f>'Components Data Source'!D336</f>
        <v>Components\IO_Source\TimerComponentSTM32.fcfx</v>
      </c>
      <c r="E336" s="8" t="str">
        <f>'Components Data Source'!E336</f>
        <v>STORAGE</v>
      </c>
      <c r="F336" s="8" t="str">
        <f>'Components Data Source'!F336</f>
        <v>STORAGE</v>
      </c>
      <c r="G336" s="8">
        <f>'Components Data Source'!G336</f>
        <v>0</v>
      </c>
      <c r="H336" s="8">
        <f>'Components Data Source'!H336</f>
        <v>0</v>
      </c>
      <c r="I336" s="8">
        <f>'Components Data Source'!I336</f>
        <v>0</v>
      </c>
      <c r="J336" s="8">
        <f>'Components Data Source'!J336</f>
        <v>1</v>
      </c>
      <c r="K336" s="8">
        <f>'Components Data Source'!K336</f>
        <v>1</v>
      </c>
      <c r="L336" s="8">
        <f>'Components Data Source'!L336</f>
        <v>0</v>
      </c>
      <c r="M336" s="8" t="s">
        <v>1727</v>
      </c>
      <c r="N336" s="17" t="str">
        <f>HYPERLINK('Components Data Source'!M336)</f>
        <v>https://www.flowcode.co.uk/wiki/index.php?title=Component:_ID_a871ac1d_7a58_4474_a08b_c9c9017cd2ed</v>
      </c>
      <c r="O336" s="8" t="s">
        <v>1721</v>
      </c>
      <c r="P336" s="8"/>
      <c r="Q336" s="8" t="str">
        <f t="shared" si="12"/>
        <v/>
      </c>
      <c r="R336" s="8" t="s">
        <v>2520</v>
      </c>
      <c r="S336" s="8"/>
      <c r="T336" s="8"/>
      <c r="U336" s="8"/>
      <c r="V336" s="8" t="s">
        <v>1730</v>
      </c>
      <c r="W336" s="8" t="s">
        <v>1730</v>
      </c>
      <c r="X336" s="8"/>
      <c r="Y336" s="8"/>
      <c r="Z336" s="18">
        <f t="shared" si="11"/>
        <v>0</v>
      </c>
      <c r="AA336" s="8"/>
      <c r="AB336" s="7"/>
      <c r="AC336" s="7"/>
      <c r="AD336" s="8" t="s">
        <v>1721</v>
      </c>
      <c r="AE336" s="8" t="s">
        <v>2401</v>
      </c>
      <c r="AF336" s="8" t="s">
        <v>2401</v>
      </c>
      <c r="AG336" s="8"/>
      <c r="AH336" s="47"/>
      <c r="AI336" s="47">
        <f>VLOOKUP(B336,'Components Usage'!A$2:C$603,3,FALSE)</f>
        <v>7</v>
      </c>
      <c r="AJ336" s="28" t="s">
        <v>2401</v>
      </c>
    </row>
    <row r="337" spans="1:36" hidden="1" x14ac:dyDescent="0.25">
      <c r="A337" s="16" t="str">
        <f>'Components Data Source'!A337</f>
        <v>Scale Arc Template</v>
      </c>
      <c r="B337" s="8" t="str">
        <f>'Components Data Source'!B337</f>
        <v>F307403B-2134-4EFA-BFAC-BBD0ADC0F253</v>
      </c>
      <c r="C337" s="8" t="str">
        <f>'Components Data Source'!C337</f>
        <v>Scale_Arc.fcpx</v>
      </c>
      <c r="D337" s="8" t="str">
        <f>'Components Data Source'!D337</f>
        <v>Components\IO_Source\Scale_Arc.fcfx</v>
      </c>
      <c r="E337" s="8" t="str">
        <f>'Components Data Source'!E337</f>
        <v>MODELS</v>
      </c>
      <c r="F337" s="8" t="str">
        <f>'Components Data Source'!F337</f>
        <v>ADVANCED SHAPES</v>
      </c>
      <c r="G337" s="8">
        <f>'Components Data Source'!G337</f>
        <v>0</v>
      </c>
      <c r="H337" s="8">
        <f>'Components Data Source'!H337</f>
        <v>0</v>
      </c>
      <c r="I337" s="8">
        <f>'Components Data Source'!I337</f>
        <v>0</v>
      </c>
      <c r="J337" s="8">
        <f>'Components Data Source'!J337</f>
        <v>1</v>
      </c>
      <c r="K337" s="8">
        <f>'Components Data Source'!K337</f>
        <v>1</v>
      </c>
      <c r="L337" s="8">
        <f>'Components Data Source'!L337</f>
        <v>1</v>
      </c>
      <c r="M337" s="8" t="s">
        <v>1727</v>
      </c>
      <c r="N337" s="17" t="str">
        <f>HYPERLINK('Components Data Source'!M337)</f>
        <v>https://www.flowcode.co.uk/wiki/index.php?title=Component:_ID_f307403b_2134_4efa_bfac_bbd0adc0f253</v>
      </c>
      <c r="O337" s="8" t="s">
        <v>1721</v>
      </c>
      <c r="P337" s="8"/>
      <c r="Q337" s="8" t="str">
        <f t="shared" si="12"/>
        <v/>
      </c>
      <c r="R337" s="8" t="s">
        <v>1727</v>
      </c>
      <c r="S337" s="8"/>
      <c r="T337" s="8"/>
      <c r="U337" s="8"/>
      <c r="V337" s="8" t="s">
        <v>1730</v>
      </c>
      <c r="W337" s="8" t="s">
        <v>1730</v>
      </c>
      <c r="X337" s="8"/>
      <c r="Y337" s="8"/>
      <c r="Z337" s="18">
        <f t="shared" si="11"/>
        <v>2</v>
      </c>
      <c r="AA337" s="8"/>
      <c r="AB337" s="7"/>
      <c r="AC337" s="7"/>
      <c r="AD337" s="8" t="s">
        <v>1721</v>
      </c>
      <c r="AE337" s="8" t="s">
        <v>1721</v>
      </c>
      <c r="AF337" s="8" t="s">
        <v>2401</v>
      </c>
      <c r="AG337" s="8"/>
      <c r="AH337" s="47"/>
      <c r="AI337" s="47">
        <f>VLOOKUP(B337,'Components Usage'!A$2:C$603,3,FALSE)</f>
        <v>0</v>
      </c>
      <c r="AJ337" s="28" t="s">
        <v>2401</v>
      </c>
    </row>
    <row r="338" spans="1:36" x14ac:dyDescent="0.25">
      <c r="A338" s="16" t="str">
        <f>'Components Data Source'!A338</f>
        <v>Sense Hat</v>
      </c>
      <c r="B338" s="8" t="str">
        <f>'Components Data Source'!B338</f>
        <v>165242CB-B40C-416E-A435-1FE7E724C5B8</v>
      </c>
      <c r="C338" s="8" t="str">
        <f>'Components Data Source'!C338</f>
        <v>SenseHat.fcpx</v>
      </c>
      <c r="D338" s="8" t="str">
        <f>'Components Data Source'!D338</f>
        <v>Components\IO_Source\Shield\RPI_SenseHat.fcfx</v>
      </c>
      <c r="E338" s="8" t="str">
        <f>'Components Data Source'!E338</f>
        <v>FREE</v>
      </c>
      <c r="F338" s="8" t="str">
        <f>'Components Data Source'!F338</f>
        <v>RASPBERRY PI HAT</v>
      </c>
      <c r="G338" s="8">
        <f>'Components Data Source'!G338</f>
        <v>0</v>
      </c>
      <c r="H338" s="8">
        <f>'Components Data Source'!H338</f>
        <v>0</v>
      </c>
      <c r="I338" s="8" t="str">
        <f>'Components Data Source'!I338</f>
        <v xml:space="preserve">I2C </v>
      </c>
      <c r="J338" s="8">
        <f>'Components Data Source'!J338</f>
        <v>1</v>
      </c>
      <c r="K338" s="8">
        <f>'Components Data Source'!K338</f>
        <v>1</v>
      </c>
      <c r="L338" s="8">
        <f>'Components Data Source'!L338</f>
        <v>0</v>
      </c>
      <c r="M338" s="8" t="s">
        <v>1727</v>
      </c>
      <c r="N338" s="17" t="str">
        <f>HYPERLINK('Components Data Source'!M338)</f>
        <v>https://www.flowcode.co.uk/wiki/index.php?title=Component:_ID_165242cb_b40c_416e_a435_1fe7e724c5b8</v>
      </c>
      <c r="O338" s="8" t="s">
        <v>1721</v>
      </c>
      <c r="P338" s="8"/>
      <c r="Q338" s="8" t="str">
        <f t="shared" si="12"/>
        <v/>
      </c>
      <c r="R338" s="8" t="s">
        <v>1727</v>
      </c>
      <c r="S338" s="8"/>
      <c r="T338" s="8"/>
      <c r="U338" s="8"/>
      <c r="V338" s="8" t="s">
        <v>1730</v>
      </c>
      <c r="W338" s="8" t="s">
        <v>1730</v>
      </c>
      <c r="X338" s="8"/>
      <c r="Y338" s="8"/>
      <c r="Z338" s="18">
        <f t="shared" si="11"/>
        <v>2</v>
      </c>
      <c r="AA338" s="8"/>
      <c r="AB338" s="7"/>
      <c r="AC338" s="7"/>
      <c r="AD338" s="8" t="s">
        <v>1721</v>
      </c>
      <c r="AE338" s="8" t="s">
        <v>1721</v>
      </c>
      <c r="AF338" s="8" t="s">
        <v>2401</v>
      </c>
      <c r="AG338" s="8"/>
      <c r="AH338" s="47"/>
      <c r="AI338" s="47">
        <f>VLOOKUP(B338,'Components Usage'!A$2:C$603,3,FALSE)</f>
        <v>1</v>
      </c>
      <c r="AJ338" s="28" t="s">
        <v>2401</v>
      </c>
    </row>
    <row r="339" spans="1:36" x14ac:dyDescent="0.25">
      <c r="A339" s="16" t="str">
        <f>'Components Data Source'!A339</f>
        <v>Sensor Library Component</v>
      </c>
      <c r="B339" s="8" t="str">
        <f>'Components Data Source'!B339</f>
        <v>960E433C-1295-4AEB-AC84-04D75422119E</v>
      </c>
      <c r="C339" s="8" t="str">
        <f>'Components Data Source'!C339</f>
        <v>SensorLibraryComponent.fcpx</v>
      </c>
      <c r="D339" s="8" t="str">
        <f>'Components Data Source'!D339</f>
        <v>Components\IO_Source\Theme\SensorComponent.fcfx</v>
      </c>
      <c r="E339" s="8" t="str">
        <f>'Components Data Source'!E339</f>
        <v>FREE</v>
      </c>
      <c r="F339" s="8" t="str">
        <f>'Components Data Source'!F339</f>
        <v>MISC</v>
      </c>
      <c r="G339" s="8">
        <f>'Components Data Source'!G339</f>
        <v>0</v>
      </c>
      <c r="H339" s="8">
        <f>'Components Data Source'!H339</f>
        <v>0</v>
      </c>
      <c r="I339" s="8">
        <f>'Components Data Source'!I339</f>
        <v>0</v>
      </c>
      <c r="J339" s="8">
        <f>'Components Data Source'!J339</f>
        <v>1</v>
      </c>
      <c r="K339" s="8">
        <f>'Components Data Source'!K339</f>
        <v>1</v>
      </c>
      <c r="L339" s="8">
        <f>'Components Data Source'!L339</f>
        <v>1</v>
      </c>
      <c r="M339" s="8" t="s">
        <v>1727</v>
      </c>
      <c r="N339" s="17" t="str">
        <f>HYPERLINK('Components Data Source'!M339)</f>
        <v>https://www.flowcode.co.uk/wiki/index.php?title=Component:_ID_960e433c_1295_4aeb_ac84_04d75422119e</v>
      </c>
      <c r="O339" s="8" t="s">
        <v>1721</v>
      </c>
      <c r="P339" s="8"/>
      <c r="Q339" s="8" t="str">
        <f t="shared" si="12"/>
        <v/>
      </c>
      <c r="R339" s="8" t="s">
        <v>1727</v>
      </c>
      <c r="S339" s="8" t="s">
        <v>1721</v>
      </c>
      <c r="T339" s="8"/>
      <c r="U339" s="8"/>
      <c r="V339" s="8" t="s">
        <v>1730</v>
      </c>
      <c r="W339" s="8" t="s">
        <v>1730</v>
      </c>
      <c r="X339" s="8"/>
      <c r="Y339" s="8"/>
      <c r="Z339" s="18">
        <f t="shared" si="11"/>
        <v>2</v>
      </c>
      <c r="AA339" s="8"/>
      <c r="AB339" s="7"/>
      <c r="AC339" s="7"/>
      <c r="AD339" s="8" t="s">
        <v>1727</v>
      </c>
      <c r="AE339" s="8"/>
      <c r="AF339" s="8"/>
      <c r="AG339" s="8"/>
      <c r="AH339" s="47"/>
      <c r="AI339" s="47">
        <f>VLOOKUP(B339,'Components Usage'!A$2:C$603,3,FALSE)</f>
        <v>2</v>
      </c>
      <c r="AJ339" s="28"/>
    </row>
    <row r="340" spans="1:36" x14ac:dyDescent="0.25">
      <c r="A340" s="16" t="str">
        <f>'Components Data Source'!A340</f>
        <v>Serial Monitor</v>
      </c>
      <c r="B340" s="8" t="str">
        <f>'Components Data Source'!B340</f>
        <v>B86179CB-B561-4BE4-9D12-E51DA4248807</v>
      </c>
      <c r="C340" s="8" t="str">
        <f>'Components Data Source'!C340</f>
        <v>SerialMonitor.fcpx</v>
      </c>
      <c r="D340" s="8" t="str">
        <f>'Components Data Source'!D340</f>
        <v>Components\IO_Source\Serial_Monitor.fcfx</v>
      </c>
      <c r="E340" s="8" t="str">
        <f>'Components Data Source'!E340</f>
        <v>FREE</v>
      </c>
      <c r="F340" s="8" t="str">
        <f>'Components Data Source'!F340</f>
        <v>RUNTIME TOOLS</v>
      </c>
      <c r="G340" s="8">
        <f>'Components Data Source'!G340</f>
        <v>0</v>
      </c>
      <c r="H340" s="8">
        <f>'Components Data Source'!H340</f>
        <v>0</v>
      </c>
      <c r="I340" s="8">
        <f>'Components Data Source'!I340</f>
        <v>0</v>
      </c>
      <c r="J340" s="8">
        <f>'Components Data Source'!J340</f>
        <v>1</v>
      </c>
      <c r="K340" s="8">
        <f>'Components Data Source'!K340</f>
        <v>1</v>
      </c>
      <c r="L340" s="8">
        <f>'Components Data Source'!L340</f>
        <v>1</v>
      </c>
      <c r="M340" s="8" t="s">
        <v>1727</v>
      </c>
      <c r="N340" s="17" t="str">
        <f>HYPERLINK('Components Data Source'!M340)</f>
        <v>https://www.flowcode.co.uk/wiki/index.php?title=Component:_ID_b86179cb_b561_4be4_9d12_e51da4248807</v>
      </c>
      <c r="O340" s="8" t="s">
        <v>1721</v>
      </c>
      <c r="P340" s="8"/>
      <c r="Q340" s="8" t="str">
        <f t="shared" si="12"/>
        <v/>
      </c>
      <c r="R340" s="8" t="s">
        <v>2520</v>
      </c>
      <c r="S340" s="8"/>
      <c r="T340" s="8"/>
      <c r="U340" s="8"/>
      <c r="V340" s="8" t="s">
        <v>1730</v>
      </c>
      <c r="W340" s="8" t="s">
        <v>1730</v>
      </c>
      <c r="X340" s="8"/>
      <c r="Y340" s="8" t="s">
        <v>1727</v>
      </c>
      <c r="Z340" s="18">
        <f t="shared" si="11"/>
        <v>0</v>
      </c>
      <c r="AA340" s="8"/>
      <c r="AB340" s="7" t="s">
        <v>2499</v>
      </c>
      <c r="AC340" s="7"/>
      <c r="AD340" s="8" t="s">
        <v>1721</v>
      </c>
      <c r="AE340" s="8" t="s">
        <v>1721</v>
      </c>
      <c r="AF340" s="8" t="s">
        <v>2401</v>
      </c>
      <c r="AG340" s="8"/>
      <c r="AH340" s="47"/>
      <c r="AI340" s="47">
        <f>VLOOKUP(B340,'Components Usage'!A$2:C$603,3,FALSE)</f>
        <v>29</v>
      </c>
      <c r="AJ340" s="28" t="s">
        <v>2401</v>
      </c>
    </row>
    <row r="341" spans="1:36" hidden="1" x14ac:dyDescent="0.25">
      <c r="A341" s="16" t="str">
        <f>'Components Data Source'!A341</f>
        <v>Servo Motor(BL0162)</v>
      </c>
      <c r="B341" s="8" t="str">
        <f>'Components Data Source'!B341</f>
        <v>BC8AE960-3887-4D08-AC7C-1EEDB8E5F6C8</v>
      </c>
      <c r="C341" s="8" t="str">
        <f>'Components Data Source'!C341</f>
        <v>ServoMotor_BL0162.fcpx</v>
      </c>
      <c r="D341" s="8" t="str">
        <f>'Components Data Source'!D341</f>
        <v>Components\IO_Source\EB2\EBlocks2_Servo_BL0162.fcfx</v>
      </c>
      <c r="E341" s="8" t="str">
        <f>'Components Data Source'!E341</f>
        <v>MECHATRONICS</v>
      </c>
      <c r="F341" s="8" t="str">
        <f>'Components Data Source'!F341</f>
        <v>E-BLOCKS 2</v>
      </c>
      <c r="G341" s="8">
        <f>'Components Data Source'!G341</f>
        <v>0</v>
      </c>
      <c r="H341" s="8">
        <f>'Components Data Source'!H341</f>
        <v>0</v>
      </c>
      <c r="I341" s="8">
        <f>'Components Data Source'!I341</f>
        <v>0</v>
      </c>
      <c r="J341" s="8">
        <f>'Components Data Source'!J341</f>
        <v>1</v>
      </c>
      <c r="K341" s="8">
        <f>'Components Data Source'!K341</f>
        <v>1</v>
      </c>
      <c r="L341" s="8">
        <f>'Components Data Source'!L341</f>
        <v>0</v>
      </c>
      <c r="M341" s="8" t="s">
        <v>1727</v>
      </c>
      <c r="N341" s="17" t="str">
        <f>HYPERLINK('Components Data Source'!M341)</f>
        <v>https://www.flowcode.co.uk/wiki/index.php?title=Component:_ID_bc8ae960_3887_4d08_ac7c_1eedb8e5f6c8</v>
      </c>
      <c r="O341" s="8" t="s">
        <v>2589</v>
      </c>
      <c r="P341" s="8"/>
      <c r="Q341" s="8" t="str">
        <f t="shared" si="12"/>
        <v/>
      </c>
      <c r="R341" s="8" t="s">
        <v>1727</v>
      </c>
      <c r="S341" s="8"/>
      <c r="T341" s="8"/>
      <c r="U341" s="8"/>
      <c r="V341" s="8" t="s">
        <v>1730</v>
      </c>
      <c r="W341" s="8" t="s">
        <v>1730</v>
      </c>
      <c r="X341" s="8"/>
      <c r="Y341" s="8"/>
      <c r="Z341" s="18">
        <f t="shared" si="11"/>
        <v>2</v>
      </c>
      <c r="AA341" s="8"/>
      <c r="AB341" s="7"/>
      <c r="AC341" s="7"/>
      <c r="AD341" s="8" t="s">
        <v>1721</v>
      </c>
      <c r="AE341" s="8" t="s">
        <v>1727</v>
      </c>
      <c r="AF341" s="8" t="s">
        <v>1727</v>
      </c>
      <c r="AG341" s="8"/>
      <c r="AH341" s="47"/>
      <c r="AI341" s="47">
        <f>VLOOKUP(B341,'Components Usage'!A$2:C$603,3,FALSE)</f>
        <v>1</v>
      </c>
      <c r="AJ341" s="28" t="s">
        <v>2401</v>
      </c>
    </row>
    <row r="342" spans="1:36" hidden="1" x14ac:dyDescent="0.25">
      <c r="A342" s="16" t="str">
        <f>'Components Data Source'!A342</f>
        <v>Servo Motor Controller</v>
      </c>
      <c r="B342" s="8" t="str">
        <f>'Components Data Source'!B342</f>
        <v>9202A62E-0A42-4780-ADCE-16B701E5EC53</v>
      </c>
      <c r="C342" s="8" t="str">
        <f>'Components Data Source'!C342</f>
        <v>Servo_Controller.fcpx</v>
      </c>
      <c r="D342" s="8" t="str">
        <f>'Components Data Source'!D342</f>
        <v>Components\IO_Source\mechatronics\Servo Controller.fcfx</v>
      </c>
      <c r="E342" s="8" t="str">
        <f>'Components Data Source'!E342</f>
        <v>MECHATRONICS</v>
      </c>
      <c r="F342" s="8" t="str">
        <f>'Components Data Source'!F342</f>
        <v>MECHATRONICS</v>
      </c>
      <c r="G342" s="8">
        <f>'Components Data Source'!G342</f>
        <v>0</v>
      </c>
      <c r="H342" s="8">
        <f>'Components Data Source'!H342</f>
        <v>0</v>
      </c>
      <c r="I342" s="8">
        <f>'Components Data Source'!I342</f>
        <v>0</v>
      </c>
      <c r="J342" s="8">
        <f>'Components Data Source'!J342</f>
        <v>1</v>
      </c>
      <c r="K342" s="8">
        <f>'Components Data Source'!K342</f>
        <v>1</v>
      </c>
      <c r="L342" s="8">
        <f>'Components Data Source'!L342</f>
        <v>0</v>
      </c>
      <c r="M342" s="8" t="s">
        <v>1727</v>
      </c>
      <c r="N342" s="17" t="str">
        <f>HYPERLINK('Components Data Source'!M342)</f>
        <v>https://www.flowcode.co.uk/wiki/index.php?title=Component:_ID_9202a62e_0a42_4780_adce_16b701e5ec53</v>
      </c>
      <c r="O342" s="8" t="s">
        <v>1721</v>
      </c>
      <c r="P342" s="8"/>
      <c r="Q342" s="8" t="str">
        <f t="shared" si="12"/>
        <v/>
      </c>
      <c r="R342" s="8" t="s">
        <v>1721</v>
      </c>
      <c r="S342" s="8" t="s">
        <v>1721</v>
      </c>
      <c r="T342" s="8" t="s">
        <v>1727</v>
      </c>
      <c r="U342" s="8" t="s">
        <v>1727</v>
      </c>
      <c r="V342" s="1" t="s">
        <v>1731</v>
      </c>
      <c r="W342" s="1" t="s">
        <v>1731</v>
      </c>
      <c r="X342" s="8" t="s">
        <v>1721</v>
      </c>
      <c r="Y342" s="8" t="s">
        <v>1721</v>
      </c>
      <c r="Z342" s="18">
        <f t="shared" si="11"/>
        <v>1</v>
      </c>
      <c r="AA342" s="8"/>
      <c r="AB342" s="7"/>
      <c r="AC342" s="7"/>
      <c r="AD342" s="8" t="s">
        <v>1721</v>
      </c>
      <c r="AE342" s="8" t="s">
        <v>1721</v>
      </c>
      <c r="AF342" s="8" t="s">
        <v>1727</v>
      </c>
      <c r="AG342" s="8" t="s">
        <v>1721</v>
      </c>
      <c r="AH342" s="47"/>
      <c r="AI342" s="47">
        <f>VLOOKUP(B342,'Components Usage'!A$2:C$603,3,FALSE)</f>
        <v>146</v>
      </c>
      <c r="AJ342" s="28" t="s">
        <v>2401</v>
      </c>
    </row>
    <row r="343" spans="1:36" hidden="1" x14ac:dyDescent="0.25">
      <c r="A343" s="16" t="str">
        <f>'Components Data Source'!A343</f>
        <v>7Segment(74HC595)</v>
      </c>
      <c r="B343" s="8" t="str">
        <f>'Components Data Source'!B343</f>
        <v>BDDC472F-59DC-4705-997E-662768D643CD</v>
      </c>
      <c r="C343" s="8" t="str">
        <f>'Components Data Source'!C343</f>
        <v>SevenSeg_74HC595.fcpx</v>
      </c>
      <c r="D343" s="8" t="str">
        <f>'Components Data Source'!D343</f>
        <v>Components\IO_Source\outputs\74HC595_7SEG_Hex_Driver.fcfx</v>
      </c>
      <c r="E343" s="8" t="str">
        <f>'Components Data Source'!E343</f>
        <v>BASICIO</v>
      </c>
      <c r="F343" s="8" t="str">
        <f>'Components Data Source'!F343</f>
        <v>SEGMENT</v>
      </c>
      <c r="G343" s="8">
        <f>'Components Data Source'!G343</f>
        <v>0</v>
      </c>
      <c r="H343" s="8">
        <f>'Components Data Source'!H343</f>
        <v>0</v>
      </c>
      <c r="I343" s="8">
        <f>'Components Data Source'!I343</f>
        <v>0</v>
      </c>
      <c r="J343" s="8">
        <f>'Components Data Source'!J343</f>
        <v>1</v>
      </c>
      <c r="K343" s="8">
        <f>'Components Data Source'!K343</f>
        <v>1</v>
      </c>
      <c r="L343" s="8">
        <f>'Components Data Source'!L343</f>
        <v>0</v>
      </c>
      <c r="M343" s="8" t="s">
        <v>1727</v>
      </c>
      <c r="N343" s="17" t="str">
        <f>HYPERLINK('Components Data Source'!M343)</f>
        <v>https://www.flowcode.co.uk/wiki/index.php?title=Component:_ID_bddc472f_59dc_4705_997e_662768d643cd</v>
      </c>
      <c r="O343" s="8" t="s">
        <v>1721</v>
      </c>
      <c r="P343" s="8"/>
      <c r="Q343" s="8" t="str">
        <f t="shared" si="12"/>
        <v/>
      </c>
      <c r="R343" s="8" t="s">
        <v>1727</v>
      </c>
      <c r="S343" s="8"/>
      <c r="T343" s="8"/>
      <c r="U343" s="8"/>
      <c r="V343" s="8" t="s">
        <v>1730</v>
      </c>
      <c r="W343" s="8" t="s">
        <v>1730</v>
      </c>
      <c r="X343" s="8"/>
      <c r="Y343" s="8"/>
      <c r="Z343" s="18">
        <f t="shared" si="11"/>
        <v>2</v>
      </c>
      <c r="AA343" s="8"/>
      <c r="AB343" s="7"/>
      <c r="AC343" s="7"/>
      <c r="AD343" s="8" t="s">
        <v>1721</v>
      </c>
      <c r="AE343" s="8" t="s">
        <v>1727</v>
      </c>
      <c r="AF343" s="8" t="s">
        <v>1727</v>
      </c>
      <c r="AG343" s="8"/>
      <c r="AH343" s="47"/>
      <c r="AI343" s="47">
        <f>VLOOKUP(B343,'Components Usage'!A$2:C$603,3,FALSE)</f>
        <v>10</v>
      </c>
      <c r="AJ343" s="28" t="s">
        <v>2401</v>
      </c>
    </row>
    <row r="344" spans="1:36" x14ac:dyDescent="0.25">
      <c r="A344" s="16" t="str">
        <f>'Components Data Source'!A344</f>
        <v>Shape</v>
      </c>
      <c r="B344" s="8" t="str">
        <f>'Components Data Source'!B344</f>
        <v>406F69D1-6F0E-4C9A-974F-AA0D178FEB3A</v>
      </c>
      <c r="C344" s="8" t="str">
        <f>'Components Data Source'!C344</f>
        <v>Shape.fcpx</v>
      </c>
      <c r="D344" s="8" t="str">
        <f>'Components Data Source'!D344</f>
        <v>Components\IO_Source\2dGDI\Shape.fcfx</v>
      </c>
      <c r="E344" s="8" t="str">
        <f>'Components Data Source'!E344</f>
        <v>FREE</v>
      </c>
      <c r="F344" s="8" t="str">
        <f>'Components Data Source'!F344</f>
        <v>2D SHAPES</v>
      </c>
      <c r="G344" s="8">
        <f>'Components Data Source'!G344</f>
        <v>0</v>
      </c>
      <c r="H344" s="8">
        <f>'Components Data Source'!H344</f>
        <v>0</v>
      </c>
      <c r="I344" s="8">
        <f>'Components Data Source'!I344</f>
        <v>0</v>
      </c>
      <c r="J344" s="8">
        <f>'Components Data Source'!J344</f>
        <v>1</v>
      </c>
      <c r="K344" s="8">
        <f>'Components Data Source'!K344</f>
        <v>1</v>
      </c>
      <c r="L344" s="8">
        <f>'Components Data Source'!L344</f>
        <v>1</v>
      </c>
      <c r="M344" s="8" t="s">
        <v>1727</v>
      </c>
      <c r="N344" s="17" t="str">
        <f>HYPERLINK('Components Data Source'!M344)</f>
        <v>https://www.flowcode.co.uk/wiki/index.php?title=Component:_ID_406f69d1_6f0e_4c9a_974f_aa0d178feb3a</v>
      </c>
      <c r="O344" s="8" t="s">
        <v>1721</v>
      </c>
      <c r="P344" s="8"/>
      <c r="Q344" s="8" t="str">
        <f t="shared" si="12"/>
        <v/>
      </c>
      <c r="R344" s="8" t="s">
        <v>1727</v>
      </c>
      <c r="S344" s="8" t="s">
        <v>1721</v>
      </c>
      <c r="T344" s="8"/>
      <c r="U344" s="8"/>
      <c r="V344" s="8" t="s">
        <v>1730</v>
      </c>
      <c r="W344" s="8" t="s">
        <v>1730</v>
      </c>
      <c r="X344" s="8"/>
      <c r="Y344" s="8"/>
      <c r="Z344" s="18">
        <f t="shared" si="11"/>
        <v>2</v>
      </c>
      <c r="AA344" s="8"/>
      <c r="AB344" s="7"/>
      <c r="AC344" s="7"/>
      <c r="AD344" s="8" t="s">
        <v>1727</v>
      </c>
      <c r="AE344" s="8"/>
      <c r="AF344" s="8"/>
      <c r="AG344" s="8"/>
      <c r="AH344" s="47"/>
      <c r="AI344" s="47">
        <f>VLOOKUP(B344,'Components Usage'!A$2:C$603,3,FALSE)</f>
        <v>10</v>
      </c>
      <c r="AJ344" s="28"/>
    </row>
    <row r="345" spans="1:36" x14ac:dyDescent="0.25">
      <c r="A345" s="16" t="str">
        <f>'Components Data Source'!A345</f>
        <v>Sheep Pen</v>
      </c>
      <c r="B345" s="8" t="str">
        <f>'Components Data Source'!B345</f>
        <v>FDDF4A52-13CF-4A42-B4C5-D525E824A55A</v>
      </c>
      <c r="C345" s="8" t="str">
        <f>'Components Data Source'!C345</f>
        <v>SheepPen.fcpx</v>
      </c>
      <c r="D345" s="8" t="str">
        <f>'Components Data Source'!D345</f>
        <v>Components\IO_Source\Simulation\SheepPen.fcfx</v>
      </c>
      <c r="E345" s="8" t="str">
        <f>'Components Data Source'!E345</f>
        <v>FREE</v>
      </c>
      <c r="F345" s="8" t="str">
        <f>'Components Data Source'!F345</f>
        <v>SCENARIOS</v>
      </c>
      <c r="G345" s="8">
        <f>'Components Data Source'!G345</f>
        <v>0</v>
      </c>
      <c r="H345" s="8">
        <f>'Components Data Source'!H345</f>
        <v>0</v>
      </c>
      <c r="I345" s="8">
        <f>'Components Data Source'!I345</f>
        <v>0</v>
      </c>
      <c r="J345" s="8">
        <f>'Components Data Source'!J345</f>
        <v>1</v>
      </c>
      <c r="K345" s="8">
        <f>'Components Data Source'!K345</f>
        <v>1</v>
      </c>
      <c r="L345" s="8">
        <f>'Components Data Source'!L345</f>
        <v>0</v>
      </c>
      <c r="M345" s="8" t="s">
        <v>1727</v>
      </c>
      <c r="N345" s="17" t="str">
        <f>HYPERLINK('Components Data Source'!M345)</f>
        <v>https://www.flowcode.co.uk/wiki/index.php?title=Component:_ID_fddf4a52_13cf_4a42_b4c5_d525e824a55a</v>
      </c>
      <c r="O345" s="8" t="s">
        <v>1721</v>
      </c>
      <c r="P345" s="8"/>
      <c r="Q345" s="8" t="str">
        <f t="shared" si="12"/>
        <v/>
      </c>
      <c r="R345" s="8" t="s">
        <v>1727</v>
      </c>
      <c r="S345" s="8" t="s">
        <v>1721</v>
      </c>
      <c r="T345" s="8"/>
      <c r="U345" s="8"/>
      <c r="V345" s="8" t="s">
        <v>1730</v>
      </c>
      <c r="W345" s="8" t="s">
        <v>1730</v>
      </c>
      <c r="X345" s="8"/>
      <c r="Y345" s="8"/>
      <c r="Z345" s="18">
        <f t="shared" si="11"/>
        <v>2</v>
      </c>
      <c r="AA345" s="8"/>
      <c r="AB345" s="7"/>
      <c r="AC345" s="7"/>
      <c r="AD345" s="8" t="s">
        <v>1721</v>
      </c>
      <c r="AE345" s="8" t="s">
        <v>1721</v>
      </c>
      <c r="AF345" s="8" t="s">
        <v>2401</v>
      </c>
      <c r="AG345" s="8"/>
      <c r="AH345" s="47"/>
      <c r="AI345" s="47">
        <f>VLOOKUP(B345,'Components Usage'!A$2:C$603,3,FALSE)</f>
        <v>1</v>
      </c>
      <c r="AJ345" s="28" t="s">
        <v>2401</v>
      </c>
    </row>
    <row r="346" spans="1:36" x14ac:dyDescent="0.25">
      <c r="A346" s="16" t="str">
        <f>'Components Data Source'!A346</f>
        <v>Simulation LED (5mm PCB)</v>
      </c>
      <c r="B346" s="8" t="str">
        <f>'Components Data Source'!B346</f>
        <v>CA4F7F42-4697-4D24-95B8-9CC3A9EBDD83</v>
      </c>
      <c r="C346" s="8" t="str">
        <f>'Components Data Source'!C346</f>
        <v>Sim5mmLED.fcpx</v>
      </c>
      <c r="D346" s="8" t="str">
        <f>'Components Data Source'!D346</f>
        <v>Components\IO_Source\outputs\led_5mm_sim.fcfx</v>
      </c>
      <c r="E346" s="8" t="str">
        <f>'Components Data Source'!E346</f>
        <v>FREE</v>
      </c>
      <c r="F346" s="8">
        <f>'Components Data Source'!F346</f>
        <v>0</v>
      </c>
      <c r="G346" s="8">
        <f>'Components Data Source'!G346</f>
        <v>0</v>
      </c>
      <c r="H346" s="8">
        <f>'Components Data Source'!H346</f>
        <v>0</v>
      </c>
      <c r="I346" s="8">
        <f>'Components Data Source'!I346</f>
        <v>0</v>
      </c>
      <c r="J346" s="8">
        <f>'Components Data Source'!J346</f>
        <v>1</v>
      </c>
      <c r="K346" s="8">
        <f>'Components Data Source'!K346</f>
        <v>1</v>
      </c>
      <c r="L346" s="8">
        <f>'Components Data Source'!L346</f>
        <v>1</v>
      </c>
      <c r="M346" s="8" t="s">
        <v>1727</v>
      </c>
      <c r="N346" s="17" t="str">
        <f>HYPERLINK('Components Data Source'!M346)</f>
        <v>https://www.flowcode.co.uk/wiki/index.php?title=Component:_ID_ca4f7f42_4697_4d24_95b8_9cc3a9ebdd83</v>
      </c>
      <c r="O346" s="8" t="s">
        <v>1721</v>
      </c>
      <c r="P346" s="8"/>
      <c r="Q346" s="8" t="str">
        <f t="shared" si="12"/>
        <v/>
      </c>
      <c r="R346" s="8" t="s">
        <v>1727</v>
      </c>
      <c r="S346" s="8"/>
      <c r="T346" s="8"/>
      <c r="U346" s="8"/>
      <c r="V346" s="8" t="s">
        <v>1730</v>
      </c>
      <c r="W346" s="8" t="s">
        <v>1730</v>
      </c>
      <c r="X346" s="8"/>
      <c r="Y346" s="8"/>
      <c r="Z346" s="18">
        <f t="shared" si="11"/>
        <v>2</v>
      </c>
      <c r="AA346" s="8"/>
      <c r="AB346" s="7"/>
      <c r="AC346" s="7"/>
      <c r="AD346" s="8" t="s">
        <v>1721</v>
      </c>
      <c r="AE346" s="8" t="s">
        <v>1727</v>
      </c>
      <c r="AF346" s="8" t="s">
        <v>1727</v>
      </c>
      <c r="AG346" s="8"/>
      <c r="AH346" s="47"/>
      <c r="AI346" s="47">
        <f>VLOOKUP(B346,'Components Usage'!A$2:C$603,3,FALSE)</f>
        <v>4</v>
      </c>
      <c r="AJ346" s="28" t="s">
        <v>2401</v>
      </c>
    </row>
    <row r="347" spans="1:36" x14ac:dyDescent="0.25">
      <c r="A347" s="16" t="str">
        <f>'Components Data Source'!A347</f>
        <v>Wood Gate</v>
      </c>
      <c r="B347" s="8" t="str">
        <f>'Components Data Source'!B347</f>
        <v>315B8FF5-E86E-4B4A-B823-5D8574101738</v>
      </c>
      <c r="C347" s="8" t="str">
        <f>'Components Data Source'!C347</f>
        <v>SimpleGate.fcpx</v>
      </c>
      <c r="D347" s="8" t="str">
        <f>'Components Data Source'!D347</f>
        <v>Components\IO_Source\Simulation\SimpleGate.fcfx</v>
      </c>
      <c r="E347" s="8" t="str">
        <f>'Components Data Source'!E347</f>
        <v>FREE</v>
      </c>
      <c r="F347" s="8" t="str">
        <f>'Components Data Source'!F347</f>
        <v>MISC SHAPES</v>
      </c>
      <c r="G347" s="8">
        <f>'Components Data Source'!G347</f>
        <v>0</v>
      </c>
      <c r="H347" s="8">
        <f>'Components Data Source'!H347</f>
        <v>0</v>
      </c>
      <c r="I347" s="8">
        <f>'Components Data Source'!I347</f>
        <v>0</v>
      </c>
      <c r="J347" s="8">
        <f>'Components Data Source'!J347</f>
        <v>1</v>
      </c>
      <c r="K347" s="8">
        <f>'Components Data Source'!K347</f>
        <v>1</v>
      </c>
      <c r="L347" s="8">
        <f>'Components Data Source'!L347</f>
        <v>1</v>
      </c>
      <c r="M347" s="8" t="s">
        <v>1727</v>
      </c>
      <c r="N347" s="17" t="str">
        <f>HYPERLINK('Components Data Source'!M347)</f>
        <v>https://www.flowcode.co.uk/wiki/index.php?title=Component:_ID_315b8ff5_e86e_4b4a_b823_5d8574101738</v>
      </c>
      <c r="O347" s="8" t="s">
        <v>1721</v>
      </c>
      <c r="P347" s="8"/>
      <c r="Q347" s="8" t="str">
        <f t="shared" si="12"/>
        <v/>
      </c>
      <c r="R347" s="8" t="s">
        <v>1727</v>
      </c>
      <c r="S347" s="8"/>
      <c r="T347" s="8"/>
      <c r="U347" s="8"/>
      <c r="V347" s="8" t="s">
        <v>1730</v>
      </c>
      <c r="W347" s="8" t="s">
        <v>1730</v>
      </c>
      <c r="X347" s="8"/>
      <c r="Y347" s="8"/>
      <c r="Z347" s="18">
        <f t="shared" si="11"/>
        <v>2</v>
      </c>
      <c r="AA347" s="8"/>
      <c r="AB347" s="7"/>
      <c r="AC347" s="7"/>
      <c r="AD347" s="8" t="s">
        <v>1721</v>
      </c>
      <c r="AE347" s="8" t="s">
        <v>1727</v>
      </c>
      <c r="AF347" s="8" t="s">
        <v>2401</v>
      </c>
      <c r="AG347" s="8"/>
      <c r="AH347" s="47"/>
      <c r="AI347" s="47">
        <f>VLOOKUP(B347,'Components Usage'!A$2:C$603,3,FALSE)</f>
        <v>0</v>
      </c>
      <c r="AJ347" s="28" t="s">
        <v>2401</v>
      </c>
    </row>
    <row r="348" spans="1:36" hidden="1" x14ac:dyDescent="0.25">
      <c r="A348" s="16" t="str">
        <f>'Components Data Source'!A348</f>
        <v>Speech (Phoneme)</v>
      </c>
      <c r="B348" s="8" t="str">
        <f>'Components Data Source'!B348</f>
        <v>01FD689C-985C-4B10-BC98-99DE5F9B41A8</v>
      </c>
      <c r="C348" s="8" t="str">
        <f>'Components Data Source'!C348</f>
        <v>Speech.fcpx</v>
      </c>
      <c r="D348" s="8" t="str">
        <f>'Components Data Source'!D348</f>
        <v>Components\IO_Source\Speech\speech.fcfx</v>
      </c>
      <c r="E348" s="8" t="str">
        <f>'Components Data Source'!E348</f>
        <v>STORAGE</v>
      </c>
      <c r="F348" s="8" t="str">
        <f>'Components Data Source'!F348</f>
        <v>AUDIO OUTPUT</v>
      </c>
      <c r="G348" s="8">
        <f>'Components Data Source'!G348</f>
        <v>0</v>
      </c>
      <c r="H348" s="8">
        <f>'Components Data Source'!H348</f>
        <v>0</v>
      </c>
      <c r="I348" s="8" t="str">
        <f>'Components Data Source'!I348</f>
        <v xml:space="preserve">PWM </v>
      </c>
      <c r="J348" s="8">
        <f>'Components Data Source'!J348</f>
        <v>1</v>
      </c>
      <c r="K348" s="8">
        <f>'Components Data Source'!K348</f>
        <v>1</v>
      </c>
      <c r="L348" s="8">
        <f>'Components Data Source'!L348</f>
        <v>0</v>
      </c>
      <c r="M348" s="8" t="s">
        <v>1727</v>
      </c>
      <c r="N348" s="17" t="str">
        <f>HYPERLINK('Components Data Source'!M348)</f>
        <v>https://www.flowcode.co.uk/wiki/index.php?title=Component:_ID_01fd689c_985c_4b10_bc98_99de5f9b41a8</v>
      </c>
      <c r="O348" s="8" t="s">
        <v>1721</v>
      </c>
      <c r="P348" s="8"/>
      <c r="Q348" s="8" t="str">
        <f t="shared" si="12"/>
        <v/>
      </c>
      <c r="R348" s="8" t="s">
        <v>1721</v>
      </c>
      <c r="S348" s="8" t="s">
        <v>1721</v>
      </c>
      <c r="T348" s="8" t="s">
        <v>1727</v>
      </c>
      <c r="U348" s="8" t="s">
        <v>1727</v>
      </c>
      <c r="V348" s="8" t="s">
        <v>1731</v>
      </c>
      <c r="W348" s="8" t="s">
        <v>1731</v>
      </c>
      <c r="X348" s="8" t="s">
        <v>1721</v>
      </c>
      <c r="Y348" s="8" t="s">
        <v>1721</v>
      </c>
      <c r="Z348" s="18">
        <f t="shared" si="11"/>
        <v>1</v>
      </c>
      <c r="AA348" s="8"/>
      <c r="AB348" s="7"/>
      <c r="AC348" s="7"/>
      <c r="AD348" s="8" t="s">
        <v>1721</v>
      </c>
      <c r="AE348" s="8" t="s">
        <v>1721</v>
      </c>
      <c r="AF348" s="8" t="s">
        <v>2401</v>
      </c>
      <c r="AG348" s="8"/>
      <c r="AH348" s="47"/>
      <c r="AI348" s="47">
        <f>VLOOKUP(B348,'Components Usage'!A$2:C$603,3,FALSE)</f>
        <v>7</v>
      </c>
      <c r="AJ348" s="28" t="s">
        <v>2401</v>
      </c>
    </row>
    <row r="349" spans="1:36" x14ac:dyDescent="0.25">
      <c r="A349" s="16" t="str">
        <f>'Components Data Source'!A349</f>
        <v>Static Text</v>
      </c>
      <c r="B349" s="8" t="str">
        <f>'Components Data Source'!B349</f>
        <v>C31ACC1A-F3A2-4FE2-B57C-F654379DD832</v>
      </c>
      <c r="C349" s="8" t="str">
        <f>'Components Data Source'!C349</f>
        <v>StaticText.fcpx</v>
      </c>
      <c r="D349" s="8" t="str">
        <f>'Components Data Source'!D349</f>
        <v>Components\IO_Source\2dGDI\StaticText.fcfx</v>
      </c>
      <c r="E349" s="8" t="str">
        <f>'Components Data Source'!E349</f>
        <v>FREE</v>
      </c>
      <c r="F349" s="8" t="str">
        <f>'Components Data Source'!F349</f>
        <v>2D SHAPES</v>
      </c>
      <c r="G349" s="8">
        <f>'Components Data Source'!G349</f>
        <v>0</v>
      </c>
      <c r="H349" s="8">
        <f>'Components Data Source'!H349</f>
        <v>0</v>
      </c>
      <c r="I349" s="8">
        <f>'Components Data Source'!I349</f>
        <v>0</v>
      </c>
      <c r="J349" s="8">
        <f>'Components Data Source'!J349</f>
        <v>1</v>
      </c>
      <c r="K349" s="8">
        <f>'Components Data Source'!K349</f>
        <v>1</v>
      </c>
      <c r="L349" s="8">
        <f>'Components Data Source'!L349</f>
        <v>1</v>
      </c>
      <c r="M349" s="8" t="s">
        <v>1727</v>
      </c>
      <c r="N349" s="17" t="str">
        <f>HYPERLINK('Components Data Source'!M349)</f>
        <v>https://www.flowcode.co.uk/wiki/index.php?title=Component:_ID_c31acc1a_f3a2_4fe2_b57c_f654379dd832</v>
      </c>
      <c r="O349" s="8" t="s">
        <v>1721</v>
      </c>
      <c r="P349" s="8"/>
      <c r="Q349" s="8" t="str">
        <f t="shared" si="12"/>
        <v/>
      </c>
      <c r="R349" s="8" t="s">
        <v>1727</v>
      </c>
      <c r="S349" s="8" t="s">
        <v>1721</v>
      </c>
      <c r="T349" s="8"/>
      <c r="U349" s="8"/>
      <c r="V349" s="8" t="s">
        <v>1730</v>
      </c>
      <c r="W349" s="8" t="s">
        <v>1730</v>
      </c>
      <c r="X349" s="8"/>
      <c r="Y349" s="8"/>
      <c r="Z349" s="18">
        <f t="shared" si="11"/>
        <v>2</v>
      </c>
      <c r="AA349" s="8"/>
      <c r="AB349" s="7"/>
      <c r="AC349" s="7"/>
      <c r="AD349" s="8" t="s">
        <v>1721</v>
      </c>
      <c r="AE349" s="8" t="s">
        <v>1721</v>
      </c>
      <c r="AF349" s="8" t="s">
        <v>2401</v>
      </c>
      <c r="AG349" s="8" t="s">
        <v>1721</v>
      </c>
      <c r="AH349" s="47"/>
      <c r="AI349" s="47">
        <f>VLOOKUP(B349,'Components Usage'!A$2:C$603,3,FALSE)</f>
        <v>58</v>
      </c>
      <c r="AJ349" s="28" t="s">
        <v>2401</v>
      </c>
    </row>
    <row r="350" spans="1:36" hidden="1" x14ac:dyDescent="0.25">
      <c r="A350" s="16" t="str">
        <f>'Components Data Source'!A350</f>
        <v>String Initialiser</v>
      </c>
      <c r="B350" s="8" t="str">
        <f>'Components Data Source'!B350</f>
        <v>A8ABDC98-224C-4C8A-8311-2921CB3DBE46</v>
      </c>
      <c r="C350" s="8" t="str">
        <f>'Components Data Source'!C350</f>
        <v>StringInit.fcpx</v>
      </c>
      <c r="D350" s="8" t="str">
        <f>'Components Data Source'!D350</f>
        <v>Components\IO_Source\Storage\StringInitialiser.fcfx</v>
      </c>
      <c r="E350" s="8" t="str">
        <f>'Components Data Source'!E350</f>
        <v>STORAGE</v>
      </c>
      <c r="F350" s="8" t="str">
        <f>'Components Data Source'!F350</f>
        <v>STORAGE</v>
      </c>
      <c r="G350" s="8" t="str">
        <f>'Components Data Source'!G350</f>
        <v xml:space="preserve">STORAGE </v>
      </c>
      <c r="H350" s="8">
        <f>'Components Data Source'!H350</f>
        <v>0</v>
      </c>
      <c r="I350" s="8">
        <f>'Components Data Source'!I350</f>
        <v>0</v>
      </c>
      <c r="J350" s="8">
        <f>'Components Data Source'!J350</f>
        <v>1</v>
      </c>
      <c r="K350" s="8">
        <f>'Components Data Source'!K350</f>
        <v>1</v>
      </c>
      <c r="L350" s="8">
        <f>'Components Data Source'!L350</f>
        <v>1</v>
      </c>
      <c r="M350" s="8" t="s">
        <v>1727</v>
      </c>
      <c r="N350" s="17" t="str">
        <f>HYPERLINK('Components Data Source'!M350)</f>
        <v>https://www.flowcode.co.uk/wiki/index.php?title=Component:_ID_a8abdc98_224c_4c8a_8311_2921cb3dbe46</v>
      </c>
      <c r="O350" s="8" t="s">
        <v>1721</v>
      </c>
      <c r="P350" s="8"/>
      <c r="Q350" s="8" t="str">
        <f t="shared" si="12"/>
        <v/>
      </c>
      <c r="R350" s="1" t="s">
        <v>1721</v>
      </c>
      <c r="S350" s="1" t="s">
        <v>1721</v>
      </c>
      <c r="T350" s="1" t="s">
        <v>1727</v>
      </c>
      <c r="U350" s="1" t="s">
        <v>1721</v>
      </c>
      <c r="V350" s="1" t="s">
        <v>1731</v>
      </c>
      <c r="W350" s="1" t="s">
        <v>1731</v>
      </c>
      <c r="X350" s="1" t="s">
        <v>1721</v>
      </c>
      <c r="Y350" s="8" t="s">
        <v>1721</v>
      </c>
      <c r="Z350" s="18">
        <f t="shared" si="11"/>
        <v>1</v>
      </c>
      <c r="AA350" s="8"/>
      <c r="AB350" s="6" t="s">
        <v>2456</v>
      </c>
      <c r="AC350" s="7"/>
      <c r="AD350" s="8" t="s">
        <v>1721</v>
      </c>
      <c r="AE350" s="8" t="s">
        <v>1727</v>
      </c>
      <c r="AF350" s="8" t="s">
        <v>2401</v>
      </c>
      <c r="AG350" s="8"/>
      <c r="AH350" s="47"/>
      <c r="AI350" s="47">
        <f>VLOOKUP(B350,'Components Usage'!A$2:C$603,3,FALSE)</f>
        <v>25</v>
      </c>
      <c r="AJ350" s="28" t="s">
        <v>2401</v>
      </c>
    </row>
    <row r="351" spans="1:36" hidden="1" x14ac:dyDescent="0.25">
      <c r="A351" s="16" t="str">
        <f>'Components Data Source'!A351</f>
        <v>String Label</v>
      </c>
      <c r="B351" s="8" t="str">
        <f>'Components Data Source'!B351</f>
        <v>9D05CFE0-9394-4B7F-83FA-7B001E12C5D3</v>
      </c>
      <c r="C351" s="8" t="str">
        <f>'Components Data Source'!C351</f>
        <v>StringLabel.fcpx</v>
      </c>
      <c r="D351" s="8" t="str">
        <f>'Components Data Source'!D351</f>
        <v>Components\IO_Source\SCADA\TextLabel.fcfx</v>
      </c>
      <c r="E351" s="8" t="str">
        <f>'Components Data Source'!E351</f>
        <v>SCADA</v>
      </c>
      <c r="F351" s="8" t="str">
        <f>'Components Data Source'!F351</f>
        <v>INDICATORS</v>
      </c>
      <c r="G351" s="8">
        <f>'Components Data Source'!G351</f>
        <v>0</v>
      </c>
      <c r="H351" s="8">
        <f>'Components Data Source'!H351</f>
        <v>0</v>
      </c>
      <c r="I351" s="8">
        <f>'Components Data Source'!I351</f>
        <v>0</v>
      </c>
      <c r="J351" s="8">
        <f>'Components Data Source'!J351</f>
        <v>1</v>
      </c>
      <c r="K351" s="8">
        <f>'Components Data Source'!K351</f>
        <v>1</v>
      </c>
      <c r="L351" s="8">
        <f>'Components Data Source'!L351</f>
        <v>1</v>
      </c>
      <c r="M351" s="8" t="s">
        <v>1727</v>
      </c>
      <c r="N351" s="17" t="str">
        <f>HYPERLINK('Components Data Source'!M351)</f>
        <v>https://www.flowcode.co.uk/wiki/index.php?title=Component:_ID_9d05cfe0_9394_4b7f_83fa_7b001e12c5d3</v>
      </c>
      <c r="O351" s="8" t="s">
        <v>1721</v>
      </c>
      <c r="P351" s="8"/>
      <c r="Q351" s="8" t="str">
        <f t="shared" si="12"/>
        <v/>
      </c>
      <c r="R351" s="8" t="s">
        <v>1727</v>
      </c>
      <c r="S351" s="8"/>
      <c r="T351" s="8"/>
      <c r="U351" s="8"/>
      <c r="V351" s="8" t="s">
        <v>1730</v>
      </c>
      <c r="W351" s="8" t="s">
        <v>1730</v>
      </c>
      <c r="X351" s="8"/>
      <c r="Y351" s="8"/>
      <c r="Z351" s="18">
        <f t="shared" si="11"/>
        <v>2</v>
      </c>
      <c r="AA351" s="8"/>
      <c r="AB351" s="7"/>
      <c r="AC351" s="7"/>
      <c r="AD351" s="8" t="s">
        <v>1721</v>
      </c>
      <c r="AE351" s="8" t="s">
        <v>2401</v>
      </c>
      <c r="AF351" s="8" t="s">
        <v>2401</v>
      </c>
      <c r="AG351" s="8"/>
      <c r="AH351" s="47"/>
      <c r="AI351" s="47">
        <f>VLOOKUP(B351,'Components Usage'!A$2:C$603,3,FALSE)</f>
        <v>0</v>
      </c>
      <c r="AJ351" s="28" t="s">
        <v>2401</v>
      </c>
    </row>
    <row r="352" spans="1:36" hidden="1" x14ac:dyDescent="0.25">
      <c r="A352" s="16" t="str">
        <f>'Components Data Source'!A352</f>
        <v>String Translator</v>
      </c>
      <c r="B352" s="8" t="str">
        <f>'Components Data Source'!B352</f>
        <v>306B3759-A92F-4779-B15F-93A9E35A75BF</v>
      </c>
      <c r="C352" s="8" t="str">
        <f>'Components Data Source'!C352</f>
        <v>StringTranslator.fcpx</v>
      </c>
      <c r="D352" s="8" t="str">
        <f>'Components Data Source'!D352</f>
        <v>Components\IO_Source\StringTranslations.fcfx</v>
      </c>
      <c r="E352" s="8" t="str">
        <f>'Components Data Source'!E352</f>
        <v>STORAGE</v>
      </c>
      <c r="F352" s="8" t="str">
        <f>'Components Data Source'!F352</f>
        <v>STORAGE</v>
      </c>
      <c r="G352" s="8" t="str">
        <f>'Components Data Source'!G352</f>
        <v xml:space="preserve">STORAGE </v>
      </c>
      <c r="H352" s="8">
        <f>'Components Data Source'!H352</f>
        <v>0</v>
      </c>
      <c r="I352" s="8">
        <f>'Components Data Source'!I352</f>
        <v>0</v>
      </c>
      <c r="J352" s="8">
        <f>'Components Data Source'!J352</f>
        <v>1</v>
      </c>
      <c r="K352" s="8">
        <f>'Components Data Source'!K352</f>
        <v>1</v>
      </c>
      <c r="L352" s="8">
        <f>'Components Data Source'!L352</f>
        <v>1</v>
      </c>
      <c r="M352" s="8" t="s">
        <v>1727</v>
      </c>
      <c r="N352" s="17" t="str">
        <f>HYPERLINK('Components Data Source'!M352)</f>
        <v>https://www.flowcode.co.uk/wiki/index.php?title=Component:_ID_306b3759_a92f_4779_b15f_93a9e35a75bf</v>
      </c>
      <c r="O352" s="8" t="s">
        <v>1721</v>
      </c>
      <c r="P352" s="8"/>
      <c r="Q352" s="8" t="str">
        <f t="shared" si="12"/>
        <v/>
      </c>
      <c r="R352" s="1" t="s">
        <v>1721</v>
      </c>
      <c r="S352" s="1" t="s">
        <v>1721</v>
      </c>
      <c r="T352" s="1" t="s">
        <v>1727</v>
      </c>
      <c r="U352" s="1" t="s">
        <v>1721</v>
      </c>
      <c r="V352" s="1" t="s">
        <v>1731</v>
      </c>
      <c r="W352" s="1" t="s">
        <v>1731</v>
      </c>
      <c r="X352" s="1" t="s">
        <v>1721</v>
      </c>
      <c r="Y352" s="8" t="s">
        <v>1721</v>
      </c>
      <c r="Z352" s="18">
        <f t="shared" si="11"/>
        <v>1</v>
      </c>
      <c r="AA352" s="8"/>
      <c r="AB352" s="7"/>
      <c r="AC352" s="7"/>
      <c r="AD352" s="8" t="s">
        <v>1721</v>
      </c>
      <c r="AE352" s="8" t="s">
        <v>1721</v>
      </c>
      <c r="AF352" s="8" t="s">
        <v>2401</v>
      </c>
      <c r="AG352" s="8"/>
      <c r="AH352" s="47"/>
      <c r="AI352" s="47">
        <f>VLOOKUP(B352,'Components Usage'!A$2:C$603,3,FALSE)</f>
        <v>4</v>
      </c>
      <c r="AJ352" s="28" t="s">
        <v>2401</v>
      </c>
    </row>
    <row r="353" spans="1:36" x14ac:dyDescent="0.25">
      <c r="A353" s="16" t="str">
        <f>'Components Data Source'!A353</f>
        <v>Switch</v>
      </c>
      <c r="B353" s="8" t="str">
        <f>'Components Data Source'!B353</f>
        <v>4B8AE722-573A-473D-8455-A2E6EDAD1F36</v>
      </c>
      <c r="C353" s="8" t="str">
        <f>'Components Data Source'!C353</f>
        <v>Switch_2d.fcpx</v>
      </c>
      <c r="D353" s="8" t="str">
        <f>'Components Data Source'!D353</f>
        <v>Components\IO_Source\2dGDI\Switch.fcfx</v>
      </c>
      <c r="E353" s="8" t="str">
        <f>'Components Data Source'!E353</f>
        <v>FREE</v>
      </c>
      <c r="F353" s="8" t="str">
        <f>'Components Data Source'!F353</f>
        <v>CONTROLS</v>
      </c>
      <c r="G353" s="8" t="str">
        <f>'Components Data Source'!G353</f>
        <v xml:space="preserve">CONTROLS </v>
      </c>
      <c r="H353" s="8">
        <f>'Components Data Source'!H353</f>
        <v>0</v>
      </c>
      <c r="I353" s="8">
        <f>'Components Data Source'!I353</f>
        <v>0</v>
      </c>
      <c r="J353" s="8">
        <f>'Components Data Source'!J353</f>
        <v>1</v>
      </c>
      <c r="K353" s="8">
        <f>'Components Data Source'!K353</f>
        <v>1</v>
      </c>
      <c r="L353" s="8">
        <f>'Components Data Source'!L353</f>
        <v>1</v>
      </c>
      <c r="M353" s="8" t="s">
        <v>1727</v>
      </c>
      <c r="N353" s="17" t="str">
        <f>HYPERLINK('Components Data Source'!M353)</f>
        <v>https://www.flowcode.co.uk/wiki/index.php?title=Component:_ID_4b8ae722_573a_473d_8455_a2e6edad1f36</v>
      </c>
      <c r="O353" s="8" t="s">
        <v>1721</v>
      </c>
      <c r="P353" s="8" t="s">
        <v>2774</v>
      </c>
      <c r="Q353" s="8" t="str">
        <f t="shared" si="12"/>
        <v/>
      </c>
      <c r="R353" s="8" t="s">
        <v>1727</v>
      </c>
      <c r="S353" s="8" t="s">
        <v>1721</v>
      </c>
      <c r="T353" s="8"/>
      <c r="U353" s="8"/>
      <c r="V353" s="8" t="s">
        <v>1730</v>
      </c>
      <c r="W353" s="8" t="s">
        <v>1730</v>
      </c>
      <c r="X353" s="8"/>
      <c r="Y353" s="8"/>
      <c r="Z353" s="18">
        <f t="shared" si="11"/>
        <v>2</v>
      </c>
      <c r="AA353" s="8"/>
      <c r="AB353" s="7"/>
      <c r="AC353" s="7"/>
      <c r="AD353" s="8" t="s">
        <v>1721</v>
      </c>
      <c r="AE353" s="8" t="s">
        <v>2401</v>
      </c>
      <c r="AF353" s="8" t="s">
        <v>2401</v>
      </c>
      <c r="AG353" s="8" t="s">
        <v>1721</v>
      </c>
      <c r="AH353" s="47"/>
      <c r="AI353" s="47">
        <f>VLOOKUP(B353,'Components Usage'!A$2:C$603,3,FALSE)</f>
        <v>56</v>
      </c>
      <c r="AJ353" s="28" t="s">
        <v>2401</v>
      </c>
    </row>
    <row r="354" spans="1:36" x14ac:dyDescent="0.25">
      <c r="A354" s="16" t="str">
        <f>'Components Data Source'!A354</f>
        <v>Switch(BL0145)</v>
      </c>
      <c r="B354" s="8" t="str">
        <f>'Components Data Source'!B354</f>
        <v>B3A7287A-4070-49D1-9122-BF6169F67CD1</v>
      </c>
      <c r="C354" s="8" t="str">
        <f>'Components Data Source'!C354</f>
        <v>Switch_BL0145.fcpx</v>
      </c>
      <c r="D354" s="8" t="str">
        <f>'Components Data Source'!D354</f>
        <v>Components\IO_Source\EB2\EBlocks2_Switch_BL0145.fcfx</v>
      </c>
      <c r="E354" s="8" t="str">
        <f>'Components Data Source'!E354</f>
        <v>FREE</v>
      </c>
      <c r="F354" s="8" t="str">
        <f>'Components Data Source'!F354</f>
        <v>E-BLOCKS 2</v>
      </c>
      <c r="G354" s="8">
        <f>'Components Data Source'!G354</f>
        <v>0</v>
      </c>
      <c r="H354" s="8">
        <f>'Components Data Source'!H354</f>
        <v>0</v>
      </c>
      <c r="I354" s="8">
        <f>'Components Data Source'!I354</f>
        <v>0</v>
      </c>
      <c r="J354" s="8">
        <f>'Components Data Source'!J354</f>
        <v>1</v>
      </c>
      <c r="K354" s="8">
        <f>'Components Data Source'!K354</f>
        <v>1</v>
      </c>
      <c r="L354" s="8">
        <f>'Components Data Source'!L354</f>
        <v>0</v>
      </c>
      <c r="M354" s="8" t="s">
        <v>1727</v>
      </c>
      <c r="N354" s="17" t="str">
        <f>HYPERLINK('Components Data Source'!M354)</f>
        <v>https://www.flowcode.co.uk/wiki/index.php?title=Component:_ID_b3a7287a_4070_49d1_9122_bf6169f67cd1</v>
      </c>
      <c r="O354" s="8" t="s">
        <v>2589</v>
      </c>
      <c r="P354" s="8"/>
      <c r="Q354" s="8" t="str">
        <f t="shared" si="12"/>
        <v/>
      </c>
      <c r="R354" s="8" t="s">
        <v>1727</v>
      </c>
      <c r="S354" s="8"/>
      <c r="T354" s="8"/>
      <c r="U354" s="8"/>
      <c r="V354" s="8" t="s">
        <v>1730</v>
      </c>
      <c r="W354" s="8" t="s">
        <v>1730</v>
      </c>
      <c r="X354" s="8"/>
      <c r="Y354" s="8"/>
      <c r="Z354" s="18">
        <f t="shared" si="11"/>
        <v>2</v>
      </c>
      <c r="AA354" s="8"/>
      <c r="AB354" s="7"/>
      <c r="AC354" s="7"/>
      <c r="AD354" s="8" t="s">
        <v>1721</v>
      </c>
      <c r="AE354" s="8" t="s">
        <v>2401</v>
      </c>
      <c r="AF354" s="8" t="s">
        <v>2401</v>
      </c>
      <c r="AG354" s="8"/>
      <c r="AH354" s="47"/>
      <c r="AI354" s="47">
        <f>VLOOKUP(B354,'Components Usage'!A$2:C$603,3,FALSE)</f>
        <v>1</v>
      </c>
      <c r="AJ354" s="28" t="s">
        <v>2401</v>
      </c>
    </row>
    <row r="355" spans="1:36" hidden="1" x14ac:dyDescent="0.25">
      <c r="A355" s="16" t="str">
        <f>'Components Data Source'!A355</f>
        <v>TCP/IP(ENC28J60)</v>
      </c>
      <c r="B355" s="8" t="str">
        <f>'Components Data Source'!B355</f>
        <v>8AAB4B54-A912-449C-B11A-7C1A5DB8D591</v>
      </c>
      <c r="C355" s="8" t="str">
        <f>'Components Data Source'!C355</f>
        <v>TCPIP_ENC28J60.fcpx</v>
      </c>
      <c r="D355" s="8" t="str">
        <f>'Components Data Source'!D355</f>
        <v>Components\IO_Source\TCPIP_ENC28J60.fcfx</v>
      </c>
      <c r="E355" s="8" t="str">
        <f>'Components Data Source'!E355</f>
        <v>COMMSA</v>
      </c>
      <c r="F355" s="8" t="str">
        <f>'Components Data Source'!F355</f>
        <v>COMMS: NETWORKING</v>
      </c>
      <c r="G355" s="8">
        <f>'Components Data Source'!G355</f>
        <v>0</v>
      </c>
      <c r="H355" s="8">
        <f>'Components Data Source'!H355</f>
        <v>0</v>
      </c>
      <c r="I355" s="8" t="str">
        <f>'Components Data Source'!I355</f>
        <v xml:space="preserve">SPI </v>
      </c>
      <c r="J355" s="8">
        <f>'Components Data Source'!J355</f>
        <v>1</v>
      </c>
      <c r="K355" s="8">
        <f>'Components Data Source'!K355</f>
        <v>1</v>
      </c>
      <c r="L355" s="8">
        <f>'Components Data Source'!L355</f>
        <v>0</v>
      </c>
      <c r="M355" s="8" t="s">
        <v>1727</v>
      </c>
      <c r="N355" s="17" t="str">
        <f>HYPERLINK('Components Data Source'!M355)</f>
        <v>https://www.flowcode.co.uk/wiki/index.php?title=Component:_ID_8aab4b54_a912_449c_b11a_7c1a5db8d591</v>
      </c>
      <c r="O355" s="8" t="s">
        <v>2590</v>
      </c>
      <c r="P355" s="45" t="s">
        <v>2920</v>
      </c>
      <c r="Q355" s="8" t="str">
        <f t="shared" si="12"/>
        <v/>
      </c>
      <c r="R355" s="1" t="s">
        <v>1721</v>
      </c>
      <c r="S355" s="1" t="s">
        <v>1721</v>
      </c>
      <c r="T355" s="1" t="s">
        <v>1721</v>
      </c>
      <c r="U355" s="1" t="s">
        <v>1721</v>
      </c>
      <c r="V355" s="1" t="s">
        <v>1009</v>
      </c>
      <c r="W355" s="1" t="s">
        <v>1180</v>
      </c>
      <c r="X355" s="1" t="s">
        <v>1721</v>
      </c>
      <c r="Y355" s="8" t="s">
        <v>1721</v>
      </c>
      <c r="Z355" s="18">
        <f t="shared" si="11"/>
        <v>1</v>
      </c>
      <c r="AA355" s="8"/>
      <c r="AB355" s="7"/>
      <c r="AC355" s="7"/>
      <c r="AD355" s="8" t="s">
        <v>1721</v>
      </c>
      <c r="AE355" s="8" t="s">
        <v>1721</v>
      </c>
      <c r="AF355" s="8" t="s">
        <v>2401</v>
      </c>
      <c r="AG355" s="8"/>
      <c r="AH355" s="47"/>
      <c r="AI355" s="47">
        <f>VLOOKUP(B355,'Components Usage'!A$2:C$603,3,FALSE)</f>
        <v>3</v>
      </c>
      <c r="AJ355" s="28" t="s">
        <v>2401</v>
      </c>
    </row>
    <row r="356" spans="1:36" x14ac:dyDescent="0.25">
      <c r="A356" s="16" t="str">
        <f>'Components Data Source'!A356</f>
        <v>TCP Template</v>
      </c>
      <c r="B356" s="8" t="str">
        <f>'Components Data Source'!B356</f>
        <v>54369D81-80ED-4D59-97BF-91F4B2CDF24C</v>
      </c>
      <c r="C356" s="8" t="str">
        <f>'Components Data Source'!C356</f>
        <v>TCP_Base.fcpx</v>
      </c>
      <c r="D356" s="8" t="str">
        <f>'Components Data Source'!D356</f>
        <v>Components\IO_Source\TCPIP_Base.fcfx</v>
      </c>
      <c r="E356" s="8" t="str">
        <f>'Components Data Source'!E356</f>
        <v>FREE</v>
      </c>
      <c r="F356" s="8" t="str">
        <f>'Components Data Source'!F356</f>
        <v>COMMS: NETWORKING</v>
      </c>
      <c r="G356" s="8">
        <f>'Components Data Source'!G356</f>
        <v>0</v>
      </c>
      <c r="H356" s="8">
        <f>'Components Data Source'!H356</f>
        <v>0</v>
      </c>
      <c r="I356" s="8">
        <f>'Components Data Source'!I356</f>
        <v>0</v>
      </c>
      <c r="J356" s="8">
        <f>'Components Data Source'!J356</f>
        <v>1</v>
      </c>
      <c r="K356" s="8">
        <f>'Components Data Source'!K356</f>
        <v>1</v>
      </c>
      <c r="L356" s="8">
        <f>'Components Data Source'!L356</f>
        <v>1</v>
      </c>
      <c r="M356" s="8" t="s">
        <v>1727</v>
      </c>
      <c r="N356" s="17" t="str">
        <f>HYPERLINK('Components Data Source'!M356)</f>
        <v>https://www.flowcode.co.uk/wiki/index.php?title=Component:_ID_54369d81_80ed_4d59_97bf_91f4b2cdf24c</v>
      </c>
      <c r="O356" s="8" t="s">
        <v>2590</v>
      </c>
      <c r="P356" s="8" t="s">
        <v>3555</v>
      </c>
      <c r="Q356" s="8" t="str">
        <f t="shared" si="12"/>
        <v/>
      </c>
      <c r="R356" s="8" t="s">
        <v>1727</v>
      </c>
      <c r="S356" s="8" t="s">
        <v>2483</v>
      </c>
      <c r="T356" s="8"/>
      <c r="U356" s="8"/>
      <c r="V356" s="8" t="s">
        <v>1730</v>
      </c>
      <c r="W356" s="8" t="s">
        <v>1730</v>
      </c>
      <c r="X356" s="8"/>
      <c r="Y356" s="8"/>
      <c r="Z356" s="18">
        <f t="shared" si="11"/>
        <v>2</v>
      </c>
      <c r="AA356" s="8"/>
      <c r="AB356" s="7" t="s">
        <v>2575</v>
      </c>
      <c r="AC356" s="7"/>
      <c r="AD356" s="8" t="s">
        <v>1721</v>
      </c>
      <c r="AE356" s="8" t="s">
        <v>1727</v>
      </c>
      <c r="AF356" s="8" t="s">
        <v>2401</v>
      </c>
      <c r="AG356" s="8"/>
      <c r="AH356" s="47"/>
      <c r="AI356" s="47">
        <f>VLOOKUP(B356,'Components Usage'!A$2:C$603,3,FALSE)</f>
        <v>4</v>
      </c>
      <c r="AJ356" s="28" t="s">
        <v>2401</v>
      </c>
    </row>
    <row r="357" spans="1:36" ht="45" hidden="1" x14ac:dyDescent="0.25">
      <c r="A357" s="16" t="str">
        <f>'Components Data Source'!A357</f>
        <v>TCP/IP(NM7010A)</v>
      </c>
      <c r="B357" s="8" t="str">
        <f>'Components Data Source'!B357</f>
        <v>A1820DE1-8CFE-4675-B185-A62CE44E2A6F</v>
      </c>
      <c r="C357" s="8" t="str">
        <f>'Components Data Source'!C357</f>
        <v>TCP_IP_EB023_00_1.fcpx</v>
      </c>
      <c r="D357" s="8" t="str">
        <f>'Components Data Source'!D357</f>
        <v>Components\IO_Source\TCPIP_EB023-00-1.fcfx</v>
      </c>
      <c r="E357" s="8" t="str">
        <f>'Components Data Source'!E357</f>
        <v>COMMSA</v>
      </c>
      <c r="F357" s="8" t="str">
        <f>'Components Data Source'!F357</f>
        <v>COMMS: NETWORKING</v>
      </c>
      <c r="G357" s="8">
        <f>'Components Data Source'!G357</f>
        <v>0</v>
      </c>
      <c r="H357" s="8">
        <f>'Components Data Source'!H357</f>
        <v>0</v>
      </c>
      <c r="I357" s="8" t="str">
        <f>'Components Data Source'!I357</f>
        <v xml:space="preserve">I2C </v>
      </c>
      <c r="J357" s="8">
        <f>'Components Data Source'!J357</f>
        <v>1</v>
      </c>
      <c r="K357" s="8">
        <f>'Components Data Source'!K357</f>
        <v>1</v>
      </c>
      <c r="L357" s="8">
        <f>'Components Data Source'!L357</f>
        <v>0</v>
      </c>
      <c r="M357" s="8" t="s">
        <v>1727</v>
      </c>
      <c r="N357" s="17" t="str">
        <f>HYPERLINK('Components Data Source'!M357)</f>
        <v>https://www.flowcode.co.uk/wiki/index.php?title=Component:_ID_a1820de1_8cfe_4675_b185_a62ce44e2a6f</v>
      </c>
      <c r="O357" s="8" t="s">
        <v>1721</v>
      </c>
      <c r="P357" s="8"/>
      <c r="Q357" s="8" t="str">
        <f t="shared" si="12"/>
        <v/>
      </c>
      <c r="R357" s="8" t="s">
        <v>1721</v>
      </c>
      <c r="S357" s="8" t="s">
        <v>1721</v>
      </c>
      <c r="T357" s="8" t="s">
        <v>1721</v>
      </c>
      <c r="U357" s="8" t="s">
        <v>1721</v>
      </c>
      <c r="V357" s="8" t="s">
        <v>1009</v>
      </c>
      <c r="W357" s="8" t="s">
        <v>1175</v>
      </c>
      <c r="X357" s="8" t="s">
        <v>1721</v>
      </c>
      <c r="Y357" s="8" t="s">
        <v>1727</v>
      </c>
      <c r="Z357" s="18">
        <f t="shared" si="11"/>
        <v>0</v>
      </c>
      <c r="AA357" s="8" t="s">
        <v>1721</v>
      </c>
      <c r="AB357" s="7" t="s">
        <v>2500</v>
      </c>
      <c r="AC357" s="7" t="s">
        <v>2400</v>
      </c>
      <c r="AD357" s="8" t="s">
        <v>1721</v>
      </c>
      <c r="AE357" s="8" t="s">
        <v>1727</v>
      </c>
      <c r="AF357" s="8" t="s">
        <v>2401</v>
      </c>
      <c r="AG357" s="8"/>
      <c r="AH357" s="47"/>
      <c r="AI357" s="47">
        <f>VLOOKUP(B357,'Components Usage'!A$2:C$603,3,FALSE)</f>
        <v>1</v>
      </c>
      <c r="AJ357" s="28" t="s">
        <v>2401</v>
      </c>
    </row>
    <row r="358" spans="1:36" hidden="1" x14ac:dyDescent="0.25">
      <c r="A358" s="16" t="str">
        <f>'Components Data Source'!A358</f>
        <v>TCP/IP(EB023 v1)</v>
      </c>
      <c r="B358" s="8" t="str">
        <f>'Components Data Source'!B358</f>
        <v>BB483909-20DF-4E51-AC45-092AB4ADF36A</v>
      </c>
      <c r="C358" s="8" t="str">
        <f>'Components Data Source'!C358</f>
        <v>TCP_IP_EB023_00_1_EB.fcpx</v>
      </c>
      <c r="D358" s="8" t="str">
        <f>'Components Data Source'!D358</f>
        <v>Components\IO_Source\TCPIP_EB023-00-1_EB.fcfx</v>
      </c>
      <c r="E358" s="8" t="str">
        <f>'Components Data Source'!E358</f>
        <v>COMMSA</v>
      </c>
      <c r="F358" s="8" t="str">
        <f>'Components Data Source'!F358</f>
        <v>E-BLOCKS 1</v>
      </c>
      <c r="G358" s="8">
        <f>'Components Data Source'!G358</f>
        <v>0</v>
      </c>
      <c r="H358" s="8">
        <f>'Components Data Source'!H358</f>
        <v>0</v>
      </c>
      <c r="I358" s="8" t="str">
        <f>'Components Data Source'!I358</f>
        <v xml:space="preserve">I2C </v>
      </c>
      <c r="J358" s="8">
        <f>'Components Data Source'!J358</f>
        <v>1</v>
      </c>
      <c r="K358" s="8">
        <f>'Components Data Source'!K358</f>
        <v>1</v>
      </c>
      <c r="L358" s="8">
        <f>'Components Data Source'!L358</f>
        <v>0</v>
      </c>
      <c r="M358" s="8" t="s">
        <v>1727</v>
      </c>
      <c r="N358" s="17" t="str">
        <f>HYPERLINK('Components Data Source'!M358)</f>
        <v>https://www.flowcode.co.uk/wiki/index.php?title=Component:_ID_bb483909_20df_4e51_ac45_092ab4adf36a</v>
      </c>
      <c r="O358" s="8" t="s">
        <v>1721</v>
      </c>
      <c r="P358" s="8" t="s">
        <v>2774</v>
      </c>
      <c r="Q358" s="8" t="str">
        <f t="shared" si="12"/>
        <v/>
      </c>
      <c r="R358" s="8" t="s">
        <v>1721</v>
      </c>
      <c r="S358" s="8" t="s">
        <v>1721</v>
      </c>
      <c r="T358" s="8"/>
      <c r="U358" s="8"/>
      <c r="V358" s="8" t="s">
        <v>1009</v>
      </c>
      <c r="W358" s="8" t="s">
        <v>1175</v>
      </c>
      <c r="X358" s="8"/>
      <c r="Y358" s="8"/>
      <c r="Z358" s="18">
        <f t="shared" si="11"/>
        <v>0</v>
      </c>
      <c r="AA358" s="8"/>
      <c r="AB358" s="7"/>
      <c r="AC358" s="7"/>
      <c r="AD358" s="8" t="s">
        <v>1721</v>
      </c>
      <c r="AE358" s="8" t="s">
        <v>1727</v>
      </c>
      <c r="AF358" s="8" t="s">
        <v>2401</v>
      </c>
      <c r="AG358" s="8"/>
      <c r="AH358" s="47"/>
      <c r="AI358" s="47">
        <f>VLOOKUP(B358,'Components Usage'!A$2:C$603,3,FALSE)</f>
        <v>0</v>
      </c>
      <c r="AJ358" s="28" t="s">
        <v>2401</v>
      </c>
    </row>
    <row r="359" spans="1:36" hidden="1" x14ac:dyDescent="0.25">
      <c r="A359" s="16" t="str">
        <f>'Components Data Source'!A359</f>
        <v>TCP/IP(WIZ810MJ W5100)</v>
      </c>
      <c r="B359" s="8" t="str">
        <f>'Components Data Source'!B359</f>
        <v>D6DB973B-A543-4743-91B5-176F9C6613DF</v>
      </c>
      <c r="C359" s="8" t="str">
        <f>'Components Data Source'!C359</f>
        <v>TCP_IP_EB023_00_2.fcpx</v>
      </c>
      <c r="D359" s="8" t="str">
        <f>'Components Data Source'!D359</f>
        <v>Components\IO_Source\TCPIP_EB023-00-2.fcfx</v>
      </c>
      <c r="E359" s="8" t="str">
        <f>'Components Data Source'!E359</f>
        <v>COMMSA</v>
      </c>
      <c r="F359" s="8" t="str">
        <f>'Components Data Source'!F359</f>
        <v>COMMS: NETWORKING</v>
      </c>
      <c r="G359" s="8">
        <f>'Components Data Source'!G359</f>
        <v>0</v>
      </c>
      <c r="H359" s="8">
        <f>'Components Data Source'!H359</f>
        <v>0</v>
      </c>
      <c r="I359" s="8" t="str">
        <f>'Components Data Source'!I359</f>
        <v xml:space="preserve">SPI </v>
      </c>
      <c r="J359" s="8">
        <f>'Components Data Source'!J359</f>
        <v>1</v>
      </c>
      <c r="K359" s="8">
        <f>'Components Data Source'!K359</f>
        <v>1</v>
      </c>
      <c r="L359" s="8">
        <f>'Components Data Source'!L359</f>
        <v>0</v>
      </c>
      <c r="M359" s="8" t="s">
        <v>1727</v>
      </c>
      <c r="N359" s="17" t="str">
        <f>HYPERLINK('Components Data Source'!M359)</f>
        <v>https://www.flowcode.co.uk/wiki/index.php?title=Component:_ID_d6db973b_a543_4743_91b5_176f9c6613df</v>
      </c>
      <c r="O359" s="8" t="s">
        <v>1721</v>
      </c>
      <c r="P359" s="8"/>
      <c r="Q359" s="8" t="str">
        <f t="shared" si="12"/>
        <v/>
      </c>
      <c r="R359" s="1" t="s">
        <v>1721</v>
      </c>
      <c r="S359" s="1" t="s">
        <v>1721</v>
      </c>
      <c r="T359" s="1" t="s">
        <v>1721</v>
      </c>
      <c r="U359" s="1" t="s">
        <v>1721</v>
      </c>
      <c r="V359" s="1" t="s">
        <v>1009</v>
      </c>
      <c r="W359" s="1" t="s">
        <v>1180</v>
      </c>
      <c r="X359" s="1" t="s">
        <v>1721</v>
      </c>
      <c r="Y359" s="8" t="s">
        <v>1727</v>
      </c>
      <c r="Z359" s="18">
        <f t="shared" si="11"/>
        <v>0</v>
      </c>
      <c r="AA359" s="8" t="s">
        <v>1727</v>
      </c>
      <c r="AB359" s="7"/>
      <c r="AC359" s="7"/>
      <c r="AD359" s="8" t="s">
        <v>1721</v>
      </c>
      <c r="AE359" s="8" t="s">
        <v>1727</v>
      </c>
      <c r="AF359" s="8" t="s">
        <v>2401</v>
      </c>
      <c r="AG359" s="8"/>
      <c r="AH359" s="47"/>
      <c r="AI359" s="47">
        <f>VLOOKUP(B359,'Components Usage'!A$2:C$603,3,FALSE)</f>
        <v>6</v>
      </c>
      <c r="AJ359" s="28" t="s">
        <v>2401</v>
      </c>
    </row>
    <row r="360" spans="1:36" hidden="1" x14ac:dyDescent="0.25">
      <c r="A360" s="16" t="str">
        <f>'Components Data Source'!A360</f>
        <v>TCP/IP(EB023 v2)</v>
      </c>
      <c r="B360" s="8" t="str">
        <f>'Components Data Source'!B360</f>
        <v>35D02098-C871-49C0-B34D-A3F86D764886</v>
      </c>
      <c r="C360" s="8" t="str">
        <f>'Components Data Source'!C360</f>
        <v>TCP_IP_EB023_00_2_EB.fcpx</v>
      </c>
      <c r="D360" s="8" t="str">
        <f>'Components Data Source'!D360</f>
        <v>Components\IO_Source\TCPIP_EB023-00-2_EB.fcfx</v>
      </c>
      <c r="E360" s="8" t="str">
        <f>'Components Data Source'!E360</f>
        <v>COMMSA</v>
      </c>
      <c r="F360" s="8" t="str">
        <f>'Components Data Source'!F360</f>
        <v>E-BLOCKS 1</v>
      </c>
      <c r="G360" s="8">
        <f>'Components Data Source'!G360</f>
        <v>0</v>
      </c>
      <c r="H360" s="8">
        <f>'Components Data Source'!H360</f>
        <v>0</v>
      </c>
      <c r="I360" s="8" t="str">
        <f>'Components Data Source'!I360</f>
        <v xml:space="preserve">SPI </v>
      </c>
      <c r="J360" s="8">
        <f>'Components Data Source'!J360</f>
        <v>1</v>
      </c>
      <c r="K360" s="8">
        <f>'Components Data Source'!K360</f>
        <v>1</v>
      </c>
      <c r="L360" s="8">
        <f>'Components Data Source'!L360</f>
        <v>0</v>
      </c>
      <c r="M360" s="8" t="s">
        <v>1727</v>
      </c>
      <c r="N360" s="17" t="str">
        <f>HYPERLINK('Components Data Source'!M360)</f>
        <v>https://www.flowcode.co.uk/wiki/index.php?title=Component:_ID_35d02098_c871_49c0_b34d_a3f86d764886</v>
      </c>
      <c r="O360" s="8" t="s">
        <v>1721</v>
      </c>
      <c r="P360" s="8" t="s">
        <v>2774</v>
      </c>
      <c r="Q360" s="8" t="str">
        <f t="shared" si="12"/>
        <v/>
      </c>
      <c r="R360" s="8" t="s">
        <v>1721</v>
      </c>
      <c r="S360" s="8" t="s">
        <v>1721</v>
      </c>
      <c r="T360" s="8"/>
      <c r="U360" s="8"/>
      <c r="V360" s="8" t="s">
        <v>1009</v>
      </c>
      <c r="W360" s="8" t="s">
        <v>1180</v>
      </c>
      <c r="X360" s="8"/>
      <c r="Y360" s="8" t="s">
        <v>1727</v>
      </c>
      <c r="Z360" s="18">
        <f t="shared" si="11"/>
        <v>0</v>
      </c>
      <c r="AA360" s="8"/>
      <c r="AB360" s="7" t="s">
        <v>2501</v>
      </c>
      <c r="AC360" s="7"/>
      <c r="AD360" s="8" t="s">
        <v>1721</v>
      </c>
      <c r="AE360" s="8" t="s">
        <v>1727</v>
      </c>
      <c r="AF360" s="8" t="s">
        <v>2401</v>
      </c>
      <c r="AG360" s="8"/>
      <c r="AH360" s="47"/>
      <c r="AI360" s="47">
        <f>VLOOKUP(B360,'Components Usage'!A$2:C$603,3,FALSE)</f>
        <v>0</v>
      </c>
      <c r="AJ360" s="28" t="s">
        <v>2401</v>
      </c>
    </row>
    <row r="361" spans="1:36" hidden="1" x14ac:dyDescent="0.25">
      <c r="A361" s="16" t="str">
        <f>'Components Data Source'!A361</f>
        <v>TCP/IP(Raspberry Pi)</v>
      </c>
      <c r="B361" s="8" t="str">
        <f>'Components Data Source'!B361</f>
        <v>0341D84F-F7FD-473C-8076-B38B2D563E13</v>
      </c>
      <c r="C361" s="8" t="str">
        <f>'Components Data Source'!C361</f>
        <v>TCP_IP_RPI.fcpx</v>
      </c>
      <c r="D361" s="8" t="str">
        <f>'Components Data Source'!D361</f>
        <v>Components\IO_Source\TCPIP_RPI.fcfx</v>
      </c>
      <c r="E361" s="8" t="str">
        <f>'Components Data Source'!E361</f>
        <v>COMMSA</v>
      </c>
      <c r="F361" s="8" t="str">
        <f>'Components Data Source'!F361</f>
        <v>COMMS: NETWORKING</v>
      </c>
      <c r="G361" s="8">
        <f>'Components Data Source'!G361</f>
        <v>0</v>
      </c>
      <c r="H361" s="8">
        <f>'Components Data Source'!H361</f>
        <v>0</v>
      </c>
      <c r="I361" s="8">
        <f>'Components Data Source'!I361</f>
        <v>0</v>
      </c>
      <c r="J361" s="8">
        <f>'Components Data Source'!J361</f>
        <v>1</v>
      </c>
      <c r="K361" s="8">
        <f>'Components Data Source'!K361</f>
        <v>1</v>
      </c>
      <c r="L361" s="8">
        <f>'Components Data Source'!L361</f>
        <v>0</v>
      </c>
      <c r="M361" s="8" t="s">
        <v>1727</v>
      </c>
      <c r="N361" s="17" t="str">
        <f>HYPERLINK('Components Data Source'!M361)</f>
        <v>https://www.flowcode.co.uk/wiki/index.php?title=Component:_ID_0341d84f_f7fd_473c_8076_b38b2d563e13</v>
      </c>
      <c r="O361" s="8" t="s">
        <v>1721</v>
      </c>
      <c r="P361" s="8"/>
      <c r="Q361" s="8" t="str">
        <f t="shared" si="12"/>
        <v/>
      </c>
      <c r="R361" s="8" t="s">
        <v>1721</v>
      </c>
      <c r="S361" s="8" t="s">
        <v>1721</v>
      </c>
      <c r="T361" s="8" t="s">
        <v>1721</v>
      </c>
      <c r="U361" s="8" t="s">
        <v>1721</v>
      </c>
      <c r="V361" s="8" t="s">
        <v>1009</v>
      </c>
      <c r="W361" s="8" t="s">
        <v>1731</v>
      </c>
      <c r="X361" s="8" t="s">
        <v>1721</v>
      </c>
      <c r="Y361" s="8" t="s">
        <v>1721</v>
      </c>
      <c r="Z361" s="18">
        <f t="shared" si="11"/>
        <v>1</v>
      </c>
      <c r="AA361" s="8"/>
      <c r="AB361" s="7"/>
      <c r="AC361" s="7"/>
      <c r="AD361" s="8" t="s">
        <v>1721</v>
      </c>
      <c r="AE361" s="8" t="s">
        <v>1721</v>
      </c>
      <c r="AF361" s="8" t="s">
        <v>2401</v>
      </c>
      <c r="AG361" s="8"/>
      <c r="AH361" s="47"/>
      <c r="AI361" s="47">
        <f>VLOOKUP(B361,'Components Usage'!A$2:C$603,3,FALSE)</f>
        <v>11</v>
      </c>
      <c r="AJ361" s="28" t="s">
        <v>2401</v>
      </c>
    </row>
    <row r="362" spans="1:36" hidden="1" x14ac:dyDescent="0.25">
      <c r="A362" s="16" t="str">
        <f>'Components Data Source'!A362</f>
        <v>TCP/IP(W5500)</v>
      </c>
      <c r="B362" s="8" t="str">
        <f>'Components Data Source'!B362</f>
        <v>E18E39D3-2E05-4A15-B8AA-E8ADA16CD3EF</v>
      </c>
      <c r="C362" s="8" t="str">
        <f>'Components Data Source'!C362</f>
        <v>TCP_IP_W5500.fcpx</v>
      </c>
      <c r="D362" s="8" t="str">
        <f>'Components Data Source'!D362</f>
        <v>Components\IO_Source\TCPIP_W5500.fcfx</v>
      </c>
      <c r="E362" s="8" t="str">
        <f>'Components Data Source'!E362</f>
        <v>COMMSC</v>
      </c>
      <c r="F362" s="8" t="str">
        <f>'Components Data Source'!F362</f>
        <v>COMMS: NETWORKING</v>
      </c>
      <c r="G362" s="8">
        <f>'Components Data Source'!G362</f>
        <v>0</v>
      </c>
      <c r="H362" s="8">
        <f>'Components Data Source'!H362</f>
        <v>0</v>
      </c>
      <c r="I362" s="8" t="str">
        <f>'Components Data Source'!I362</f>
        <v xml:space="preserve">SPI </v>
      </c>
      <c r="J362" s="8">
        <f>'Components Data Source'!J362</f>
        <v>1</v>
      </c>
      <c r="K362" s="8">
        <f>'Components Data Source'!K362</f>
        <v>1</v>
      </c>
      <c r="L362" s="8">
        <f>'Components Data Source'!L362</f>
        <v>0</v>
      </c>
      <c r="M362" s="8" t="s">
        <v>1727</v>
      </c>
      <c r="N362" s="17" t="str">
        <f>HYPERLINK('Components Data Source'!M362)</f>
        <v>https://www.flowcode.co.uk/wiki/index.php?title=Component:_ID_e18e39d3_2e05_4a15_b8aa_e8ada16cd3ef</v>
      </c>
      <c r="O362" s="8" t="s">
        <v>1721</v>
      </c>
      <c r="P362" s="8"/>
      <c r="Q362" s="8" t="str">
        <f t="shared" si="12"/>
        <v/>
      </c>
      <c r="R362" s="8" t="s">
        <v>1721</v>
      </c>
      <c r="S362" s="8" t="s">
        <v>1721</v>
      </c>
      <c r="T362" s="8" t="s">
        <v>1721</v>
      </c>
      <c r="U362" s="8" t="s">
        <v>1721</v>
      </c>
      <c r="V362" s="8" t="s">
        <v>1009</v>
      </c>
      <c r="W362" s="8" t="s">
        <v>1180</v>
      </c>
      <c r="X362" s="8" t="s">
        <v>1721</v>
      </c>
      <c r="Y362" s="8" t="s">
        <v>1721</v>
      </c>
      <c r="Z362" s="18">
        <f t="shared" si="11"/>
        <v>1</v>
      </c>
      <c r="AA362" s="8"/>
      <c r="AB362" s="7" t="s">
        <v>2501</v>
      </c>
      <c r="AC362" s="7"/>
      <c r="AD362" s="8" t="s">
        <v>1721</v>
      </c>
      <c r="AE362" s="8" t="s">
        <v>1721</v>
      </c>
      <c r="AF362" s="8" t="s">
        <v>2401</v>
      </c>
      <c r="AG362" s="8"/>
      <c r="AH362" s="47"/>
      <c r="AI362" s="47">
        <f>VLOOKUP(B362,'Components Usage'!A$2:C$603,3,FALSE)</f>
        <v>15</v>
      </c>
      <c r="AJ362" s="28" t="s">
        <v>2401</v>
      </c>
    </row>
    <row r="363" spans="1:36" ht="30" hidden="1" x14ac:dyDescent="0.25">
      <c r="A363" s="16" t="str">
        <f>'Components Data Source'!A363</f>
        <v>TTI TG5011 Signal Generator(TG5011)</v>
      </c>
      <c r="B363" s="8" t="str">
        <f>'Components Data Source'!B363</f>
        <v>3C01CAAA-B732-49A0-B15E-7C9D98878B19</v>
      </c>
      <c r="C363" s="8" t="str">
        <f>'Components Data Source'!C363</f>
        <v>TG5011SigGen.fcpx</v>
      </c>
      <c r="D363" s="8" t="str">
        <f>'Components Data Source'!D363</f>
        <v>Components\IO_Source\TTITG5011.fcsx</v>
      </c>
      <c r="E363" s="8" t="str">
        <f>'Components Data Source'!E363</f>
        <v>COMMSC</v>
      </c>
      <c r="F363" s="8" t="str">
        <f>'Components Data Source'!F363</f>
        <v>TEST EQUIPMENT</v>
      </c>
      <c r="G363" s="8">
        <f>'Components Data Source'!G363</f>
        <v>0</v>
      </c>
      <c r="H363" s="8">
        <f>'Components Data Source'!H363</f>
        <v>0</v>
      </c>
      <c r="I363" s="8">
        <f>'Components Data Source'!I363</f>
        <v>0</v>
      </c>
      <c r="J363" s="8">
        <f>'Components Data Source'!J363</f>
        <v>1</v>
      </c>
      <c r="K363" s="8">
        <f>'Components Data Source'!K363</f>
        <v>0</v>
      </c>
      <c r="L363" s="8">
        <f>'Components Data Source'!L363</f>
        <v>1</v>
      </c>
      <c r="M363" s="8" t="s">
        <v>1727</v>
      </c>
      <c r="N363" s="17" t="str">
        <f>HYPERLINK('Components Data Source'!M363)</f>
        <v>https://www.flowcode.co.uk/wiki/index.php?title=Component:_ID_3c01caaa_b732_49a0_b15e_7c9d98878b19</v>
      </c>
      <c r="O363" s="8" t="s">
        <v>1721</v>
      </c>
      <c r="P363" s="8"/>
      <c r="Q363" s="8">
        <f t="shared" si="12"/>
        <v>1</v>
      </c>
      <c r="R363" s="1" t="s">
        <v>1721</v>
      </c>
      <c r="S363" s="1" t="s">
        <v>1721</v>
      </c>
      <c r="T363" s="1" t="s">
        <v>1721</v>
      </c>
      <c r="U363" s="1" t="s">
        <v>1721</v>
      </c>
      <c r="V363" s="1" t="s">
        <v>1731</v>
      </c>
      <c r="W363" s="1" t="s">
        <v>1731</v>
      </c>
      <c r="X363" s="1" t="s">
        <v>1721</v>
      </c>
      <c r="Y363" s="8" t="s">
        <v>1721</v>
      </c>
      <c r="Z363" s="18">
        <f t="shared" si="11"/>
        <v>1</v>
      </c>
      <c r="AA363" s="8"/>
      <c r="AB363" s="6" t="s">
        <v>2459</v>
      </c>
      <c r="AC363" s="7"/>
      <c r="AD363" s="8" t="s">
        <v>1721</v>
      </c>
      <c r="AE363" s="8" t="s">
        <v>1727</v>
      </c>
      <c r="AF363" s="8" t="s">
        <v>2401</v>
      </c>
      <c r="AG363" s="8"/>
      <c r="AH363" s="47"/>
      <c r="AI363" s="47">
        <f>VLOOKUP(B363,'Components Usage'!A$2:C$603,3,FALSE)</f>
        <v>0</v>
      </c>
      <c r="AJ363" s="28" t="s">
        <v>2401</v>
      </c>
    </row>
    <row r="364" spans="1:36" hidden="1" x14ac:dyDescent="0.25">
      <c r="A364" s="16" t="str">
        <f>'Components Data Source'!A364</f>
        <v>7Segment(Quad TM1637)</v>
      </c>
      <c r="B364" s="8" t="str">
        <f>'Components Data Source'!B364</f>
        <v>E2C3165D-8020-4E52-BC7E-7022FF459129</v>
      </c>
      <c r="C364" s="8" t="str">
        <f>'Components Data Source'!C364</f>
        <v>TM1637_Display.fcpx</v>
      </c>
      <c r="D364" s="8" t="str">
        <f>'Components Data Source'!D364</f>
        <v>Components\IO_Source\outputs\TM1637_7SEG_Quad_Driver.fcfx</v>
      </c>
      <c r="E364" s="8" t="str">
        <f>'Components Data Source'!E364</f>
        <v>BASICIO</v>
      </c>
      <c r="F364" s="8" t="str">
        <f>'Components Data Source'!F364</f>
        <v>SEGMENT</v>
      </c>
      <c r="G364" s="8">
        <f>'Components Data Source'!G364</f>
        <v>0</v>
      </c>
      <c r="H364" s="8">
        <f>'Components Data Source'!H364</f>
        <v>0</v>
      </c>
      <c r="I364" s="8">
        <f>'Components Data Source'!I364</f>
        <v>0</v>
      </c>
      <c r="J364" s="8">
        <f>'Components Data Source'!J364</f>
        <v>1</v>
      </c>
      <c r="K364" s="8">
        <f>'Components Data Source'!K364</f>
        <v>1</v>
      </c>
      <c r="L364" s="8">
        <f>'Components Data Source'!L364</f>
        <v>0</v>
      </c>
      <c r="M364" s="8" t="s">
        <v>1727</v>
      </c>
      <c r="N364" s="17" t="str">
        <f>HYPERLINK('Components Data Source'!M364)</f>
        <v>https://www.flowcode.co.uk/wiki/index.php?title=Component:_ID_e2c3165d_8020_4e52_bc7e_7022ff459129</v>
      </c>
      <c r="O364" s="8" t="s">
        <v>1721</v>
      </c>
      <c r="P364" s="8"/>
      <c r="Q364" s="8" t="str">
        <f t="shared" si="12"/>
        <v/>
      </c>
      <c r="R364" s="8" t="s">
        <v>1727</v>
      </c>
      <c r="S364" s="8"/>
      <c r="T364" s="8"/>
      <c r="U364" s="8"/>
      <c r="V364" s="8" t="s">
        <v>1730</v>
      </c>
      <c r="W364" s="8" t="s">
        <v>1730</v>
      </c>
      <c r="X364" s="8"/>
      <c r="Y364" s="8"/>
      <c r="Z364" s="18">
        <f t="shared" si="11"/>
        <v>2</v>
      </c>
      <c r="AA364" s="8"/>
      <c r="AB364" s="7"/>
      <c r="AC364" s="7"/>
      <c r="AD364" s="8" t="s">
        <v>1721</v>
      </c>
      <c r="AE364" s="8" t="s">
        <v>1727</v>
      </c>
      <c r="AF364" s="8" t="s">
        <v>1727</v>
      </c>
      <c r="AG364" s="8"/>
      <c r="AH364" s="47"/>
      <c r="AI364" s="47">
        <f>VLOOKUP(B364,'Components Usage'!A$2:C$603,3,FALSE)</f>
        <v>8</v>
      </c>
      <c r="AJ364" s="28" t="s">
        <v>2401</v>
      </c>
    </row>
    <row r="365" spans="1:36" hidden="1" x14ac:dyDescent="0.25">
      <c r="A365" s="16" t="str">
        <f>'Components Data Source'!A365</f>
        <v>7Segment(Hex TM1637)</v>
      </c>
      <c r="B365" s="8" t="str">
        <f>'Components Data Source'!B365</f>
        <v>4DE4697E-2DE3-432E-A0FE-97EF8C79DFC0</v>
      </c>
      <c r="C365" s="8" t="str">
        <f>'Components Data Source'!C365</f>
        <v>TM1637_HexDisplay.fcpx</v>
      </c>
      <c r="D365" s="8" t="str">
        <f>'Components Data Source'!D365</f>
        <v>Components\IO_Source\outputs\TM1637_7SEG_Hex_Driver.fcfx</v>
      </c>
      <c r="E365" s="8" t="str">
        <f>'Components Data Source'!E365</f>
        <v>BASICIO</v>
      </c>
      <c r="F365" s="8" t="str">
        <f>'Components Data Source'!F365</f>
        <v>SEGMENT</v>
      </c>
      <c r="G365" s="8">
        <f>'Components Data Source'!G365</f>
        <v>0</v>
      </c>
      <c r="H365" s="8">
        <f>'Components Data Source'!H365</f>
        <v>0</v>
      </c>
      <c r="I365" s="8">
        <f>'Components Data Source'!I365</f>
        <v>0</v>
      </c>
      <c r="J365" s="8">
        <f>'Components Data Source'!J365</f>
        <v>1</v>
      </c>
      <c r="K365" s="8">
        <f>'Components Data Source'!K365</f>
        <v>1</v>
      </c>
      <c r="L365" s="8">
        <f>'Components Data Source'!L365</f>
        <v>0</v>
      </c>
      <c r="M365" s="8" t="s">
        <v>1727</v>
      </c>
      <c r="N365" s="17" t="str">
        <f>HYPERLINK('Components Data Source'!M365)</f>
        <v>https://www.flowcode.co.uk/wiki/index.php?title=Component:_ID_4de4697e_2de3_432e_a0fe_97ef8c79dfc0</v>
      </c>
      <c r="O365" s="8" t="s">
        <v>1721</v>
      </c>
      <c r="P365" s="8"/>
      <c r="Q365" s="8" t="str">
        <f t="shared" si="12"/>
        <v/>
      </c>
      <c r="R365" s="8" t="s">
        <v>1727</v>
      </c>
      <c r="S365" s="8"/>
      <c r="T365" s="8"/>
      <c r="U365" s="8"/>
      <c r="V365" s="8" t="s">
        <v>1730</v>
      </c>
      <c r="W365" s="8" t="s">
        <v>1730</v>
      </c>
      <c r="X365" s="8"/>
      <c r="Y365" s="8"/>
      <c r="Z365" s="18">
        <f t="shared" si="11"/>
        <v>2</v>
      </c>
      <c r="AA365" s="8"/>
      <c r="AB365" s="7"/>
      <c r="AC365" s="7"/>
      <c r="AD365" s="8" t="s">
        <v>1721</v>
      </c>
      <c r="AE365" s="8" t="s">
        <v>1727</v>
      </c>
      <c r="AF365" s="8" t="s">
        <v>1727</v>
      </c>
      <c r="AG365" s="8"/>
      <c r="AH365" s="47"/>
      <c r="AI365" s="47">
        <f>VLOOKUP(B365,'Components Usage'!A$2:C$603,3,FALSE)</f>
        <v>0</v>
      </c>
      <c r="AJ365" s="28" t="s">
        <v>2401</v>
      </c>
    </row>
    <row r="366" spans="1:36" ht="30" hidden="1" x14ac:dyDescent="0.25">
      <c r="A366" s="16" t="str">
        <f>'Components Data Source'!A366</f>
        <v>TTI Power Supply - PL155-P(TTI PL155-P PSU)</v>
      </c>
      <c r="B366" s="8" t="str">
        <f>'Components Data Source'!B366</f>
        <v>8C08BF29-BE7E-4408-92BC-91C476FB70DB</v>
      </c>
      <c r="C366" s="8" t="str">
        <f>'Components Data Source'!C366</f>
        <v>TTIPL155PPSU.fcpx</v>
      </c>
      <c r="D366" s="8" t="str">
        <f>'Components Data Source'!D366</f>
        <v>Components\IO_Source\TTIPL155PPSU.fcsx</v>
      </c>
      <c r="E366" s="8" t="str">
        <f>'Components Data Source'!E366</f>
        <v>COMMSC</v>
      </c>
      <c r="F366" s="8" t="str">
        <f>'Components Data Source'!F366</f>
        <v>TEST EQUIPMENT</v>
      </c>
      <c r="G366" s="8">
        <f>'Components Data Source'!G366</f>
        <v>0</v>
      </c>
      <c r="H366" s="8">
        <f>'Components Data Source'!H366</f>
        <v>0</v>
      </c>
      <c r="I366" s="8">
        <f>'Components Data Source'!I366</f>
        <v>0</v>
      </c>
      <c r="J366" s="8">
        <f>'Components Data Source'!J366</f>
        <v>1</v>
      </c>
      <c r="K366" s="8">
        <f>'Components Data Source'!K366</f>
        <v>0</v>
      </c>
      <c r="L366" s="8">
        <f>'Components Data Source'!L366</f>
        <v>1</v>
      </c>
      <c r="M366" s="8" t="s">
        <v>1727</v>
      </c>
      <c r="N366" s="17" t="str">
        <f>HYPERLINK('Components Data Source'!M366)</f>
        <v>https://www.flowcode.co.uk/wiki/index.php?title=Component:_ID_8c08bf29_be7e_4408_92bc_91c476fb70db</v>
      </c>
      <c r="O366" s="8" t="s">
        <v>1721</v>
      </c>
      <c r="P366" s="8" t="s">
        <v>2774</v>
      </c>
      <c r="Q366" s="8">
        <f t="shared" si="12"/>
        <v>1</v>
      </c>
      <c r="R366" s="1" t="s">
        <v>1721</v>
      </c>
      <c r="S366" s="1" t="s">
        <v>1721</v>
      </c>
      <c r="T366" s="1" t="s">
        <v>1721</v>
      </c>
      <c r="U366" s="1" t="s">
        <v>1721</v>
      </c>
      <c r="V366" s="1" t="s">
        <v>1731</v>
      </c>
      <c r="W366" s="1" t="s">
        <v>1731</v>
      </c>
      <c r="X366" s="1" t="s">
        <v>1721</v>
      </c>
      <c r="Y366" s="8" t="s">
        <v>1727</v>
      </c>
      <c r="Z366" s="18">
        <f t="shared" si="11"/>
        <v>0</v>
      </c>
      <c r="AA366" s="8" t="s">
        <v>1721</v>
      </c>
      <c r="AB366" s="6" t="s">
        <v>2502</v>
      </c>
      <c r="AC366" s="7"/>
      <c r="AD366" s="8" t="s">
        <v>1721</v>
      </c>
      <c r="AE366" s="8" t="s">
        <v>1727</v>
      </c>
      <c r="AF366" s="8" t="s">
        <v>2401</v>
      </c>
      <c r="AG366" s="8"/>
      <c r="AH366" s="47"/>
      <c r="AI366" s="47">
        <f>VLOOKUP(B366,'Components Usage'!A$2:C$603,3,FALSE)</f>
        <v>0</v>
      </c>
      <c r="AJ366" s="28" t="s">
        <v>2401</v>
      </c>
    </row>
    <row r="367" spans="1:36" x14ac:dyDescent="0.25">
      <c r="A367" s="16" t="str">
        <f>'Components Data Source'!A367</f>
        <v>Ternary Chart</v>
      </c>
      <c r="B367" s="8" t="str">
        <f>'Components Data Source'!B367</f>
        <v>387B4D2C-FC0F-44C0-A2AD-5FA05ED7DB82</v>
      </c>
      <c r="C367" s="8" t="str">
        <f>'Components Data Source'!C367</f>
        <v>TernaryChart.fcpx</v>
      </c>
      <c r="D367" s="8" t="str">
        <f>'Components Data Source'!D367</f>
        <v>Components\IO_Source\2dGDI\ChartTernary.fcfx</v>
      </c>
      <c r="E367" s="8" t="str">
        <f>'Components Data Source'!E367</f>
        <v>FREE</v>
      </c>
      <c r="F367" s="8" t="str">
        <f>'Components Data Source'!F367</f>
        <v>CHARTS</v>
      </c>
      <c r="G367" s="8" t="str">
        <f>'Components Data Source'!G367</f>
        <v xml:space="preserve">CHARTS </v>
      </c>
      <c r="H367" s="8">
        <f>'Components Data Source'!H367</f>
        <v>0</v>
      </c>
      <c r="I367" s="8">
        <f>'Components Data Source'!I367</f>
        <v>0</v>
      </c>
      <c r="J367" s="8">
        <f>'Components Data Source'!J367</f>
        <v>1</v>
      </c>
      <c r="K367" s="8">
        <f>'Components Data Source'!K367</f>
        <v>1</v>
      </c>
      <c r="L367" s="8">
        <f>'Components Data Source'!L367</f>
        <v>1</v>
      </c>
      <c r="M367" s="8" t="s">
        <v>1727</v>
      </c>
      <c r="N367" s="17" t="str">
        <f>HYPERLINK('Components Data Source'!M367)</f>
        <v>https://www.flowcode.co.uk/wiki/index.php?title=Component:_ID_387b4d2c_fc0f_44c0_a2ad_5fa05ed7db82</v>
      </c>
      <c r="O367" s="8" t="s">
        <v>1721</v>
      </c>
      <c r="P367" s="8"/>
      <c r="Q367" s="8" t="str">
        <f t="shared" si="12"/>
        <v/>
      </c>
      <c r="R367" s="8" t="s">
        <v>1727</v>
      </c>
      <c r="S367" s="8" t="s">
        <v>1721</v>
      </c>
      <c r="T367" s="8"/>
      <c r="U367" s="8"/>
      <c r="V367" s="8" t="s">
        <v>1730</v>
      </c>
      <c r="W367" s="8" t="s">
        <v>1730</v>
      </c>
      <c r="X367" s="8"/>
      <c r="Y367" s="8"/>
      <c r="Z367" s="18">
        <f t="shared" si="11"/>
        <v>2</v>
      </c>
      <c r="AA367" s="8"/>
      <c r="AB367" s="7"/>
      <c r="AC367" s="7"/>
      <c r="AD367" s="8" t="s">
        <v>1727</v>
      </c>
      <c r="AE367" s="8"/>
      <c r="AF367" s="8"/>
      <c r="AG367" s="8"/>
      <c r="AH367" s="47"/>
      <c r="AI367" s="47">
        <f>VLOOKUP(B367,'Components Usage'!A$2:C$603,3,FALSE)</f>
        <v>0</v>
      </c>
      <c r="AJ367" s="28"/>
    </row>
    <row r="368" spans="1:36" x14ac:dyDescent="0.25">
      <c r="A368" s="16" t="str">
        <f>'Components Data Source'!A368</f>
        <v>GLCD Textfield</v>
      </c>
      <c r="B368" s="8" t="str">
        <f>'Components Data Source'!B368</f>
        <v>9E0FA7E4-0C8C-485D-98C4-6F0EF8E57D40</v>
      </c>
      <c r="C368" s="8" t="str">
        <f>'Components Data Source'!C368</f>
        <v>TextField.fcpx</v>
      </c>
      <c r="D368" s="8" t="str">
        <f>'Components Data Source'!D368</f>
        <v>Components\IO_Source\displays\GLCD_Textfield.fcfx</v>
      </c>
      <c r="E368" s="8" t="str">
        <f>'Components Data Source'!E368</f>
        <v>FREE</v>
      </c>
      <c r="F368" s="8" t="str">
        <f>'Components Data Source'!F368</f>
        <v>GRAPHICAL LIBRARY</v>
      </c>
      <c r="G368" s="8">
        <f>'Components Data Source'!G368</f>
        <v>0</v>
      </c>
      <c r="H368" s="8">
        <f>'Components Data Source'!H368</f>
        <v>0</v>
      </c>
      <c r="I368" s="8">
        <f>'Components Data Source'!I368</f>
        <v>0</v>
      </c>
      <c r="J368" s="8">
        <f>'Components Data Source'!J368</f>
        <v>1</v>
      </c>
      <c r="K368" s="8">
        <f>'Components Data Source'!K368</f>
        <v>1</v>
      </c>
      <c r="L368" s="8">
        <f>'Components Data Source'!L368</f>
        <v>1</v>
      </c>
      <c r="M368" s="8" t="s">
        <v>1727</v>
      </c>
      <c r="N368" s="17" t="str">
        <f>HYPERLINK('Components Data Source'!M368)</f>
        <v>https://www.flowcode.co.uk/wiki/index.php?title=Component:_ID_9e0fa7e4_0c8c_485d_98c4_6f0ef8e57d40</v>
      </c>
      <c r="O368" s="8" t="s">
        <v>1721</v>
      </c>
      <c r="P368" s="8"/>
      <c r="Q368" s="8" t="str">
        <f t="shared" si="12"/>
        <v/>
      </c>
      <c r="R368" s="8" t="s">
        <v>1721</v>
      </c>
      <c r="S368" s="8" t="s">
        <v>1721</v>
      </c>
      <c r="T368" s="8" t="s">
        <v>1727</v>
      </c>
      <c r="U368" s="8" t="s">
        <v>1727</v>
      </c>
      <c r="V368" s="8" t="s">
        <v>1731</v>
      </c>
      <c r="W368" s="8" t="s">
        <v>1261</v>
      </c>
      <c r="X368" s="8" t="s">
        <v>1721</v>
      </c>
      <c r="Y368" s="8" t="s">
        <v>1721</v>
      </c>
      <c r="Z368" s="18">
        <f t="shared" si="11"/>
        <v>1</v>
      </c>
      <c r="AA368" s="8"/>
      <c r="AB368" s="7" t="s">
        <v>2576</v>
      </c>
      <c r="AC368" s="7"/>
      <c r="AD368" s="8" t="s">
        <v>1721</v>
      </c>
      <c r="AE368" s="8" t="s">
        <v>1721</v>
      </c>
      <c r="AF368" s="8" t="s">
        <v>2401</v>
      </c>
      <c r="AG368" s="8"/>
      <c r="AH368" s="47"/>
      <c r="AI368" s="47">
        <f>VLOOKUP(B368,'Components Usage'!A$2:C$603,3,FALSE)</f>
        <v>9</v>
      </c>
      <c r="AJ368" s="28" t="s">
        <v>2401</v>
      </c>
    </row>
    <row r="369" spans="1:36" hidden="1" x14ac:dyDescent="0.25">
      <c r="A369" s="16" t="str">
        <f>'Components Data Source'!A369</f>
        <v>Thermistor</v>
      </c>
      <c r="B369" s="8" t="str">
        <f>'Components Data Source'!B369</f>
        <v>93AB1895-66CF-4FD8-A04F-79F09ACC19E6</v>
      </c>
      <c r="C369" s="8" t="str">
        <f>'Components Data Source'!C369</f>
        <v>Thermistor.fcpx</v>
      </c>
      <c r="D369" s="8" t="str">
        <f>'Components Data Source'!D369</f>
        <v>Components\IO_Source\Sensors\Thermistor.fcfx</v>
      </c>
      <c r="E369" s="8" t="str">
        <f>'Components Data Source'!E369</f>
        <v>SENSORS</v>
      </c>
      <c r="F369" s="8" t="str">
        <f>'Components Data Source'!F369</f>
        <v>ENVIRONMENTAL</v>
      </c>
      <c r="G369" s="8">
        <f>'Components Data Source'!G369</f>
        <v>0</v>
      </c>
      <c r="H369" s="8">
        <f>'Components Data Source'!H369</f>
        <v>0</v>
      </c>
      <c r="I369" s="8">
        <f>'Components Data Source'!I369</f>
        <v>0</v>
      </c>
      <c r="J369" s="8">
        <f>'Components Data Source'!J369</f>
        <v>1</v>
      </c>
      <c r="K369" s="8">
        <f>'Components Data Source'!K369</f>
        <v>1</v>
      </c>
      <c r="L369" s="8">
        <f>'Components Data Source'!L369</f>
        <v>0</v>
      </c>
      <c r="M369" s="8" t="s">
        <v>1727</v>
      </c>
      <c r="N369" s="17" t="str">
        <f>HYPERLINK('Components Data Source'!M369)</f>
        <v>https://www.flowcode.co.uk/wiki/index.php?title=Component:_ID_93ab1895_66cf_4fd8_a04f_79f09acc19e6</v>
      </c>
      <c r="O369" s="8" t="s">
        <v>1721</v>
      </c>
      <c r="P369" s="8"/>
      <c r="Q369" s="8" t="str">
        <f t="shared" si="12"/>
        <v/>
      </c>
      <c r="R369" s="8" t="s">
        <v>1721</v>
      </c>
      <c r="S369" s="8" t="s">
        <v>1721</v>
      </c>
      <c r="T369" s="8" t="s">
        <v>1727</v>
      </c>
      <c r="U369" s="8" t="s">
        <v>1727</v>
      </c>
      <c r="V369" s="8" t="s">
        <v>1731</v>
      </c>
      <c r="W369" s="8" t="s">
        <v>1731</v>
      </c>
      <c r="X369" s="8" t="s">
        <v>1721</v>
      </c>
      <c r="Y369" s="8" t="s">
        <v>1721</v>
      </c>
      <c r="Z369" s="18">
        <f t="shared" si="11"/>
        <v>1</v>
      </c>
      <c r="AA369" s="8"/>
      <c r="AB369" s="7" t="s">
        <v>2579</v>
      </c>
      <c r="AC369" s="7"/>
      <c r="AD369" s="8" t="s">
        <v>1721</v>
      </c>
      <c r="AE369" s="8" t="s">
        <v>1727</v>
      </c>
      <c r="AF369" s="8" t="s">
        <v>1727</v>
      </c>
      <c r="AG369" s="8"/>
      <c r="AH369" s="47"/>
      <c r="AI369" s="47">
        <f>VLOOKUP(B369,'Components Usage'!A$2:C$603,3,FALSE)</f>
        <v>13</v>
      </c>
      <c r="AJ369" s="28" t="s">
        <v>2401</v>
      </c>
    </row>
    <row r="370" spans="1:36" hidden="1" x14ac:dyDescent="0.25">
      <c r="A370" s="16" t="str">
        <f>'Components Data Source'!A370</f>
        <v>Thermistor Template</v>
      </c>
      <c r="B370" s="8" t="str">
        <f>'Components Data Source'!B370</f>
        <v>BD7D5205-C2EB-48B1-8A37-F967F349965F</v>
      </c>
      <c r="C370" s="8" t="str">
        <f>'Components Data Source'!C370</f>
        <v>Thermistor_base.fcpx</v>
      </c>
      <c r="D370" s="8" t="str">
        <f>'Components Data Source'!D370</f>
        <v>Components\IO_Source\Sensors\Thermistor_base.fcfx</v>
      </c>
      <c r="E370" s="8" t="str">
        <f>'Components Data Source'!E370</f>
        <v>SENSORS</v>
      </c>
      <c r="F370" s="8" t="str">
        <f>'Components Data Source'!F370</f>
        <v>SENSORS</v>
      </c>
      <c r="G370" s="8">
        <f>'Components Data Source'!G370</f>
        <v>0</v>
      </c>
      <c r="H370" s="8">
        <f>'Components Data Source'!H370</f>
        <v>0</v>
      </c>
      <c r="I370" s="8">
        <f>'Components Data Source'!I370</f>
        <v>0</v>
      </c>
      <c r="J370" s="8">
        <f>'Components Data Source'!J370</f>
        <v>1</v>
      </c>
      <c r="K370" s="8">
        <f>'Components Data Source'!K370</f>
        <v>0</v>
      </c>
      <c r="L370" s="8">
        <f>'Components Data Source'!L370</f>
        <v>0</v>
      </c>
      <c r="M370" s="8" t="s">
        <v>1727</v>
      </c>
      <c r="N370" s="17" t="str">
        <f>HYPERLINK('Components Data Source'!M370)</f>
        <v>https://www.flowcode.co.uk/wiki/index.php?title=Component:_ID_bd7d5205_c2eb_48b1_8a37_f967f349965f</v>
      </c>
      <c r="O370" s="8" t="s">
        <v>1721</v>
      </c>
      <c r="P370" s="8"/>
      <c r="Q370" s="8" t="str">
        <f t="shared" si="12"/>
        <v/>
      </c>
      <c r="R370" s="8" t="s">
        <v>1727</v>
      </c>
      <c r="S370" s="8" t="s">
        <v>2483</v>
      </c>
      <c r="T370" s="8"/>
      <c r="U370" s="8"/>
      <c r="V370" s="8" t="s">
        <v>1730</v>
      </c>
      <c r="W370" s="8" t="s">
        <v>1730</v>
      </c>
      <c r="X370" s="8"/>
      <c r="Y370" s="8"/>
      <c r="Z370" s="18">
        <f t="shared" si="11"/>
        <v>2</v>
      </c>
      <c r="AA370" s="8"/>
      <c r="AB370" s="7"/>
      <c r="AC370" s="7"/>
      <c r="AD370" s="8" t="s">
        <v>1721</v>
      </c>
      <c r="AE370" s="8" t="s">
        <v>1721</v>
      </c>
      <c r="AF370" s="8" t="s">
        <v>2401</v>
      </c>
      <c r="AG370" s="8"/>
      <c r="AH370" s="47"/>
      <c r="AI370" s="47">
        <f>VLOOKUP(B370,'Components Usage'!A$2:C$603,3,FALSE)</f>
        <v>0</v>
      </c>
      <c r="AJ370" s="28" t="s">
        <v>2401</v>
      </c>
    </row>
    <row r="371" spans="1:36" x14ac:dyDescent="0.25">
      <c r="A371" s="16" t="str">
        <f>'Components Data Source'!A371</f>
        <v>Time Stamp</v>
      </c>
      <c r="B371" s="8" t="str">
        <f>'Components Data Source'!B371</f>
        <v>A96DDF9D-631D-4DB7-A66E-C709E2DE7164</v>
      </c>
      <c r="C371" s="8" t="str">
        <f>'Components Data Source'!C371</f>
        <v>TimeStamp.fcpx</v>
      </c>
      <c r="D371" s="8" t="str">
        <f>'Components Data Source'!D371</f>
        <v>Components\IO_Source\TimeStamp.fcfx</v>
      </c>
      <c r="E371" s="8" t="str">
        <f>'Components Data Source'!E371</f>
        <v>FREE</v>
      </c>
      <c r="F371" s="8" t="str">
        <f>'Components Data Source'!F371</f>
        <v>RUNTIME TOOLS</v>
      </c>
      <c r="G371" s="8" t="str">
        <f>'Components Data Source'!G371</f>
        <v xml:space="preserve">STORAGE </v>
      </c>
      <c r="H371" s="8">
        <f>'Components Data Source'!H371</f>
        <v>0</v>
      </c>
      <c r="I371" s="8">
        <f>'Components Data Source'!I371</f>
        <v>0</v>
      </c>
      <c r="J371" s="8">
        <f>'Components Data Source'!J371</f>
        <v>1</v>
      </c>
      <c r="K371" s="8">
        <f>'Components Data Source'!K371</f>
        <v>1</v>
      </c>
      <c r="L371" s="8">
        <f>'Components Data Source'!L371</f>
        <v>1</v>
      </c>
      <c r="M371" s="8" t="s">
        <v>1727</v>
      </c>
      <c r="N371" s="17" t="str">
        <f>HYPERLINK('Components Data Source'!M371)</f>
        <v>https://www.flowcode.co.uk/wiki/index.php?title=Component:_ID_a96ddf9d_631d_4db7_a66e_c709e2de7164</v>
      </c>
      <c r="O371" s="8" t="s">
        <v>1721</v>
      </c>
      <c r="P371" s="8"/>
      <c r="Q371" s="8" t="str">
        <f t="shared" si="12"/>
        <v/>
      </c>
      <c r="R371" s="1" t="s">
        <v>1721</v>
      </c>
      <c r="S371" s="1" t="s">
        <v>1721</v>
      </c>
      <c r="T371" s="1" t="s">
        <v>1727</v>
      </c>
      <c r="U371" s="1" t="s">
        <v>1721</v>
      </c>
      <c r="V371" s="1" t="s">
        <v>1731</v>
      </c>
      <c r="W371" s="1" t="s">
        <v>1731</v>
      </c>
      <c r="X371" s="1" t="s">
        <v>1721</v>
      </c>
      <c r="Y371" s="8" t="s">
        <v>1721</v>
      </c>
      <c r="Z371" s="18">
        <f t="shared" si="11"/>
        <v>1</v>
      </c>
      <c r="AA371" s="8"/>
      <c r="AB371" s="7"/>
      <c r="AC371" s="7"/>
      <c r="AD371" s="8" t="s">
        <v>1721</v>
      </c>
      <c r="AE371" s="8" t="s">
        <v>1727</v>
      </c>
      <c r="AF371" s="8" t="s">
        <v>2401</v>
      </c>
      <c r="AG371" s="8"/>
      <c r="AH371" s="47"/>
      <c r="AI371" s="47">
        <f>VLOOKUP(B371,'Components Usage'!A$2:C$603,3,FALSE)</f>
        <v>38</v>
      </c>
      <c r="AJ371" s="28" t="s">
        <v>2401</v>
      </c>
    </row>
    <row r="372" spans="1:36" hidden="1" x14ac:dyDescent="0.25">
      <c r="A372" s="16" t="str">
        <f>'Components Data Source'!A372</f>
        <v>Timer</v>
      </c>
      <c r="B372" s="8" t="str">
        <f>'Components Data Source'!B372</f>
        <v>24AD2718-C70B-4088-AEDA-3949DFDBA740</v>
      </c>
      <c r="C372" s="8" t="str">
        <f>'Components Data Source'!C372</f>
        <v>Timer.fcpx</v>
      </c>
      <c r="D372" s="8" t="str">
        <f>'Components Data Source'!D372</f>
        <v>Components\IO_Source\TimerComponent.fcfx</v>
      </c>
      <c r="E372" s="8" t="str">
        <f>'Components Data Source'!E372</f>
        <v>STORAGE</v>
      </c>
      <c r="F372" s="8" t="str">
        <f>'Components Data Source'!F372</f>
        <v>STORAGE</v>
      </c>
      <c r="G372" s="8">
        <f>'Components Data Source'!G372</f>
        <v>0</v>
      </c>
      <c r="H372" s="8">
        <f>'Components Data Source'!H372</f>
        <v>0</v>
      </c>
      <c r="I372" s="8">
        <f>'Components Data Source'!I372</f>
        <v>0</v>
      </c>
      <c r="J372" s="8">
        <f>'Components Data Source'!J372</f>
        <v>1</v>
      </c>
      <c r="K372" s="8">
        <f>'Components Data Source'!K372</f>
        <v>1</v>
      </c>
      <c r="L372" s="8">
        <f>'Components Data Source'!L372</f>
        <v>0</v>
      </c>
      <c r="M372" s="8" t="s">
        <v>1727</v>
      </c>
      <c r="N372" s="17" t="str">
        <f>HYPERLINK('Components Data Source'!M372)</f>
        <v>https://www.flowcode.co.uk/wiki/index.php?title=Component:_ID_24ad2718_c70b_4088_aeda_3949dfdba740</v>
      </c>
      <c r="O372" s="8" t="s">
        <v>1721</v>
      </c>
      <c r="P372" s="8"/>
      <c r="Q372" s="8" t="str">
        <f t="shared" si="12"/>
        <v/>
      </c>
      <c r="R372" s="8" t="s">
        <v>1721</v>
      </c>
      <c r="S372" s="8" t="s">
        <v>1721</v>
      </c>
      <c r="T372" s="8" t="s">
        <v>1727</v>
      </c>
      <c r="U372" s="8" t="s">
        <v>1727</v>
      </c>
      <c r="V372" s="8" t="s">
        <v>1731</v>
      </c>
      <c r="W372" s="8" t="s">
        <v>1731</v>
      </c>
      <c r="X372" s="8" t="s">
        <v>1721</v>
      </c>
      <c r="Y372" s="8" t="s">
        <v>1721</v>
      </c>
      <c r="Z372" s="18">
        <f t="shared" si="11"/>
        <v>1</v>
      </c>
      <c r="AA372" s="8"/>
      <c r="AB372" s="7"/>
      <c r="AC372" s="7"/>
      <c r="AD372" s="8" t="s">
        <v>1721</v>
      </c>
      <c r="AE372" s="8" t="s">
        <v>1721</v>
      </c>
      <c r="AF372" s="8" t="s">
        <v>2401</v>
      </c>
      <c r="AG372" s="8"/>
      <c r="AH372" s="47"/>
      <c r="AI372" s="47">
        <f>VLOOKUP(B372,'Components Usage'!A$2:C$603,3,FALSE)</f>
        <v>39</v>
      </c>
      <c r="AJ372" s="28" t="s">
        <v>2401</v>
      </c>
    </row>
    <row r="373" spans="1:36" x14ac:dyDescent="0.25">
      <c r="A373" s="16" t="str">
        <f>'Components Data Source'!A373</f>
        <v>Tone Generator</v>
      </c>
      <c r="B373" s="8" t="str">
        <f>'Components Data Source'!B373</f>
        <v>51AD4FB4-3B45-4CD0-A74C-87311DE8D3A2</v>
      </c>
      <c r="C373" s="8" t="str">
        <f>'Components Data Source'!C373</f>
        <v>ToneGenerator.fcpx</v>
      </c>
      <c r="D373" s="8" t="str">
        <f>'Components Data Source'!D373</f>
        <v>Components\IO_Source\SCADA\ToneOutput.fcfx</v>
      </c>
      <c r="E373" s="8" t="str">
        <f>'Components Data Source'!E373</f>
        <v>FREE</v>
      </c>
      <c r="F373" s="8" t="str">
        <f>'Components Data Source'!F373</f>
        <v>RUNTIME TOOLS</v>
      </c>
      <c r="G373" s="8" t="str">
        <f>'Components Data Source'!G373</f>
        <v xml:space="preserve">INDICATORS </v>
      </c>
      <c r="H373" s="8">
        <f>'Components Data Source'!H373</f>
        <v>0</v>
      </c>
      <c r="I373" s="8">
        <f>'Components Data Source'!I373</f>
        <v>0</v>
      </c>
      <c r="J373" s="8">
        <f>'Components Data Source'!J373</f>
        <v>0</v>
      </c>
      <c r="K373" s="8">
        <f>'Components Data Source'!K373</f>
        <v>1</v>
      </c>
      <c r="L373" s="8">
        <f>'Components Data Source'!L373</f>
        <v>1</v>
      </c>
      <c r="M373" s="8" t="s">
        <v>1727</v>
      </c>
      <c r="N373" s="17" t="str">
        <f>HYPERLINK('Components Data Source'!M373)</f>
        <v>https://www.flowcode.co.uk/wiki/index.php?title=Component:_ID_51ad4fb4_3b45_4cd0_a74c_87311de8d3a2</v>
      </c>
      <c r="O373" s="8" t="s">
        <v>1721</v>
      </c>
      <c r="P373" s="8"/>
      <c r="Q373" s="8" t="str">
        <f t="shared" si="12"/>
        <v/>
      </c>
      <c r="R373" s="1" t="s">
        <v>1721</v>
      </c>
      <c r="S373" s="1" t="s">
        <v>1721</v>
      </c>
      <c r="T373" s="1" t="s">
        <v>1727</v>
      </c>
      <c r="U373" s="1" t="s">
        <v>1721</v>
      </c>
      <c r="V373" s="1" t="s">
        <v>1731</v>
      </c>
      <c r="W373" s="1" t="s">
        <v>1731</v>
      </c>
      <c r="X373" s="1" t="s">
        <v>1721</v>
      </c>
      <c r="Y373" s="8" t="s">
        <v>1721</v>
      </c>
      <c r="Z373" s="18">
        <f t="shared" si="11"/>
        <v>1</v>
      </c>
      <c r="AA373" s="8"/>
      <c r="AB373" s="7"/>
      <c r="AC373" s="7"/>
      <c r="AD373" s="8" t="s">
        <v>1721</v>
      </c>
      <c r="AE373" s="8" t="s">
        <v>1727</v>
      </c>
      <c r="AF373" s="8" t="s">
        <v>2401</v>
      </c>
      <c r="AG373" s="8"/>
      <c r="AH373" s="47"/>
      <c r="AI373" s="47">
        <f>VLOOKUP(B373,'Components Usage'!A$2:C$603,3,FALSE)</f>
        <v>10</v>
      </c>
      <c r="AJ373" s="28" t="s">
        <v>2401</v>
      </c>
    </row>
    <row r="374" spans="1:36" x14ac:dyDescent="0.25">
      <c r="A374" s="16" t="str">
        <f>'Components Data Source'!A374</f>
        <v>Traffic Light 2-Way</v>
      </c>
      <c r="B374" s="8" t="str">
        <f>'Components Data Source'!B374</f>
        <v>DBF602C1-CB49-4149-BCD3-4A5AFEAE9A7A</v>
      </c>
      <c r="C374" s="8" t="str">
        <f>'Components Data Source'!C374</f>
        <v>TrafficLight-2Way.fcpx</v>
      </c>
      <c r="D374" s="8" t="str">
        <f>'Components Data Source'!D374</f>
        <v>Components\IO_Source\Simulation\TrafficLight-2Way.fcfx</v>
      </c>
      <c r="E374" s="8" t="str">
        <f>'Components Data Source'!E374</f>
        <v>FREE</v>
      </c>
      <c r="F374" s="8" t="str">
        <f>'Components Data Source'!F374</f>
        <v>SCENARIOS</v>
      </c>
      <c r="G374" s="8">
        <f>'Components Data Source'!G374</f>
        <v>0</v>
      </c>
      <c r="H374" s="8">
        <f>'Components Data Source'!H374</f>
        <v>0</v>
      </c>
      <c r="I374" s="8">
        <f>'Components Data Source'!I374</f>
        <v>0</v>
      </c>
      <c r="J374" s="8">
        <f>'Components Data Source'!J374</f>
        <v>1</v>
      </c>
      <c r="K374" s="8">
        <f>'Components Data Source'!K374</f>
        <v>0</v>
      </c>
      <c r="L374" s="8">
        <f>'Components Data Source'!L374</f>
        <v>0</v>
      </c>
      <c r="M374" s="8" t="s">
        <v>1727</v>
      </c>
      <c r="N374" s="17" t="str">
        <f>HYPERLINK('Components Data Source'!M374)</f>
        <v>https://www.flowcode.co.uk/wiki/index.php?title=Component:_ID_dbf602c1_cb49_4149_bcd3_4a5afeae9a7a</v>
      </c>
      <c r="O374" s="8" t="s">
        <v>1721</v>
      </c>
      <c r="P374" s="8" t="s">
        <v>2776</v>
      </c>
      <c r="Q374" s="8" t="str">
        <f t="shared" si="12"/>
        <v/>
      </c>
      <c r="R374" s="8" t="s">
        <v>1727</v>
      </c>
      <c r="S374" s="8"/>
      <c r="T374" s="8"/>
      <c r="U374" s="8"/>
      <c r="V374" s="8" t="s">
        <v>1730</v>
      </c>
      <c r="W374" s="8" t="s">
        <v>1730</v>
      </c>
      <c r="X374" s="8"/>
      <c r="Y374" s="8"/>
      <c r="Z374" s="18">
        <f t="shared" si="11"/>
        <v>2</v>
      </c>
      <c r="AA374" s="8"/>
      <c r="AB374" s="7"/>
      <c r="AC374" s="7"/>
      <c r="AD374" s="8" t="s">
        <v>1721</v>
      </c>
      <c r="AE374" s="8" t="s">
        <v>1721</v>
      </c>
      <c r="AF374" s="8" t="s">
        <v>2401</v>
      </c>
      <c r="AG374" s="8"/>
      <c r="AH374" s="47"/>
      <c r="AI374" s="47">
        <f>VLOOKUP(B374,'Components Usage'!A$2:C$603,3,FALSE)</f>
        <v>2</v>
      </c>
      <c r="AJ374" s="28" t="s">
        <v>2401</v>
      </c>
    </row>
    <row r="375" spans="1:36" hidden="1" x14ac:dyDescent="0.25">
      <c r="A375" s="16" t="str">
        <f>'Components Data Source'!A375</f>
        <v>Traffic Light 1-Way</v>
      </c>
      <c r="B375" s="8" t="str">
        <f>'Components Data Source'!B375</f>
        <v>0C6B22FC-6E81-4406-AABD-5FEB928E6AEE</v>
      </c>
      <c r="C375" s="8" t="str">
        <f>'Components Data Source'!C375</f>
        <v>TrafficLight_1Way.fcpx</v>
      </c>
      <c r="D375" s="8" t="str">
        <f>'Components Data Source'!D375</f>
        <v>Components\IO_Source\Simulation\TrafficLight-1Way.fcfx</v>
      </c>
      <c r="E375" s="8" t="str">
        <f>'Components Data Source'!E375</f>
        <v>MODELS</v>
      </c>
      <c r="F375" s="8" t="str">
        <f>'Components Data Source'!F375</f>
        <v>SCENARIOS</v>
      </c>
      <c r="G375" s="8">
        <f>'Components Data Source'!G375</f>
        <v>0</v>
      </c>
      <c r="H375" s="8">
        <f>'Components Data Source'!H375</f>
        <v>0</v>
      </c>
      <c r="I375" s="8">
        <f>'Components Data Source'!I375</f>
        <v>0</v>
      </c>
      <c r="J375" s="8">
        <f>'Components Data Source'!J375</f>
        <v>1</v>
      </c>
      <c r="K375" s="8">
        <f>'Components Data Source'!K375</f>
        <v>1</v>
      </c>
      <c r="L375" s="8">
        <f>'Components Data Source'!L375</f>
        <v>1</v>
      </c>
      <c r="M375" s="8" t="s">
        <v>1727</v>
      </c>
      <c r="N375" s="17" t="str">
        <f>HYPERLINK('Components Data Source'!M375)</f>
        <v>https://www.flowcode.co.uk/wiki/index.php?title=Component:_ID_0c6b22fc_6e81_4406_aabd_5feb928e6aee</v>
      </c>
      <c r="O375" s="8" t="s">
        <v>1721</v>
      </c>
      <c r="P375" s="8" t="s">
        <v>2774</v>
      </c>
      <c r="Q375" s="8" t="str">
        <f t="shared" si="12"/>
        <v/>
      </c>
      <c r="R375" s="8" t="s">
        <v>1727</v>
      </c>
      <c r="S375" s="8"/>
      <c r="T375" s="8"/>
      <c r="U375" s="8"/>
      <c r="V375" s="8" t="s">
        <v>1730</v>
      </c>
      <c r="W375" s="8" t="s">
        <v>1730</v>
      </c>
      <c r="X375" s="8"/>
      <c r="Y375" s="8"/>
      <c r="Z375" s="18">
        <f t="shared" si="11"/>
        <v>2</v>
      </c>
      <c r="AA375" s="8"/>
      <c r="AB375" s="7"/>
      <c r="AC375" s="7"/>
      <c r="AD375" s="8" t="s">
        <v>1721</v>
      </c>
      <c r="AE375" s="8" t="s">
        <v>1721</v>
      </c>
      <c r="AF375" s="8" t="s">
        <v>2401</v>
      </c>
      <c r="AG375" s="8"/>
      <c r="AH375" s="47"/>
      <c r="AI375" s="47">
        <f>VLOOKUP(B375,'Components Usage'!A$2:C$603,3,FALSE)</f>
        <v>7</v>
      </c>
      <c r="AJ375" s="28" t="s">
        <v>2401</v>
      </c>
    </row>
    <row r="376" spans="1:36" hidden="1" x14ac:dyDescent="0.25">
      <c r="A376" s="16" t="str">
        <f>'Components Data Source'!A376</f>
        <v>Type Conversions</v>
      </c>
      <c r="B376" s="8" t="str">
        <f>'Components Data Source'!B376</f>
        <v>6508C7BE-063A-4F9F-BAE5-4A41CF977A86</v>
      </c>
      <c r="C376" s="8" t="str">
        <f>'Components Data Source'!C376</f>
        <v>TypeConversions.fcpx</v>
      </c>
      <c r="D376" s="8" t="str">
        <f>'Components Data Source'!D376</f>
        <v>Components\IO_Source\Storage\TypeConversions.fcfx</v>
      </c>
      <c r="E376" s="8" t="str">
        <f>'Components Data Source'!E376</f>
        <v>STORAGE</v>
      </c>
      <c r="F376" s="8" t="str">
        <f>'Components Data Source'!F376</f>
        <v>STORAGE</v>
      </c>
      <c r="G376" s="8" t="str">
        <f>'Components Data Source'!G376</f>
        <v xml:space="preserve">STORAGE </v>
      </c>
      <c r="H376" s="8">
        <f>'Components Data Source'!H376</f>
        <v>0</v>
      </c>
      <c r="I376" s="8">
        <f>'Components Data Source'!I376</f>
        <v>0</v>
      </c>
      <c r="J376" s="8">
        <f>'Components Data Source'!J376</f>
        <v>1</v>
      </c>
      <c r="K376" s="8">
        <f>'Components Data Source'!K376</f>
        <v>1</v>
      </c>
      <c r="L376" s="8">
        <f>'Components Data Source'!L376</f>
        <v>1</v>
      </c>
      <c r="M376" s="8" t="s">
        <v>1727</v>
      </c>
      <c r="N376" s="17" t="str">
        <f>HYPERLINK('Components Data Source'!M376)</f>
        <v>https://www.flowcode.co.uk/wiki/index.php?title=Component:_ID_6508c7be_063a_4f9f_bae5_4a41cf977a86</v>
      </c>
      <c r="O376" s="8" t="s">
        <v>1721</v>
      </c>
      <c r="P376" s="8"/>
      <c r="Q376" s="8" t="str">
        <f t="shared" si="12"/>
        <v/>
      </c>
      <c r="R376" s="1" t="s">
        <v>1721</v>
      </c>
      <c r="S376" s="1" t="s">
        <v>1721</v>
      </c>
      <c r="T376" s="1" t="s">
        <v>1727</v>
      </c>
      <c r="U376" s="1" t="s">
        <v>1721</v>
      </c>
      <c r="V376" s="1" t="s">
        <v>1731</v>
      </c>
      <c r="W376" s="1" t="s">
        <v>1731</v>
      </c>
      <c r="X376" s="1" t="s">
        <v>1721</v>
      </c>
      <c r="Y376" s="8" t="s">
        <v>1721</v>
      </c>
      <c r="Z376" s="18">
        <f t="shared" si="11"/>
        <v>1</v>
      </c>
      <c r="AA376" s="8"/>
      <c r="AB376" s="7"/>
      <c r="AC376" s="7"/>
      <c r="AD376" s="8" t="s">
        <v>1721</v>
      </c>
      <c r="AE376" s="8" t="s">
        <v>1721</v>
      </c>
      <c r="AF376" s="8" t="s">
        <v>2401</v>
      </c>
      <c r="AG376" s="8"/>
      <c r="AH376" s="47"/>
      <c r="AI376" s="47">
        <f>VLOOKUP(B376,'Components Usage'!A$2:C$603,3,FALSE)</f>
        <v>14</v>
      </c>
      <c r="AJ376" s="28" t="s">
        <v>2401</v>
      </c>
    </row>
    <row r="377" spans="1:36" hidden="1" x14ac:dyDescent="0.25">
      <c r="A377" s="16" t="str">
        <f>'Components Data Source'!A377</f>
        <v>USB HID</v>
      </c>
      <c r="B377" s="8" t="str">
        <f>'Components Data Source'!B377</f>
        <v>06A0A9B3-DD23-4592-A781-537A31B97C2A</v>
      </c>
      <c r="C377" s="8" t="str">
        <f>'Components Data Source'!C377</f>
        <v>USB_HID.fcpx</v>
      </c>
      <c r="D377" s="8" t="str">
        <f>'Components Data Source'!D377</f>
        <v>Components\IO_Source\USBHID.fcfx</v>
      </c>
      <c r="E377" s="8" t="str">
        <f>'Components Data Source'!E377</f>
        <v>COMMSC</v>
      </c>
      <c r="F377" s="8" t="str">
        <f>'Components Data Source'!F377</f>
        <v>COMMS: USB</v>
      </c>
      <c r="G377" s="8">
        <f>'Components Data Source'!G377</f>
        <v>0</v>
      </c>
      <c r="H377" s="8">
        <f>'Components Data Source'!H377</f>
        <v>0</v>
      </c>
      <c r="I377" s="8" t="str">
        <f>'Components Data Source'!I377</f>
        <v xml:space="preserve">USB </v>
      </c>
      <c r="J377" s="8">
        <f>'Components Data Source'!J377</f>
        <v>1</v>
      </c>
      <c r="K377" s="8">
        <f>'Components Data Source'!K377</f>
        <v>1</v>
      </c>
      <c r="L377" s="8">
        <f>'Components Data Source'!L377</f>
        <v>0</v>
      </c>
      <c r="M377" s="8" t="s">
        <v>1727</v>
      </c>
      <c r="N377" s="17" t="str">
        <f>HYPERLINK('Components Data Source'!M377)</f>
        <v>https://www.flowcode.co.uk/wiki/index.php?title=Component:_ID_06a0a9b3_dd23_4592_a781_537a31b97c2a</v>
      </c>
      <c r="O377" s="8" t="s">
        <v>1721</v>
      </c>
      <c r="P377" s="8"/>
      <c r="Q377" s="8" t="str">
        <f t="shared" si="12"/>
        <v/>
      </c>
      <c r="R377" s="1" t="s">
        <v>1721</v>
      </c>
      <c r="S377" s="1" t="s">
        <v>1721</v>
      </c>
      <c r="T377" s="1" t="s">
        <v>1727</v>
      </c>
      <c r="U377" s="1" t="s">
        <v>1721</v>
      </c>
      <c r="V377" s="1" t="s">
        <v>1731</v>
      </c>
      <c r="W377" s="1" t="s">
        <v>1731</v>
      </c>
      <c r="X377" s="1" t="s">
        <v>1721</v>
      </c>
      <c r="Y377" s="8" t="s">
        <v>1721</v>
      </c>
      <c r="Z377" s="18">
        <f t="shared" si="11"/>
        <v>1</v>
      </c>
      <c r="AA377" s="8"/>
      <c r="AB377" s="7"/>
      <c r="AC377" s="7"/>
      <c r="AD377" s="8" t="s">
        <v>1721</v>
      </c>
      <c r="AE377" s="8" t="s">
        <v>1721</v>
      </c>
      <c r="AF377" s="8" t="s">
        <v>2401</v>
      </c>
      <c r="AG377" s="8"/>
      <c r="AH377" s="47"/>
      <c r="AI377" s="47">
        <f>VLOOKUP(B377,'Components Usage'!A$2:C$603,3,FALSE)</f>
        <v>10</v>
      </c>
      <c r="AJ377" s="28" t="s">
        <v>2401</v>
      </c>
    </row>
    <row r="378" spans="1:36" hidden="1" x14ac:dyDescent="0.25">
      <c r="A378" s="16" t="str">
        <f>'Components Data Source'!A378</f>
        <v>USB MIDI</v>
      </c>
      <c r="B378" s="8" t="str">
        <f>'Components Data Source'!B378</f>
        <v>FDCEEF06-919A-405B-8D0B-6118CD0E104C</v>
      </c>
      <c r="C378" s="8" t="str">
        <f>'Components Data Source'!C378</f>
        <v>USB_MIDI.fcpx</v>
      </c>
      <c r="D378" s="8" t="str">
        <f>'Components Data Source'!D378</f>
        <v>Components\IO_Source\USBMIDI.fcfx</v>
      </c>
      <c r="E378" s="8" t="str">
        <f>'Components Data Source'!E378</f>
        <v>COMMSC</v>
      </c>
      <c r="F378" s="8" t="str">
        <f>'Components Data Source'!F378</f>
        <v>COMMS: USB</v>
      </c>
      <c r="G378" s="8">
        <f>'Components Data Source'!G378</f>
        <v>0</v>
      </c>
      <c r="H378" s="8">
        <f>'Components Data Source'!H378</f>
        <v>0</v>
      </c>
      <c r="I378" s="8" t="str">
        <f>'Components Data Source'!I378</f>
        <v xml:space="preserve">USB </v>
      </c>
      <c r="J378" s="8">
        <f>'Components Data Source'!J378</f>
        <v>1</v>
      </c>
      <c r="K378" s="8">
        <f>'Components Data Source'!K378</f>
        <v>1</v>
      </c>
      <c r="L378" s="8">
        <f>'Components Data Source'!L378</f>
        <v>0</v>
      </c>
      <c r="M378" s="8" t="s">
        <v>1727</v>
      </c>
      <c r="N378" s="17" t="str">
        <f>HYPERLINK('Components Data Source'!M378)</f>
        <v>https://www.flowcode.co.uk/wiki/index.php?title=Component:_ID_fdceef06_919a_405b_8d0b_6118cd0e104c</v>
      </c>
      <c r="O378" s="8" t="s">
        <v>1721</v>
      </c>
      <c r="P378" s="8"/>
      <c r="Q378" s="8" t="str">
        <f t="shared" si="12"/>
        <v/>
      </c>
      <c r="R378" s="1" t="s">
        <v>1721</v>
      </c>
      <c r="S378" s="1" t="s">
        <v>1721</v>
      </c>
      <c r="T378" s="1" t="s">
        <v>1727</v>
      </c>
      <c r="U378" s="1" t="s">
        <v>1721</v>
      </c>
      <c r="V378" s="1" t="s">
        <v>1731</v>
      </c>
      <c r="W378" s="1" t="s">
        <v>1731</v>
      </c>
      <c r="X378" s="1" t="s">
        <v>1721</v>
      </c>
      <c r="Y378" s="8" t="s">
        <v>1721</v>
      </c>
      <c r="Z378" s="18">
        <f t="shared" si="11"/>
        <v>1</v>
      </c>
      <c r="AA378" s="8"/>
      <c r="AB378" s="7"/>
      <c r="AC378" s="7"/>
      <c r="AD378" s="8" t="s">
        <v>1721</v>
      </c>
      <c r="AE378" s="8" t="s">
        <v>1727</v>
      </c>
      <c r="AF378" s="8" t="s">
        <v>2401</v>
      </c>
      <c r="AG378" s="8"/>
      <c r="AH378" s="47"/>
      <c r="AI378" s="47">
        <f>VLOOKUP(B378,'Components Usage'!A$2:C$603,3,FALSE)</f>
        <v>1</v>
      </c>
      <c r="AJ378" s="28" t="s">
        <v>2401</v>
      </c>
    </row>
    <row r="379" spans="1:36" hidden="1" x14ac:dyDescent="0.25">
      <c r="A379" s="16" t="str">
        <f>'Components Data Source'!A379</f>
        <v>USB Serial</v>
      </c>
      <c r="B379" s="8" t="str">
        <f>'Components Data Source'!B379</f>
        <v>3E28AC22-2855-410A-9660-0B0A4731E545</v>
      </c>
      <c r="C379" s="8" t="str">
        <f>'Components Data Source'!C379</f>
        <v>USB_Serial.fcpx</v>
      </c>
      <c r="D379" s="8" t="str">
        <f>'Components Data Source'!D379</f>
        <v>Components\IO_Source\USBSerial.fcfx</v>
      </c>
      <c r="E379" s="8" t="str">
        <f>'Components Data Source'!E379</f>
        <v>COMMSC</v>
      </c>
      <c r="F379" s="8" t="str">
        <f>'Components Data Source'!F379</f>
        <v>COMMS: USB</v>
      </c>
      <c r="G379" s="8">
        <f>'Components Data Source'!G379</f>
        <v>0</v>
      </c>
      <c r="H379" s="8">
        <f>'Components Data Source'!H379</f>
        <v>0</v>
      </c>
      <c r="I379" s="8" t="str">
        <f>'Components Data Source'!I379</f>
        <v xml:space="preserve">USB </v>
      </c>
      <c r="J379" s="8">
        <f>'Components Data Source'!J379</f>
        <v>1</v>
      </c>
      <c r="K379" s="8">
        <f>'Components Data Source'!K379</f>
        <v>1</v>
      </c>
      <c r="L379" s="8">
        <f>'Components Data Source'!L379</f>
        <v>0</v>
      </c>
      <c r="M379" s="8" t="s">
        <v>1727</v>
      </c>
      <c r="N379" s="17" t="str">
        <f>HYPERLINK('Components Data Source'!M379)</f>
        <v>https://www.flowcode.co.uk/wiki/index.php?title=Component:_ID_3e28ac22_2855_410a_9660_0b0a4731e545</v>
      </c>
      <c r="O379" s="8" t="s">
        <v>1721</v>
      </c>
      <c r="P379" s="8"/>
      <c r="Q379" s="8" t="str">
        <f t="shared" si="12"/>
        <v/>
      </c>
      <c r="R379" s="1" t="s">
        <v>1721</v>
      </c>
      <c r="S379" s="1" t="s">
        <v>1721</v>
      </c>
      <c r="T379" s="1" t="s">
        <v>1727</v>
      </c>
      <c r="U379" s="1" t="s">
        <v>1721</v>
      </c>
      <c r="V379" s="1" t="s">
        <v>1731</v>
      </c>
      <c r="W379" s="1" t="s">
        <v>1731</v>
      </c>
      <c r="X379" s="1" t="s">
        <v>1721</v>
      </c>
      <c r="Y379" s="8" t="s">
        <v>1721</v>
      </c>
      <c r="Z379" s="18">
        <f t="shared" si="11"/>
        <v>1</v>
      </c>
      <c r="AA379" s="8"/>
      <c r="AB379" s="7"/>
      <c r="AC379" s="7"/>
      <c r="AD379" s="8" t="s">
        <v>1721</v>
      </c>
      <c r="AE379" s="8" t="s">
        <v>1721</v>
      </c>
      <c r="AF379" s="8" t="s">
        <v>2401</v>
      </c>
      <c r="AG379" s="8" t="s">
        <v>1721</v>
      </c>
      <c r="AH379" s="47"/>
      <c r="AI379" s="47">
        <f>VLOOKUP(B379,'Components Usage'!A$2:C$603,3,FALSE)</f>
        <v>65</v>
      </c>
      <c r="AJ379" s="28" t="s">
        <v>2401</v>
      </c>
    </row>
    <row r="380" spans="1:36" hidden="1" x14ac:dyDescent="0.25">
      <c r="A380" s="16" t="str">
        <f>'Components Data Source'!A380</f>
        <v>USB Slave</v>
      </c>
      <c r="B380" s="8" t="str">
        <f>'Components Data Source'!B380</f>
        <v>26CBC2DF-5EF0-47DB-AB2F-C2425B14462F</v>
      </c>
      <c r="C380" s="8" t="str">
        <f>'Components Data Source'!C380</f>
        <v>USB_Slave.fcpx</v>
      </c>
      <c r="D380" s="8" t="str">
        <f>'Components Data Source'!D380</f>
        <v>Components\IO_Source\USBSlave.fcfx</v>
      </c>
      <c r="E380" s="8" t="str">
        <f>'Components Data Source'!E380</f>
        <v>COMMSC</v>
      </c>
      <c r="F380" s="8" t="str">
        <f>'Components Data Source'!F380</f>
        <v>COMMS: USB</v>
      </c>
      <c r="G380" s="8">
        <f>'Components Data Source'!G380</f>
        <v>0</v>
      </c>
      <c r="H380" s="8">
        <f>'Components Data Source'!H380</f>
        <v>0</v>
      </c>
      <c r="I380" s="8" t="str">
        <f>'Components Data Source'!I380</f>
        <v xml:space="preserve">USB </v>
      </c>
      <c r="J380" s="8">
        <f>'Components Data Source'!J380</f>
        <v>1</v>
      </c>
      <c r="K380" s="8">
        <f>'Components Data Source'!K380</f>
        <v>1</v>
      </c>
      <c r="L380" s="8">
        <f>'Components Data Source'!L380</f>
        <v>0</v>
      </c>
      <c r="M380" s="8" t="s">
        <v>1727</v>
      </c>
      <c r="N380" s="17" t="str">
        <f>HYPERLINK('Components Data Source'!M380)</f>
        <v>https://www.flowcode.co.uk/wiki/index.php?title=Component:_ID_26cbc2df_5ef0_47db_ab2f_c2425b14462f</v>
      </c>
      <c r="O380" s="8" t="s">
        <v>1721</v>
      </c>
      <c r="P380" s="8"/>
      <c r="Q380" s="8" t="str">
        <f t="shared" si="12"/>
        <v/>
      </c>
      <c r="R380" s="1" t="s">
        <v>1721</v>
      </c>
      <c r="S380" s="1" t="s">
        <v>1721</v>
      </c>
      <c r="T380" s="1" t="s">
        <v>1727</v>
      </c>
      <c r="U380" s="1" t="s">
        <v>1721</v>
      </c>
      <c r="V380" s="1" t="s">
        <v>1731</v>
      </c>
      <c r="W380" s="1" t="s">
        <v>1731</v>
      </c>
      <c r="X380" s="1" t="s">
        <v>1721</v>
      </c>
      <c r="Y380" s="8" t="s">
        <v>1721</v>
      </c>
      <c r="Z380" s="18">
        <f t="shared" si="11"/>
        <v>1</v>
      </c>
      <c r="AA380" s="8"/>
      <c r="AB380" s="7"/>
      <c r="AC380" s="7"/>
      <c r="AD380" s="8" t="s">
        <v>1721</v>
      </c>
      <c r="AE380" s="8" t="s">
        <v>1721</v>
      </c>
      <c r="AF380" s="8" t="s">
        <v>2401</v>
      </c>
      <c r="AG380" s="8"/>
      <c r="AH380" s="47"/>
      <c r="AI380" s="47">
        <f>VLOOKUP(B380,'Components Usage'!A$2:C$603,3,FALSE)</f>
        <v>2</v>
      </c>
      <c r="AJ380" s="28" t="s">
        <v>2401</v>
      </c>
    </row>
    <row r="381" spans="1:36" hidden="1" x14ac:dyDescent="0.25">
      <c r="A381" s="16" t="str">
        <f>'Components Data Source'!A381</f>
        <v>UART Software (Timer)</v>
      </c>
      <c r="B381" s="8" t="str">
        <f>'Components Data Source'!B381</f>
        <v>743EA495-34E7-47EE-BD79-3BFDC067B01C</v>
      </c>
      <c r="C381" s="8" t="str">
        <f>'Components Data Source'!C381</f>
        <v>UartSoftwareTimer.fcpx</v>
      </c>
      <c r="D381" s="8" t="str">
        <f>'Components Data Source'!D381</f>
        <v>Components\CAL_Source\UART_Software_Timer.fcfx</v>
      </c>
      <c r="E381" s="8" t="str">
        <f>'Components Data Source'!E381</f>
        <v>COMMSC</v>
      </c>
      <c r="F381" s="8" t="str">
        <f>'Components Data Source'!F381</f>
        <v>COMMS: INTERFACE</v>
      </c>
      <c r="G381" s="8">
        <f>'Components Data Source'!G381</f>
        <v>0</v>
      </c>
      <c r="H381" s="8">
        <f>'Components Data Source'!H381</f>
        <v>0</v>
      </c>
      <c r="I381" s="8">
        <f>'Components Data Source'!I381</f>
        <v>0</v>
      </c>
      <c r="J381" s="8">
        <f>'Components Data Source'!J381</f>
        <v>1</v>
      </c>
      <c r="K381" s="8">
        <f>'Components Data Source'!K381</f>
        <v>1</v>
      </c>
      <c r="L381" s="8">
        <f>'Components Data Source'!L381</f>
        <v>0</v>
      </c>
      <c r="M381" s="8" t="s">
        <v>1727</v>
      </c>
      <c r="N381" s="17" t="str">
        <f>HYPERLINK('Components Data Source'!M381)</f>
        <v>https://www.flowcode.co.uk/wiki/index.php?title=Component:_ID_743ea495_34e7_47ee_bd79_3bfdc067b01c</v>
      </c>
      <c r="O381" s="8" t="s">
        <v>1721</v>
      </c>
      <c r="P381" s="8"/>
      <c r="Q381" s="8" t="str">
        <f t="shared" si="12"/>
        <v/>
      </c>
      <c r="R381" s="8" t="s">
        <v>1721</v>
      </c>
      <c r="S381" s="8" t="s">
        <v>1721</v>
      </c>
      <c r="T381" s="8" t="s">
        <v>1727</v>
      </c>
      <c r="U381" s="8"/>
      <c r="V381" s="8" t="s">
        <v>1731</v>
      </c>
      <c r="W381" s="8" t="s">
        <v>1183</v>
      </c>
      <c r="X381" s="8" t="s">
        <v>1721</v>
      </c>
      <c r="Y381" s="8" t="s">
        <v>1727</v>
      </c>
      <c r="Z381" s="18">
        <f t="shared" si="11"/>
        <v>0</v>
      </c>
      <c r="AA381" s="8" t="s">
        <v>1727</v>
      </c>
      <c r="AB381" s="7" t="s">
        <v>2521</v>
      </c>
      <c r="AC381" s="7"/>
      <c r="AD381" s="8" t="s">
        <v>1721</v>
      </c>
      <c r="AE381" s="8" t="s">
        <v>1721</v>
      </c>
      <c r="AF381" s="8" t="s">
        <v>1727</v>
      </c>
      <c r="AG381" s="8"/>
      <c r="AH381" s="47"/>
      <c r="AI381" s="47">
        <f>VLOOKUP(B381,'Components Usage'!A$2:C$603,3,FALSE)</f>
        <v>12</v>
      </c>
      <c r="AJ381" s="28" t="s">
        <v>2401</v>
      </c>
    </row>
    <row r="382" spans="1:36" hidden="1" x14ac:dyDescent="0.25">
      <c r="A382" s="16" t="str">
        <f>'Components Data Source'!A382</f>
        <v>Visi (4DSystems)</v>
      </c>
      <c r="B382" s="8" t="str">
        <f>'Components Data Source'!B382</f>
        <v>6436A040-CCC8-46E5-82C1-68F8D87B16C5</v>
      </c>
      <c r="C382" s="8" t="str">
        <f>'Components Data Source'!C382</f>
        <v>Visi4D.fcpx</v>
      </c>
      <c r="D382" s="8" t="str">
        <f>'Components Data Source'!D382</f>
        <v>Components\IO_Source\Visi4D.fcfx</v>
      </c>
      <c r="E382" s="8" t="str">
        <f>'Components Data Source'!E382</f>
        <v>COMMSA</v>
      </c>
      <c r="F382" s="8" t="str">
        <f>'Components Data Source'!F382</f>
        <v>COMMS: SYSTEM</v>
      </c>
      <c r="G382" s="8">
        <f>'Components Data Source'!G382</f>
        <v>0</v>
      </c>
      <c r="H382" s="8">
        <f>'Components Data Source'!H382</f>
        <v>0</v>
      </c>
      <c r="I382" s="8" t="str">
        <f>'Components Data Source'!I382</f>
        <v xml:space="preserve">UART </v>
      </c>
      <c r="J382" s="8">
        <f>'Components Data Source'!J382</f>
        <v>1</v>
      </c>
      <c r="K382" s="8">
        <f>'Components Data Source'!K382</f>
        <v>1</v>
      </c>
      <c r="L382" s="8">
        <f>'Components Data Source'!L382</f>
        <v>0</v>
      </c>
      <c r="M382" s="8" t="s">
        <v>1727</v>
      </c>
      <c r="N382" s="17" t="str">
        <f>HYPERLINK('Components Data Source'!M382)</f>
        <v>https://www.flowcode.co.uk/wiki/index.php?title=Component:_ID_6436a040_ccc8_46e5_82c1_68f8d87b16c5</v>
      </c>
      <c r="O382" s="8" t="s">
        <v>1721</v>
      </c>
      <c r="P382" s="8"/>
      <c r="Q382" s="8" t="str">
        <f t="shared" si="12"/>
        <v/>
      </c>
      <c r="R382" s="1" t="s">
        <v>1721</v>
      </c>
      <c r="S382" s="1" t="s">
        <v>1721</v>
      </c>
      <c r="T382" s="1" t="s">
        <v>1721</v>
      </c>
      <c r="U382" s="1" t="s">
        <v>1721</v>
      </c>
      <c r="V382" s="1" t="s">
        <v>1731</v>
      </c>
      <c r="W382" s="1" t="s">
        <v>1183</v>
      </c>
      <c r="X382" s="1" t="s">
        <v>1721</v>
      </c>
      <c r="Y382" s="8" t="s">
        <v>1721</v>
      </c>
      <c r="Z382" s="18">
        <f t="shared" si="11"/>
        <v>1</v>
      </c>
      <c r="AA382" s="8"/>
      <c r="AB382" s="7"/>
      <c r="AC382" s="7"/>
      <c r="AD382" s="8" t="s">
        <v>1721</v>
      </c>
      <c r="AE382" s="8" t="s">
        <v>1721</v>
      </c>
      <c r="AF382" s="8" t="s">
        <v>1727</v>
      </c>
      <c r="AG382" s="8"/>
      <c r="AH382" s="47"/>
      <c r="AI382" s="47">
        <f>VLOOKUP(B382,'Components Usage'!A$2:C$603,3,FALSE)</f>
        <v>2</v>
      </c>
      <c r="AJ382" s="28" t="s">
        <v>2401</v>
      </c>
    </row>
    <row r="383" spans="1:36" hidden="1" x14ac:dyDescent="0.25">
      <c r="A383" s="16" t="str">
        <f>'Components Data Source'!A383</f>
        <v>WAV Library File</v>
      </c>
      <c r="B383" s="8" t="str">
        <f>'Components Data Source'!B383</f>
        <v>EAEE384D-6B16-4988-B1AA-8628231A7128</v>
      </c>
      <c r="C383" s="8" t="str">
        <f>'Components Data Source'!C383</f>
        <v>WAVPlayerFAT.fcpx</v>
      </c>
      <c r="D383" s="8" t="str">
        <f>'Components Data Source'!D383</f>
        <v>Components\IO_Source\WAV_Player_FAT.fcfx</v>
      </c>
      <c r="E383" s="8" t="str">
        <f>'Components Data Source'!E383</f>
        <v>STORAGE</v>
      </c>
      <c r="F383" s="8" t="str">
        <f>'Components Data Source'!F383</f>
        <v>STORAGE</v>
      </c>
      <c r="G383" s="8" t="str">
        <f>'Components Data Source'!G383</f>
        <v xml:space="preserve">INDICATORS </v>
      </c>
      <c r="H383" s="8">
        <f>'Components Data Source'!H383</f>
        <v>0</v>
      </c>
      <c r="I383" s="8">
        <f>'Components Data Source'!I383</f>
        <v>0</v>
      </c>
      <c r="J383" s="8">
        <f>'Components Data Source'!J383</f>
        <v>1</v>
      </c>
      <c r="K383" s="8">
        <f>'Components Data Source'!K383</f>
        <v>1</v>
      </c>
      <c r="L383" s="8">
        <f>'Components Data Source'!L383</f>
        <v>1</v>
      </c>
      <c r="M383" s="8" t="s">
        <v>1727</v>
      </c>
      <c r="N383" s="17" t="str">
        <f>HYPERLINK('Components Data Source'!M383)</f>
        <v>https://www.flowcode.co.uk/wiki/index.php?title=Component:_ID_eaee384d_6b16_4988_b1aa_8628231a7128</v>
      </c>
      <c r="O383" s="8" t="s">
        <v>1721</v>
      </c>
      <c r="P383" s="8"/>
      <c r="Q383" s="8" t="str">
        <f t="shared" si="12"/>
        <v/>
      </c>
      <c r="R383" s="1" t="s">
        <v>1721</v>
      </c>
      <c r="S383" s="1" t="s">
        <v>1721</v>
      </c>
      <c r="T383" s="1" t="s">
        <v>1727</v>
      </c>
      <c r="U383" s="1" t="s">
        <v>1721</v>
      </c>
      <c r="V383" s="1" t="s">
        <v>1731</v>
      </c>
      <c r="W383" s="1" t="s">
        <v>1733</v>
      </c>
      <c r="X383" s="1" t="s">
        <v>1721</v>
      </c>
      <c r="Y383" s="8" t="s">
        <v>1721</v>
      </c>
      <c r="Z383" s="18">
        <f t="shared" si="11"/>
        <v>1</v>
      </c>
      <c r="AA383" s="8"/>
      <c r="AB383" s="7"/>
      <c r="AC383" s="7"/>
      <c r="AD383" s="8" t="s">
        <v>1721</v>
      </c>
      <c r="AE383" s="8" t="s">
        <v>1721</v>
      </c>
      <c r="AF383" s="8" t="s">
        <v>2401</v>
      </c>
      <c r="AG383" s="8"/>
      <c r="AH383" s="47"/>
      <c r="AI383" s="47">
        <f>VLOOKUP(B383,'Components Usage'!A$2:C$603,3,FALSE)</f>
        <v>5</v>
      </c>
      <c r="AJ383" s="28" t="s">
        <v>2401</v>
      </c>
    </row>
    <row r="384" spans="1:36" hidden="1" x14ac:dyDescent="0.25">
      <c r="A384" s="16" t="str">
        <f>'Components Data Source'!A384</f>
        <v>WLAN (EB069 WIZ610wi)</v>
      </c>
      <c r="B384" s="8" t="str">
        <f>'Components Data Source'!B384</f>
        <v>0DDE7075-368E-404C-9D88-D9C6BEC55172</v>
      </c>
      <c r="C384" s="8" t="str">
        <f>'Components Data Source'!C384</f>
        <v>WLAN.fcpx</v>
      </c>
      <c r="D384" s="8" t="str">
        <f>'Components Data Source'!D384</f>
        <v>Components\IO_Source\WLAN.fcfx</v>
      </c>
      <c r="E384" s="8" t="str">
        <f>'Components Data Source'!E384</f>
        <v>COMMSB</v>
      </c>
      <c r="F384" s="8" t="str">
        <f>'Components Data Source'!F384</f>
        <v>COMMS: NETWORKING</v>
      </c>
      <c r="G384" s="8">
        <f>'Components Data Source'!G384</f>
        <v>0</v>
      </c>
      <c r="H384" s="8">
        <f>'Components Data Source'!H384</f>
        <v>0</v>
      </c>
      <c r="I384" s="8" t="str">
        <f>'Components Data Source'!I384</f>
        <v xml:space="preserve">UART </v>
      </c>
      <c r="J384" s="8">
        <f>'Components Data Source'!J384</f>
        <v>1</v>
      </c>
      <c r="K384" s="8">
        <f>'Components Data Source'!K384</f>
        <v>1</v>
      </c>
      <c r="L384" s="8">
        <f>'Components Data Source'!L384</f>
        <v>0</v>
      </c>
      <c r="M384" s="8" t="s">
        <v>1727</v>
      </c>
      <c r="N384" s="17" t="str">
        <f>HYPERLINK('Components Data Source'!M384)</f>
        <v>https://www.flowcode.co.uk/wiki/index.php?title=Component:_ID_0dde7075_368e_404c_9d88_d9c6bec55172</v>
      </c>
      <c r="O384" s="8" t="s">
        <v>2590</v>
      </c>
      <c r="P384" s="8" t="s">
        <v>3556</v>
      </c>
      <c r="Q384" s="8" t="str">
        <f t="shared" si="12"/>
        <v/>
      </c>
      <c r="R384" s="1" t="s">
        <v>1721</v>
      </c>
      <c r="S384" s="1" t="s">
        <v>1721</v>
      </c>
      <c r="T384" s="1" t="s">
        <v>1721</v>
      </c>
      <c r="U384" s="1"/>
      <c r="V384" s="1" t="s">
        <v>1009</v>
      </c>
      <c r="W384" s="1" t="s">
        <v>1183</v>
      </c>
      <c r="X384" s="1" t="s">
        <v>1721</v>
      </c>
      <c r="Y384" s="8" t="s">
        <v>1727</v>
      </c>
      <c r="Z384" s="18">
        <f t="shared" si="11"/>
        <v>0</v>
      </c>
      <c r="AA384" s="8" t="s">
        <v>1721</v>
      </c>
      <c r="AB384" s="6" t="s">
        <v>2463</v>
      </c>
      <c r="AC384" s="7"/>
      <c r="AD384" s="8" t="s">
        <v>1721</v>
      </c>
      <c r="AE384" s="8" t="s">
        <v>1721</v>
      </c>
      <c r="AF384" s="8" t="s">
        <v>2401</v>
      </c>
      <c r="AG384" s="8"/>
      <c r="AH384" s="47"/>
      <c r="AI384" s="47">
        <f>VLOOKUP(B384,'Components Usage'!A$2:C$603,3,FALSE)</f>
        <v>0</v>
      </c>
      <c r="AJ384" s="28" t="s">
        <v>2401</v>
      </c>
    </row>
    <row r="385" spans="1:36" hidden="1" x14ac:dyDescent="0.25">
      <c r="A385" s="16" t="str">
        <f>'Components Data Source'!A385</f>
        <v>WLAN(ESP-12S)</v>
      </c>
      <c r="B385" s="8" t="str">
        <f>'Components Data Source'!B385</f>
        <v>66990164-3C50-4960-916D-327737A7A093</v>
      </c>
      <c r="C385" s="8" t="str">
        <f>'Components Data Source'!C385</f>
        <v>WLAN_ESP12S.fcpx</v>
      </c>
      <c r="D385" s="8" t="str">
        <f>'Components Data Source'!D385</f>
        <v>Components\IO_Source\WLAN_ESP12S.fcfx</v>
      </c>
      <c r="E385" s="8" t="str">
        <f>'Components Data Source'!E385</f>
        <v>COMMSB</v>
      </c>
      <c r="F385" s="8" t="str">
        <f>'Components Data Source'!F385</f>
        <v>COMMS: NETWORKING</v>
      </c>
      <c r="G385" s="8">
        <f>'Components Data Source'!G385</f>
        <v>0</v>
      </c>
      <c r="H385" s="8">
        <f>'Components Data Source'!H385</f>
        <v>0</v>
      </c>
      <c r="I385" s="8" t="str">
        <f>'Components Data Source'!I385</f>
        <v xml:space="preserve">UART </v>
      </c>
      <c r="J385" s="8">
        <f>'Components Data Source'!J385</f>
        <v>1</v>
      </c>
      <c r="K385" s="8">
        <f>'Components Data Source'!K385</f>
        <v>1</v>
      </c>
      <c r="L385" s="8">
        <f>'Components Data Source'!L385</f>
        <v>0</v>
      </c>
      <c r="M385" s="8" t="s">
        <v>1727</v>
      </c>
      <c r="N385" s="17" t="str">
        <f>HYPERLINK('Components Data Source'!M385)</f>
        <v>https://www.flowcode.co.uk/wiki/index.php?title=Component:_ID_66990164_3c50_4960_916d_327737a7a093</v>
      </c>
      <c r="O385" s="8" t="s">
        <v>1721</v>
      </c>
      <c r="P385" s="8" t="s">
        <v>2774</v>
      </c>
      <c r="Q385" s="8" t="str">
        <f t="shared" si="12"/>
        <v/>
      </c>
      <c r="R385" s="8" t="s">
        <v>1721</v>
      </c>
      <c r="S385" s="8" t="s">
        <v>1721</v>
      </c>
      <c r="T385" s="8" t="s">
        <v>1721</v>
      </c>
      <c r="U385" s="8" t="s">
        <v>1721</v>
      </c>
      <c r="V385" s="1" t="s">
        <v>1009</v>
      </c>
      <c r="W385" s="1" t="s">
        <v>1183</v>
      </c>
      <c r="X385" s="8"/>
      <c r="Y385" s="8"/>
      <c r="Z385" s="18">
        <f t="shared" si="11"/>
        <v>0</v>
      </c>
      <c r="AA385" s="8" t="s">
        <v>1721</v>
      </c>
      <c r="AB385" s="7" t="s">
        <v>2577</v>
      </c>
      <c r="AC385" s="7"/>
      <c r="AD385" s="8" t="s">
        <v>1721</v>
      </c>
      <c r="AE385" s="8" t="s">
        <v>1721</v>
      </c>
      <c r="AF385" s="8" t="s">
        <v>2401</v>
      </c>
      <c r="AG385" s="8"/>
      <c r="AH385" s="47"/>
      <c r="AI385" s="47">
        <f>VLOOKUP(B385,'Components Usage'!A$2:C$603,3,FALSE)</f>
        <v>1</v>
      </c>
      <c r="AJ385" s="28" t="s">
        <v>2401</v>
      </c>
    </row>
    <row r="386" spans="1:36" hidden="1" x14ac:dyDescent="0.25">
      <c r="A386" s="16" t="str">
        <f>'Components Data Source'!A386</f>
        <v>WIFI(BL0136)</v>
      </c>
      <c r="B386" s="8" t="str">
        <f>'Components Data Source'!B386</f>
        <v>EA9C0946-5F88-4F9A-AE5F-8BA9B981B389</v>
      </c>
      <c r="C386" s="8" t="str">
        <f>'Components Data Source'!C386</f>
        <v>WLAN_ESP12S_BL0136.fcpx</v>
      </c>
      <c r="D386" s="8" t="str">
        <f>'Components Data Source'!D386</f>
        <v>Components\IO_Source\EB2\EBlocks2_WLAN_ESP12S_BL0136.fcfx</v>
      </c>
      <c r="E386" s="8" t="str">
        <f>'Components Data Source'!E386</f>
        <v>COMMSB</v>
      </c>
      <c r="F386" s="8" t="str">
        <f>'Components Data Source'!F386</f>
        <v>E-BLOCKS 2</v>
      </c>
      <c r="G386" s="8">
        <f>'Components Data Source'!G386</f>
        <v>0</v>
      </c>
      <c r="H386" s="8">
        <f>'Components Data Source'!H386</f>
        <v>0</v>
      </c>
      <c r="I386" s="8" t="str">
        <f>'Components Data Source'!I386</f>
        <v xml:space="preserve">UART </v>
      </c>
      <c r="J386" s="8">
        <f>'Components Data Source'!J386</f>
        <v>1</v>
      </c>
      <c r="K386" s="8">
        <f>'Components Data Source'!K386</f>
        <v>1</v>
      </c>
      <c r="L386" s="8">
        <f>'Components Data Source'!L386</f>
        <v>0</v>
      </c>
      <c r="M386" s="8" t="s">
        <v>1727</v>
      </c>
      <c r="N386" s="17" t="str">
        <f>HYPERLINK('Components Data Source'!M386)</f>
        <v>https://www.flowcode.co.uk/wiki/index.php?title=Component:_ID_ea9c0946_5f88_4f9a_ae5f_8ba9b981b389</v>
      </c>
      <c r="O386" s="8" t="s">
        <v>2589</v>
      </c>
      <c r="P386" s="8"/>
      <c r="Q386" s="8" t="str">
        <f t="shared" si="12"/>
        <v/>
      </c>
      <c r="R386" s="8" t="s">
        <v>1727</v>
      </c>
      <c r="S386" s="8"/>
      <c r="T386" s="8"/>
      <c r="U386" s="8"/>
      <c r="V386" s="8" t="s">
        <v>1730</v>
      </c>
      <c r="W386" s="8" t="s">
        <v>1730</v>
      </c>
      <c r="X386" s="8"/>
      <c r="Y386" s="8"/>
      <c r="Z386" s="18">
        <f t="shared" ref="Z386:Z449" si="13">IF(AND(R386="Y",Y386="Y"),1,IF(R386="N",2,IF(R386="",4,IF(Y386="A",3,0))))</f>
        <v>2</v>
      </c>
      <c r="AA386" s="8"/>
      <c r="AB386" s="7"/>
      <c r="AC386" s="7"/>
      <c r="AD386" s="8" t="s">
        <v>1721</v>
      </c>
      <c r="AE386" s="8" t="s">
        <v>1721</v>
      </c>
      <c r="AF386" s="8" t="s">
        <v>2401</v>
      </c>
      <c r="AG386" s="8"/>
      <c r="AH386" s="47"/>
      <c r="AI386" s="47">
        <f>VLOOKUP(B386,'Components Usage'!A$2:C$603,3,FALSE)</f>
        <v>1</v>
      </c>
      <c r="AJ386" s="28" t="s">
        <v>2401</v>
      </c>
    </row>
    <row r="387" spans="1:36" x14ac:dyDescent="0.25">
      <c r="A387" s="16" t="str">
        <f>'Components Data Source'!A387</f>
        <v>WLAN ESP32(ESP32)</v>
      </c>
      <c r="B387" s="8" t="str">
        <f>'Components Data Source'!B387</f>
        <v>F0F54E46-0848-4930-9BB6-EFF9A34ED229</v>
      </c>
      <c r="C387" s="8" t="str">
        <f>'Components Data Source'!C387</f>
        <v>WLAN_ESP32.fcpx</v>
      </c>
      <c r="D387" s="8" t="str">
        <f>'Components Data Source'!D387</f>
        <v>Components\IO_Source\WLAN_ESP32.fcfx</v>
      </c>
      <c r="E387" s="8" t="str">
        <f>'Components Data Source'!E387</f>
        <v>FREE</v>
      </c>
      <c r="F387" s="8" t="str">
        <f>'Components Data Source'!F387</f>
        <v>COMMS: NETWORKING</v>
      </c>
      <c r="G387" s="8">
        <f>'Components Data Source'!G387</f>
        <v>0</v>
      </c>
      <c r="H387" s="8">
        <f>'Components Data Source'!H387</f>
        <v>0</v>
      </c>
      <c r="I387" s="8">
        <f>'Components Data Source'!I387</f>
        <v>0</v>
      </c>
      <c r="J387" s="8">
        <f>'Components Data Source'!J387</f>
        <v>1</v>
      </c>
      <c r="K387" s="8">
        <f>'Components Data Source'!K387</f>
        <v>1</v>
      </c>
      <c r="L387" s="8">
        <f>'Components Data Source'!L387</f>
        <v>0</v>
      </c>
      <c r="M387" s="8" t="s">
        <v>1727</v>
      </c>
      <c r="N387" s="17" t="str">
        <f>HYPERLINK('Components Data Source'!M387)</f>
        <v>https://www.flowcode.co.uk/wiki/index.php?title=Component:_ID_f0f54e46_0848_4930_9bb6_eff9a34ed229</v>
      </c>
      <c r="O387" s="8" t="s">
        <v>1721</v>
      </c>
      <c r="P387" s="8"/>
      <c r="Q387" s="8" t="str">
        <f t="shared" si="12"/>
        <v/>
      </c>
      <c r="R387" s="8" t="s">
        <v>1721</v>
      </c>
      <c r="S387" s="8" t="s">
        <v>1721</v>
      </c>
      <c r="T387" s="8" t="s">
        <v>1721</v>
      </c>
      <c r="U387" s="8" t="s">
        <v>1721</v>
      </c>
      <c r="V387" s="8" t="s">
        <v>1009</v>
      </c>
      <c r="W387" s="8" t="s">
        <v>1731</v>
      </c>
      <c r="X387" s="8" t="s">
        <v>1721</v>
      </c>
      <c r="Y387" s="8" t="s">
        <v>1721</v>
      </c>
      <c r="Z387" s="18">
        <f t="shared" si="13"/>
        <v>1</v>
      </c>
      <c r="AA387" s="8"/>
      <c r="AB387" s="7" t="s">
        <v>2580</v>
      </c>
      <c r="AC387" s="7"/>
      <c r="AD387" s="8" t="s">
        <v>1721</v>
      </c>
      <c r="AE387" s="8" t="s">
        <v>1727</v>
      </c>
      <c r="AF387" s="8" t="s">
        <v>2401</v>
      </c>
      <c r="AG387" s="8" t="s">
        <v>1721</v>
      </c>
      <c r="AH387" s="47"/>
      <c r="AI387" s="47">
        <f>VLOOKUP(B387,'Components Usage'!A$2:C$603,3,FALSE)</f>
        <v>75</v>
      </c>
      <c r="AJ387" s="28" t="s">
        <v>2401</v>
      </c>
    </row>
    <row r="388" spans="1:36" ht="18.75" hidden="1" customHeight="1" x14ac:dyDescent="0.25">
      <c r="A388" s="16" t="str">
        <f>'Components Data Source'!A388</f>
        <v>WLAN(ESP8266)</v>
      </c>
      <c r="B388" s="8" t="str">
        <f>'Components Data Source'!B388</f>
        <v>E1BB4679-58EF-40DC-8D09-306ADA46F7BF</v>
      </c>
      <c r="C388" s="8" t="str">
        <f>'Components Data Source'!C388</f>
        <v>WLAN_ESP8266.fcpx</v>
      </c>
      <c r="D388" s="8" t="str">
        <f>'Components Data Source'!D388</f>
        <v>Components\IO_Source\WLAN_ESP8266.fcfx</v>
      </c>
      <c r="E388" s="8" t="str">
        <f>'Components Data Source'!E388</f>
        <v>COMMSB</v>
      </c>
      <c r="F388" s="8" t="str">
        <f>'Components Data Source'!F388</f>
        <v>COMMS: NETWORKING</v>
      </c>
      <c r="G388" s="8">
        <f>'Components Data Source'!G388</f>
        <v>0</v>
      </c>
      <c r="H388" s="8">
        <f>'Components Data Source'!H388</f>
        <v>0</v>
      </c>
      <c r="I388" s="8" t="str">
        <f>'Components Data Source'!I388</f>
        <v xml:space="preserve">UART </v>
      </c>
      <c r="J388" s="8">
        <f>'Components Data Source'!J388</f>
        <v>1</v>
      </c>
      <c r="K388" s="8">
        <f>'Components Data Source'!K388</f>
        <v>1</v>
      </c>
      <c r="L388" s="8">
        <f>'Components Data Source'!L388</f>
        <v>0</v>
      </c>
      <c r="M388" s="8" t="s">
        <v>1727</v>
      </c>
      <c r="N388" s="17" t="str">
        <f>HYPERLINK('Components Data Source'!M388)</f>
        <v>https://www.flowcode.co.uk/wiki/index.php?title=Component:_ID_e1bb4679_58ef_40dc_8d09_306ada46f7bf</v>
      </c>
      <c r="O388" s="8" t="s">
        <v>1721</v>
      </c>
      <c r="P388" s="8"/>
      <c r="Q388" s="8" t="str">
        <f t="shared" si="12"/>
        <v/>
      </c>
      <c r="R388" s="1" t="s">
        <v>1721</v>
      </c>
      <c r="S388" s="1" t="s">
        <v>1721</v>
      </c>
      <c r="T388" s="1" t="s">
        <v>1721</v>
      </c>
      <c r="U388" s="1" t="s">
        <v>1721</v>
      </c>
      <c r="V388" s="1" t="s">
        <v>1009</v>
      </c>
      <c r="W388" s="1" t="s">
        <v>1183</v>
      </c>
      <c r="X388" s="1" t="s">
        <v>1721</v>
      </c>
      <c r="Y388" s="8" t="s">
        <v>1721</v>
      </c>
      <c r="Z388" s="18">
        <f t="shared" si="13"/>
        <v>1</v>
      </c>
      <c r="AA388" s="8" t="s">
        <v>1727</v>
      </c>
      <c r="AB388" s="6" t="s">
        <v>2461</v>
      </c>
      <c r="AC388" s="6" t="s">
        <v>2462</v>
      </c>
      <c r="AD388" s="8" t="s">
        <v>1721</v>
      </c>
      <c r="AE388" s="8" t="s">
        <v>1721</v>
      </c>
      <c r="AF388" s="8" t="s">
        <v>2401</v>
      </c>
      <c r="AG388" s="8" t="s">
        <v>1721</v>
      </c>
      <c r="AH388" s="47"/>
      <c r="AI388" s="47">
        <f>VLOOKUP(B388,'Components Usage'!A$2:C$603,3,FALSE)</f>
        <v>52</v>
      </c>
      <c r="AJ388" s="28" t="s">
        <v>2401</v>
      </c>
    </row>
    <row r="389" spans="1:36" hidden="1" x14ac:dyDescent="0.25">
      <c r="A389" s="16" t="str">
        <f>'Components Data Source'!A389</f>
        <v>WIFI(ESP8266)</v>
      </c>
      <c r="B389" s="8" t="str">
        <f>'Components Data Source'!B389</f>
        <v>4D985181-E4B1-4767-A068-FB31A6D68158</v>
      </c>
      <c r="C389" s="8" t="str">
        <f>'Components Data Source'!C389</f>
        <v>WLAN_ESP8266_EB069v2.fcpx</v>
      </c>
      <c r="D389" s="8" t="str">
        <f>'Components Data Source'!D389</f>
        <v>Components\IO_Source\WLAN_ESP8266_EB069.fcfx</v>
      </c>
      <c r="E389" s="8" t="str">
        <f>'Components Data Source'!E389</f>
        <v>COMMSB</v>
      </c>
      <c r="F389" s="8" t="str">
        <f>'Components Data Source'!F389</f>
        <v>E-BLOCKS 1</v>
      </c>
      <c r="G389" s="8">
        <f>'Components Data Source'!G389</f>
        <v>0</v>
      </c>
      <c r="H389" s="8">
        <f>'Components Data Source'!H389</f>
        <v>0</v>
      </c>
      <c r="I389" s="8" t="str">
        <f>'Components Data Source'!I389</f>
        <v xml:space="preserve">UART </v>
      </c>
      <c r="J389" s="8">
        <f>'Components Data Source'!J389</f>
        <v>1</v>
      </c>
      <c r="K389" s="8">
        <f>'Components Data Source'!K389</f>
        <v>1</v>
      </c>
      <c r="L389" s="8">
        <f>'Components Data Source'!L389</f>
        <v>0</v>
      </c>
      <c r="M389" s="8" t="s">
        <v>1727</v>
      </c>
      <c r="N389" s="17" t="str">
        <f>HYPERLINK('Components Data Source'!M389)</f>
        <v>https://www.flowcode.co.uk/wiki/index.php?title=Component:_ID_4d985181_e4b1_4767_a068_fb31a6d68158</v>
      </c>
      <c r="O389" s="8" t="s">
        <v>1721</v>
      </c>
      <c r="P389" s="8" t="s">
        <v>2774</v>
      </c>
      <c r="Q389" s="8" t="str">
        <f t="shared" si="12"/>
        <v/>
      </c>
      <c r="R389" s="8" t="s">
        <v>1721</v>
      </c>
      <c r="S389" s="8" t="s">
        <v>2504</v>
      </c>
      <c r="T389" s="8"/>
      <c r="U389" s="8"/>
      <c r="V389" s="8" t="s">
        <v>1009</v>
      </c>
      <c r="W389" s="1" t="s">
        <v>1183</v>
      </c>
      <c r="X389" s="8"/>
      <c r="Y389" s="8" t="s">
        <v>1721</v>
      </c>
      <c r="Z389" s="18">
        <f t="shared" si="13"/>
        <v>1</v>
      </c>
      <c r="AA389" s="8"/>
      <c r="AB389" s="7"/>
      <c r="AC389" s="7"/>
      <c r="AD389" s="8" t="s">
        <v>1721</v>
      </c>
      <c r="AE389" s="8" t="s">
        <v>1721</v>
      </c>
      <c r="AF389" s="8" t="s">
        <v>2401</v>
      </c>
      <c r="AG389" s="8"/>
      <c r="AH389" s="47"/>
      <c r="AI389" s="47">
        <f>VLOOKUP(B389,'Components Usage'!A$2:C$603,3,FALSE)</f>
        <v>10</v>
      </c>
      <c r="AJ389" s="28" t="s">
        <v>2401</v>
      </c>
    </row>
    <row r="390" spans="1:36" hidden="1" x14ac:dyDescent="0.25">
      <c r="A390" s="16" t="str">
        <f>'Components Data Source'!A390</f>
        <v>Webserver (GENERIC - Flash / File)</v>
      </c>
      <c r="B390" s="8" t="str">
        <f>'Components Data Source'!B390</f>
        <v>A1C9B843-A641-4B9C-B762-26995B8F9464</v>
      </c>
      <c r="C390" s="8" t="str">
        <f>'Components Data Source'!C390</f>
        <v>Webserver.fcpx</v>
      </c>
      <c r="D390" s="8" t="str">
        <f>'Components Data Source'!D390</f>
        <v>Components\IO_Source\WebServer.fcfx</v>
      </c>
      <c r="E390" s="8" t="str">
        <f>'Components Data Source'!E390</f>
        <v>COMMSC</v>
      </c>
      <c r="F390" s="8" t="str">
        <f>'Components Data Source'!F390</f>
        <v>COMMS: NETWORKING</v>
      </c>
      <c r="G390" s="8">
        <f>'Components Data Source'!G390</f>
        <v>0</v>
      </c>
      <c r="H390" s="8">
        <f>'Components Data Source'!H390</f>
        <v>0</v>
      </c>
      <c r="I390" s="8">
        <f>'Components Data Source'!I390</f>
        <v>0</v>
      </c>
      <c r="J390" s="8">
        <f>'Components Data Source'!J390</f>
        <v>1</v>
      </c>
      <c r="K390" s="8">
        <f>'Components Data Source'!K390</f>
        <v>1</v>
      </c>
      <c r="L390" s="8">
        <f>'Components Data Source'!L390</f>
        <v>1</v>
      </c>
      <c r="M390" s="8" t="s">
        <v>1727</v>
      </c>
      <c r="N390" s="17" t="str">
        <f>HYPERLINK('Components Data Source'!M390)</f>
        <v>https://www.flowcode.co.uk/wiki/index.php?title=Component:_ID_a1c9b843_a641_4b9c_b762_26995b8f9464</v>
      </c>
      <c r="O390" s="8" t="s">
        <v>1721</v>
      </c>
      <c r="P390" s="8" t="s">
        <v>2774</v>
      </c>
      <c r="Q390" s="8" t="str">
        <f t="shared" si="12"/>
        <v/>
      </c>
      <c r="R390" s="1" t="s">
        <v>1721</v>
      </c>
      <c r="S390" s="1" t="s">
        <v>1721</v>
      </c>
      <c r="T390" s="1" t="s">
        <v>1721</v>
      </c>
      <c r="U390" s="1" t="s">
        <v>1721</v>
      </c>
      <c r="V390" s="1" t="s">
        <v>1731</v>
      </c>
      <c r="W390" s="1" t="s">
        <v>1732</v>
      </c>
      <c r="X390" s="1" t="s">
        <v>1721</v>
      </c>
      <c r="Y390" s="8" t="s">
        <v>1721</v>
      </c>
      <c r="Z390" s="18">
        <f t="shared" si="13"/>
        <v>1</v>
      </c>
      <c r="AA390" s="8"/>
      <c r="AB390" s="6"/>
      <c r="AC390" s="7"/>
      <c r="AD390" s="8" t="s">
        <v>1721</v>
      </c>
      <c r="AE390" s="8" t="s">
        <v>1721</v>
      </c>
      <c r="AF390" s="8" t="s">
        <v>2401</v>
      </c>
      <c r="AG390" s="8" t="s">
        <v>1721</v>
      </c>
      <c r="AH390" s="47"/>
      <c r="AI390" s="47">
        <f>VLOOKUP(B390,'Components Usage'!A$2:C$603,3,FALSE)</f>
        <v>45</v>
      </c>
      <c r="AJ390" s="28" t="s">
        <v>2401</v>
      </c>
    </row>
    <row r="391" spans="1:36" hidden="1" x14ac:dyDescent="0.25">
      <c r="A391" s="16" t="str">
        <f>'Components Data Source'!A391</f>
        <v>Webserver (NM7010A)</v>
      </c>
      <c r="B391" s="8" t="str">
        <f>'Components Data Source'!B391</f>
        <v>FF377EDE-2C09-4A83-99A0-5E11C7AE16D9</v>
      </c>
      <c r="C391" s="8" t="str">
        <f>'Components Data Source'!C391</f>
        <v>Webserver_EB023_00_1.fcpx</v>
      </c>
      <c r="D391" s="8" t="str">
        <f>'Components Data Source'!D391</f>
        <v>Components\IO_Source\WebServer_EB023-00-1.fcfx</v>
      </c>
      <c r="E391" s="8" t="str">
        <f>'Components Data Source'!E391</f>
        <v>COMMSA</v>
      </c>
      <c r="F391" s="8" t="str">
        <f>'Components Data Source'!F391</f>
        <v>COMMS: NETWORKING</v>
      </c>
      <c r="G391" s="8">
        <f>'Components Data Source'!G391</f>
        <v>0</v>
      </c>
      <c r="H391" s="8">
        <f>'Components Data Source'!H391</f>
        <v>0</v>
      </c>
      <c r="I391" s="8" t="str">
        <f>'Components Data Source'!I391</f>
        <v xml:space="preserve">I2C </v>
      </c>
      <c r="J391" s="8">
        <f>'Components Data Source'!J391</f>
        <v>1</v>
      </c>
      <c r="K391" s="8">
        <f>'Components Data Source'!K391</f>
        <v>1</v>
      </c>
      <c r="L391" s="8">
        <f>'Components Data Source'!L391</f>
        <v>0</v>
      </c>
      <c r="M391" s="8" t="s">
        <v>1727</v>
      </c>
      <c r="N391" s="17" t="str">
        <f>HYPERLINK('Components Data Source'!M391)</f>
        <v>https://www.flowcode.co.uk/wiki/index.php?title=Component:_ID_ff377ede_2c09_4a83_99a0_5e11c7ae16d9</v>
      </c>
      <c r="O391" s="8" t="s">
        <v>1721</v>
      </c>
      <c r="P391" s="8"/>
      <c r="Q391" s="8" t="str">
        <f t="shared" si="12"/>
        <v/>
      </c>
      <c r="R391" s="1" t="s">
        <v>1721</v>
      </c>
      <c r="S391" s="1" t="s">
        <v>1721</v>
      </c>
      <c r="T391" s="1" t="s">
        <v>1721</v>
      </c>
      <c r="U391" s="1" t="s">
        <v>1721</v>
      </c>
      <c r="V391" s="1" t="s">
        <v>1009</v>
      </c>
      <c r="W391" s="1" t="s">
        <v>1175</v>
      </c>
      <c r="X391" s="1" t="s">
        <v>1721</v>
      </c>
      <c r="Y391" s="8" t="s">
        <v>1727</v>
      </c>
      <c r="Z391" s="18">
        <f t="shared" si="13"/>
        <v>0</v>
      </c>
      <c r="AA391" s="8" t="s">
        <v>1721</v>
      </c>
      <c r="AB391" s="6" t="s">
        <v>2528</v>
      </c>
      <c r="AC391" s="7"/>
      <c r="AD391" s="8" t="s">
        <v>1721</v>
      </c>
      <c r="AE391" s="8" t="s">
        <v>1727</v>
      </c>
      <c r="AF391" s="8" t="s">
        <v>2401</v>
      </c>
      <c r="AG391" s="8"/>
      <c r="AH391" s="47"/>
      <c r="AI391" s="47">
        <f>VLOOKUP(B391,'Components Usage'!A$2:C$603,3,FALSE)</f>
        <v>2</v>
      </c>
      <c r="AJ391" s="28" t="s">
        <v>2401</v>
      </c>
    </row>
    <row r="392" spans="1:36" hidden="1" x14ac:dyDescent="0.25">
      <c r="A392" s="16" t="str">
        <f>'Components Data Source'!A392</f>
        <v>Webserver(EB023 v1)</v>
      </c>
      <c r="B392" s="8" t="str">
        <f>'Components Data Source'!B392</f>
        <v>C0A18557-A477-4D5A-B9CA-E0724378D983</v>
      </c>
      <c r="C392" s="8" t="str">
        <f>'Components Data Source'!C392</f>
        <v>Webserver_EB023_00_1_EB.fcpx</v>
      </c>
      <c r="D392" s="8" t="str">
        <f>'Components Data Source'!D392</f>
        <v>Components\IO_Source\WebServer_EB023-00-1_EB.fcfx</v>
      </c>
      <c r="E392" s="8" t="str">
        <f>'Components Data Source'!E392</f>
        <v>COMMSA</v>
      </c>
      <c r="F392" s="8" t="str">
        <f>'Components Data Source'!F392</f>
        <v>E-BLOCKS 1</v>
      </c>
      <c r="G392" s="8">
        <f>'Components Data Source'!G392</f>
        <v>0</v>
      </c>
      <c r="H392" s="8">
        <f>'Components Data Source'!H392</f>
        <v>0</v>
      </c>
      <c r="I392" s="8" t="str">
        <f>'Components Data Source'!I392</f>
        <v xml:space="preserve">I2C </v>
      </c>
      <c r="J392" s="8">
        <f>'Components Data Source'!J392</f>
        <v>1</v>
      </c>
      <c r="K392" s="8">
        <f>'Components Data Source'!K392</f>
        <v>1</v>
      </c>
      <c r="L392" s="8">
        <f>'Components Data Source'!L392</f>
        <v>0</v>
      </c>
      <c r="M392" s="8" t="s">
        <v>1727</v>
      </c>
      <c r="N392" s="17" t="str">
        <f>HYPERLINK('Components Data Source'!M392)</f>
        <v>https://www.flowcode.co.uk/wiki/index.php?title=Component:_ID_c0a18557_a477_4d5a_b9ca_e0724378d983</v>
      </c>
      <c r="O392" s="8" t="s">
        <v>2589</v>
      </c>
      <c r="P392" s="8"/>
      <c r="Q392" s="8" t="str">
        <f t="shared" si="12"/>
        <v/>
      </c>
      <c r="R392" s="8" t="s">
        <v>1721</v>
      </c>
      <c r="S392" s="8" t="s">
        <v>1721</v>
      </c>
      <c r="T392" s="8" t="s">
        <v>1721</v>
      </c>
      <c r="U392" s="8" t="s">
        <v>1721</v>
      </c>
      <c r="V392" s="8" t="s">
        <v>1009</v>
      </c>
      <c r="W392" s="8" t="s">
        <v>1175</v>
      </c>
      <c r="X392" s="8" t="s">
        <v>1727</v>
      </c>
      <c r="Y392" s="8" t="s">
        <v>1727</v>
      </c>
      <c r="Z392" s="18">
        <f t="shared" si="13"/>
        <v>0</v>
      </c>
      <c r="AA392" s="8" t="s">
        <v>1721</v>
      </c>
      <c r="AB392" s="7" t="s">
        <v>2578</v>
      </c>
      <c r="AC392" s="7"/>
      <c r="AD392" s="8" t="s">
        <v>1721</v>
      </c>
      <c r="AE392" s="8" t="s">
        <v>1727</v>
      </c>
      <c r="AF392" s="8" t="s">
        <v>2401</v>
      </c>
      <c r="AG392" s="8"/>
      <c r="AH392" s="47"/>
      <c r="AI392" s="47">
        <f>VLOOKUP(B392,'Components Usage'!A$2:C$603,3,FALSE)</f>
        <v>0</v>
      </c>
      <c r="AJ392" s="28" t="s">
        <v>2401</v>
      </c>
    </row>
    <row r="393" spans="1:36" hidden="1" x14ac:dyDescent="0.25">
      <c r="A393" s="16" t="str">
        <f>'Components Data Source'!A393</f>
        <v>Webserver(WIZ810MJ)</v>
      </c>
      <c r="B393" s="8" t="str">
        <f>'Components Data Source'!B393</f>
        <v>9E68A715-EDC2-4A98-BE64-C0D02F700135</v>
      </c>
      <c r="C393" s="8" t="str">
        <f>'Components Data Source'!C393</f>
        <v>Webserver_EB023_00_2.fcpx</v>
      </c>
      <c r="D393" s="8" t="str">
        <f>'Components Data Source'!D393</f>
        <v>Components\IO_Source\WebServer_EB023-00-2.fcfx</v>
      </c>
      <c r="E393" s="8" t="str">
        <f>'Components Data Source'!E393</f>
        <v>COMMSA</v>
      </c>
      <c r="F393" s="8" t="str">
        <f>'Components Data Source'!F393</f>
        <v>COMMS: NETWORKING</v>
      </c>
      <c r="G393" s="8">
        <f>'Components Data Source'!G393</f>
        <v>0</v>
      </c>
      <c r="H393" s="8">
        <f>'Components Data Source'!H393</f>
        <v>0</v>
      </c>
      <c r="I393" s="8" t="str">
        <f>'Components Data Source'!I393</f>
        <v xml:space="preserve">SPI </v>
      </c>
      <c r="J393" s="8">
        <f>'Components Data Source'!J393</f>
        <v>1</v>
      </c>
      <c r="K393" s="8">
        <f>'Components Data Source'!K393</f>
        <v>1</v>
      </c>
      <c r="L393" s="8">
        <f>'Components Data Source'!L393</f>
        <v>0</v>
      </c>
      <c r="M393" s="8" t="s">
        <v>1727</v>
      </c>
      <c r="N393" s="17" t="str">
        <f>HYPERLINK('Components Data Source'!M393)</f>
        <v>https://www.flowcode.co.uk/wiki/index.php?title=Component:_ID_9e68a715_edc2_4a98_be64_c0d02f700135</v>
      </c>
      <c r="O393" s="8" t="s">
        <v>1721</v>
      </c>
      <c r="P393" s="8"/>
      <c r="Q393" s="8" t="str">
        <f t="shared" si="12"/>
        <v/>
      </c>
      <c r="R393" s="1" t="s">
        <v>1721</v>
      </c>
      <c r="S393" s="1" t="s">
        <v>1721</v>
      </c>
      <c r="T393" s="1" t="s">
        <v>1721</v>
      </c>
      <c r="U393" s="1" t="s">
        <v>1721</v>
      </c>
      <c r="V393" s="1" t="s">
        <v>1009</v>
      </c>
      <c r="W393" s="1" t="s">
        <v>1180</v>
      </c>
      <c r="X393" s="1" t="s">
        <v>1721</v>
      </c>
      <c r="Y393" s="8" t="s">
        <v>1727</v>
      </c>
      <c r="Z393" s="18">
        <f t="shared" si="13"/>
        <v>0</v>
      </c>
      <c r="AA393" s="8" t="s">
        <v>1727</v>
      </c>
      <c r="AB393" s="7" t="s">
        <v>2515</v>
      </c>
      <c r="AC393" s="7"/>
      <c r="AD393" s="8" t="s">
        <v>1721</v>
      </c>
      <c r="AE393" s="8" t="s">
        <v>1727</v>
      </c>
      <c r="AF393" s="8" t="s">
        <v>2401</v>
      </c>
      <c r="AG393" s="8"/>
      <c r="AH393" s="47"/>
      <c r="AI393" s="47">
        <f>VLOOKUP(B393,'Components Usage'!A$2:C$603,3,FALSE)</f>
        <v>8</v>
      </c>
      <c r="AJ393" s="28" t="s">
        <v>2401</v>
      </c>
    </row>
    <row r="394" spans="1:36" hidden="1" x14ac:dyDescent="0.25">
      <c r="A394" s="16" t="str">
        <f>'Components Data Source'!A394</f>
        <v>Webserver(EB023 v2)</v>
      </c>
      <c r="B394" s="8" t="str">
        <f>'Components Data Source'!B394</f>
        <v>EE1635E0-3008-4836-89E1-005435F4A33D</v>
      </c>
      <c r="C394" s="8" t="str">
        <f>'Components Data Source'!C394</f>
        <v>Webserver_EB023_00_2_EB.fcpx</v>
      </c>
      <c r="D394" s="8" t="str">
        <f>'Components Data Source'!D394</f>
        <v>Components\IO_Source\WebServer_EB023-00-2_EB.fcfx</v>
      </c>
      <c r="E394" s="8" t="str">
        <f>'Components Data Source'!E394</f>
        <v>COMMSA</v>
      </c>
      <c r="F394" s="8" t="str">
        <f>'Components Data Source'!F394</f>
        <v>E-BLOCKS 1</v>
      </c>
      <c r="G394" s="8">
        <f>'Components Data Source'!G394</f>
        <v>0</v>
      </c>
      <c r="H394" s="8">
        <f>'Components Data Source'!H394</f>
        <v>0</v>
      </c>
      <c r="I394" s="8" t="str">
        <f>'Components Data Source'!I394</f>
        <v xml:space="preserve">SPI </v>
      </c>
      <c r="J394" s="8">
        <f>'Components Data Source'!J394</f>
        <v>1</v>
      </c>
      <c r="K394" s="8">
        <f>'Components Data Source'!K394</f>
        <v>1</v>
      </c>
      <c r="L394" s="8">
        <f>'Components Data Source'!L394</f>
        <v>0</v>
      </c>
      <c r="M394" s="8" t="s">
        <v>1727</v>
      </c>
      <c r="N394" s="17" t="str">
        <f>HYPERLINK('Components Data Source'!M394)</f>
        <v>https://www.flowcode.co.uk/wiki/index.php?title=Component:_ID_ee1635e0_3008_4836_89e1_005435f4a33d</v>
      </c>
      <c r="O394" s="8" t="s">
        <v>2589</v>
      </c>
      <c r="P394" s="8"/>
      <c r="Q394" s="8" t="str">
        <f t="shared" si="12"/>
        <v/>
      </c>
      <c r="R394" s="8" t="s">
        <v>1721</v>
      </c>
      <c r="S394" s="8" t="s">
        <v>1721</v>
      </c>
      <c r="T394" s="8" t="s">
        <v>1721</v>
      </c>
      <c r="U394" s="8" t="s">
        <v>1721</v>
      </c>
      <c r="V394" s="8" t="s">
        <v>1009</v>
      </c>
      <c r="W394" s="8" t="s">
        <v>1180</v>
      </c>
      <c r="X394" s="8" t="s">
        <v>1721</v>
      </c>
      <c r="Y394" s="8" t="s">
        <v>1721</v>
      </c>
      <c r="Z394" s="18">
        <f t="shared" si="13"/>
        <v>1</v>
      </c>
      <c r="AA394" s="8" t="s">
        <v>1727</v>
      </c>
      <c r="AB394" s="7" t="s">
        <v>2515</v>
      </c>
      <c r="AC394" s="7"/>
      <c r="AD394" s="8" t="s">
        <v>1721</v>
      </c>
      <c r="AE394" s="8" t="s">
        <v>1727</v>
      </c>
      <c r="AF394" s="8" t="s">
        <v>2401</v>
      </c>
      <c r="AG394" s="8"/>
      <c r="AH394" s="47"/>
      <c r="AI394" s="47">
        <f>VLOOKUP(B394,'Components Usage'!A$2:C$603,3,FALSE)</f>
        <v>0</v>
      </c>
      <c r="AJ394" s="28" t="s">
        <v>2401</v>
      </c>
    </row>
    <row r="395" spans="1:36" hidden="1" x14ac:dyDescent="0.25">
      <c r="A395" s="16" t="str">
        <f>'Components Data Source'!A395</f>
        <v>Webserver(W5500)</v>
      </c>
      <c r="B395" s="8" t="str">
        <f>'Components Data Source'!B395</f>
        <v>F77F2B22-6A7C-4AE6-9F5F-724660CC6C93</v>
      </c>
      <c r="C395" s="8" t="str">
        <f>'Components Data Source'!C395</f>
        <v>Webserver_W5500.fcpx</v>
      </c>
      <c r="D395" s="8" t="str">
        <f>'Components Data Source'!D395</f>
        <v>Components\IO_Source\WebServer_W5500.fcfx</v>
      </c>
      <c r="E395" s="8" t="str">
        <f>'Components Data Source'!E395</f>
        <v>COMMSC</v>
      </c>
      <c r="F395" s="8" t="str">
        <f>'Components Data Source'!F395</f>
        <v>COMMS: NETWORKING</v>
      </c>
      <c r="G395" s="8">
        <f>'Components Data Source'!G395</f>
        <v>0</v>
      </c>
      <c r="H395" s="8">
        <f>'Components Data Source'!H395</f>
        <v>0</v>
      </c>
      <c r="I395" s="8" t="str">
        <f>'Components Data Source'!I395</f>
        <v xml:space="preserve">SPI </v>
      </c>
      <c r="J395" s="8">
        <f>'Components Data Source'!J395</f>
        <v>1</v>
      </c>
      <c r="K395" s="8">
        <f>'Components Data Source'!K395</f>
        <v>1</v>
      </c>
      <c r="L395" s="8">
        <f>'Components Data Source'!L395</f>
        <v>0</v>
      </c>
      <c r="M395" s="8" t="s">
        <v>1727</v>
      </c>
      <c r="N395" s="17" t="str">
        <f>HYPERLINK('Components Data Source'!M395)</f>
        <v>https://www.flowcode.co.uk/wiki/index.php?title=Component:_ID_f77f2b22_6a7c_4ae6_9f5f_724660cc6c93</v>
      </c>
      <c r="O395" s="8" t="s">
        <v>1721</v>
      </c>
      <c r="P395" s="8"/>
      <c r="Q395" s="8" t="str">
        <f t="shared" si="12"/>
        <v/>
      </c>
      <c r="R395" s="8" t="s">
        <v>1721</v>
      </c>
      <c r="S395" s="8" t="s">
        <v>1721</v>
      </c>
      <c r="T395" s="8" t="s">
        <v>1721</v>
      </c>
      <c r="U395" s="8" t="s">
        <v>1721</v>
      </c>
      <c r="V395" s="8" t="s">
        <v>1009</v>
      </c>
      <c r="W395" s="8" t="s">
        <v>1180</v>
      </c>
      <c r="X395" s="8" t="s">
        <v>1721</v>
      </c>
      <c r="Y395" s="8" t="s">
        <v>1721</v>
      </c>
      <c r="Z395" s="18">
        <f t="shared" si="13"/>
        <v>1</v>
      </c>
      <c r="AA395" s="8" t="s">
        <v>1727</v>
      </c>
      <c r="AB395" s="7" t="s">
        <v>2515</v>
      </c>
      <c r="AC395" s="7"/>
      <c r="AD395" s="8" t="s">
        <v>1721</v>
      </c>
      <c r="AE395" s="8" t="s">
        <v>1727</v>
      </c>
      <c r="AF395" s="8" t="s">
        <v>2401</v>
      </c>
      <c r="AG395" s="8"/>
      <c r="AH395" s="47"/>
      <c r="AI395" s="47">
        <f>VLOOKUP(B395,'Components Usage'!A$2:C$603,3,FALSE)</f>
        <v>4</v>
      </c>
      <c r="AJ395" s="28" t="s">
        <v>2401</v>
      </c>
    </row>
    <row r="396" spans="1:36" x14ac:dyDescent="0.25">
      <c r="A396" s="16" t="str">
        <f>'Components Data Source'!A396</f>
        <v>Wii Nunchuk</v>
      </c>
      <c r="B396" s="8" t="str">
        <f>'Components Data Source'!B396</f>
        <v>8C4C9DB2-8C42-458D-B071-001ACD191C49</v>
      </c>
      <c r="C396" s="8" t="str">
        <f>'Components Data Source'!C396</f>
        <v>WiiNunchuck.fcpx</v>
      </c>
      <c r="D396" s="8" t="str">
        <f>'Components Data Source'!D396</f>
        <v>Components\IO_Source\Sensors\WiiNunchuck.fcfx</v>
      </c>
      <c r="E396" s="8" t="str">
        <f>'Components Data Source'!E396</f>
        <v>FREE</v>
      </c>
      <c r="F396" s="8" t="str">
        <f>'Components Data Source'!F396</f>
        <v>GENERAL INPUT</v>
      </c>
      <c r="G396" s="8" t="str">
        <f>'Components Data Source'!G396</f>
        <v>MOVEMENT &amp;AMP; ORIENTATION</v>
      </c>
      <c r="H396" s="8">
        <f>'Components Data Source'!H396</f>
        <v>0</v>
      </c>
      <c r="I396" s="8" t="str">
        <f>'Components Data Source'!I396</f>
        <v xml:space="preserve">I2C </v>
      </c>
      <c r="J396" s="8">
        <f>'Components Data Source'!J396</f>
        <v>1</v>
      </c>
      <c r="K396" s="8">
        <f>'Components Data Source'!K396</f>
        <v>1</v>
      </c>
      <c r="L396" s="8">
        <f>'Components Data Source'!L396</f>
        <v>1</v>
      </c>
      <c r="M396" s="8" t="s">
        <v>1727</v>
      </c>
      <c r="N396" s="17" t="str">
        <f>HYPERLINK('Components Data Source'!M396)</f>
        <v>https://www.flowcode.co.uk/wiki/index.php?title=Component:_ID_8c4c9db2_8c42_458d_b071_001acd191c49</v>
      </c>
      <c r="O396" s="8" t="s">
        <v>1721</v>
      </c>
      <c r="P396" s="8"/>
      <c r="Q396" s="8" t="str">
        <f t="shared" si="12"/>
        <v/>
      </c>
      <c r="R396" s="1" t="s">
        <v>1721</v>
      </c>
      <c r="S396" s="1" t="s">
        <v>1721</v>
      </c>
      <c r="T396" s="1" t="s">
        <v>1721</v>
      </c>
      <c r="U396" s="1" t="s">
        <v>1721</v>
      </c>
      <c r="V396" s="1" t="s">
        <v>1731</v>
      </c>
      <c r="W396" s="1" t="s">
        <v>1175</v>
      </c>
      <c r="X396" s="1" t="s">
        <v>1721</v>
      </c>
      <c r="Y396" s="8" t="s">
        <v>1721</v>
      </c>
      <c r="Z396" s="18">
        <f t="shared" si="13"/>
        <v>1</v>
      </c>
      <c r="AA396" s="8"/>
      <c r="AB396" s="6" t="s">
        <v>2505</v>
      </c>
      <c r="AC396" s="7"/>
      <c r="AD396" s="8" t="s">
        <v>1721</v>
      </c>
      <c r="AE396" s="8" t="s">
        <v>1727</v>
      </c>
      <c r="AF396" s="8" t="s">
        <v>1727</v>
      </c>
      <c r="AG396" s="8"/>
      <c r="AH396" s="47"/>
      <c r="AI396" s="47">
        <f>VLOOKUP(B396,'Components Usage'!A$2:C$603,3,FALSE)</f>
        <v>1</v>
      </c>
      <c r="AJ396" s="28" t="s">
        <v>2401</v>
      </c>
    </row>
    <row r="397" spans="1:36" hidden="1" x14ac:dyDescent="0.25">
      <c r="A397" s="16" t="str">
        <f>'Components Data Source'!A397</f>
        <v>Digital Potentiometer (X9Cx0x)</v>
      </c>
      <c r="B397" s="8" t="str">
        <f>'Components Data Source'!B397</f>
        <v>0A0819D2-73B7-4BC2-BC11-F3139972D224</v>
      </c>
      <c r="C397" s="8" t="str">
        <f>'Components Data Source'!C397</f>
        <v>X9Cx0x_DigitalPot.fcpx</v>
      </c>
      <c r="D397" s="8" t="str">
        <f>'Components Data Source'!D397</f>
        <v>Components\IO_Source\outputs\X9C_Digital_Pot.fcfx</v>
      </c>
      <c r="E397" s="8" t="str">
        <f>'Components Data Source'!E397</f>
        <v>BASICIO</v>
      </c>
      <c r="F397" s="8" t="str">
        <f>'Components Data Source'!F397</f>
        <v>ANALOG OUTPUT</v>
      </c>
      <c r="G397" s="8">
        <f>'Components Data Source'!G397</f>
        <v>0</v>
      </c>
      <c r="H397" s="8">
        <f>'Components Data Source'!H397</f>
        <v>0</v>
      </c>
      <c r="I397" s="8">
        <f>'Components Data Source'!I397</f>
        <v>0</v>
      </c>
      <c r="J397" s="8">
        <f>'Components Data Source'!J397</f>
        <v>1</v>
      </c>
      <c r="K397" s="8">
        <f>'Components Data Source'!K397</f>
        <v>1</v>
      </c>
      <c r="L397" s="8">
        <f>'Components Data Source'!L397</f>
        <v>0</v>
      </c>
      <c r="M397" s="8" t="s">
        <v>1727</v>
      </c>
      <c r="N397" s="17" t="str">
        <f>HYPERLINK('Components Data Source'!M397)</f>
        <v>https://www.flowcode.co.uk/wiki/index.php?title=Component:_ID_0a0819d2_73b7_4bc2_bc11_f3139972d224</v>
      </c>
      <c r="O397" s="8" t="s">
        <v>1721</v>
      </c>
      <c r="P397" s="8"/>
      <c r="Q397" s="8" t="str">
        <f t="shared" si="12"/>
        <v/>
      </c>
      <c r="R397" s="8" t="s">
        <v>1721</v>
      </c>
      <c r="S397" s="8" t="s">
        <v>1721</v>
      </c>
      <c r="T397" s="8" t="s">
        <v>1727</v>
      </c>
      <c r="U397" s="8" t="s">
        <v>1727</v>
      </c>
      <c r="V397" s="8" t="s">
        <v>1731</v>
      </c>
      <c r="W397" s="8" t="s">
        <v>1731</v>
      </c>
      <c r="X397" s="8" t="s">
        <v>1721</v>
      </c>
      <c r="Y397" s="8" t="s">
        <v>1721</v>
      </c>
      <c r="Z397" s="18">
        <f t="shared" si="13"/>
        <v>1</v>
      </c>
      <c r="AA397" s="8"/>
      <c r="AB397" s="7"/>
      <c r="AC397" s="7"/>
      <c r="AD397" s="8" t="s">
        <v>1721</v>
      </c>
      <c r="AE397" s="8" t="s">
        <v>1727</v>
      </c>
      <c r="AF397" s="8" t="s">
        <v>1727</v>
      </c>
      <c r="AG397" s="8"/>
      <c r="AH397" s="47"/>
      <c r="AI397" s="47">
        <f>VLOOKUP(B397,'Components Usage'!A$2:C$603,3,FALSE)</f>
        <v>0</v>
      </c>
      <c r="AJ397" s="28" t="s">
        <v>2401</v>
      </c>
    </row>
    <row r="398" spans="1:36" hidden="1" x14ac:dyDescent="0.25">
      <c r="A398" s="16" t="str">
        <f>'Components Data Source'!A398</f>
        <v>Touch Screen (XPT2046)</v>
      </c>
      <c r="B398" s="8" t="str">
        <f>'Components Data Source'!B398</f>
        <v>AB872CC0-E6FE-4D30-A7CB-A1EFC6AE87A6</v>
      </c>
      <c r="C398" s="8" t="str">
        <f>'Components Data Source'!C398</f>
        <v>XPT2046.fcpx</v>
      </c>
      <c r="D398" s="8" t="str">
        <f>'Components Data Source'!D398</f>
        <v>Components\IO_Source\XPT2046TouchScreenController.fcfx</v>
      </c>
      <c r="E398" s="8" t="str">
        <f>'Components Data Source'!E398</f>
        <v>SENSORS</v>
      </c>
      <c r="F398" s="8" t="str">
        <f>'Components Data Source'!F398</f>
        <v>FORCE</v>
      </c>
      <c r="G398" s="8">
        <f>'Components Data Source'!G398</f>
        <v>0</v>
      </c>
      <c r="H398" s="8">
        <f>'Components Data Source'!H398</f>
        <v>0</v>
      </c>
      <c r="I398" s="8" t="str">
        <f>'Components Data Source'!I398</f>
        <v xml:space="preserve">SPI </v>
      </c>
      <c r="J398" s="8">
        <f>'Components Data Source'!J398</f>
        <v>1</v>
      </c>
      <c r="K398" s="8">
        <f>'Components Data Source'!K398</f>
        <v>1</v>
      </c>
      <c r="L398" s="8">
        <f>'Components Data Source'!L398</f>
        <v>0</v>
      </c>
      <c r="M398" s="8" t="s">
        <v>1727</v>
      </c>
      <c r="N398" s="17" t="str">
        <f>HYPERLINK('Components Data Source'!M398)</f>
        <v>https://www.flowcode.co.uk/wiki/index.php?title=Component:_ID_ab872cc0_e6fe_4d30_a7cb_a1efc6ae87a6</v>
      </c>
      <c r="O398" s="8" t="s">
        <v>1721</v>
      </c>
      <c r="P398" s="8"/>
      <c r="Q398" s="8" t="str">
        <f t="shared" si="12"/>
        <v/>
      </c>
      <c r="R398" s="1" t="s">
        <v>1721</v>
      </c>
      <c r="S398" s="1" t="s">
        <v>1721</v>
      </c>
      <c r="T398" s="1" t="s">
        <v>1721</v>
      </c>
      <c r="U398" s="1" t="s">
        <v>1721</v>
      </c>
      <c r="V398" s="1" t="s">
        <v>1731</v>
      </c>
      <c r="W398" s="1" t="s">
        <v>1180</v>
      </c>
      <c r="X398" s="1" t="s">
        <v>1721</v>
      </c>
      <c r="Y398" s="8" t="s">
        <v>1721</v>
      </c>
      <c r="Z398" s="18">
        <f t="shared" si="13"/>
        <v>1</v>
      </c>
      <c r="AA398" s="8"/>
      <c r="AB398" s="6" t="s">
        <v>2464</v>
      </c>
      <c r="AC398" s="7"/>
      <c r="AD398" s="8" t="s">
        <v>1721</v>
      </c>
      <c r="AE398" s="8" t="s">
        <v>1721</v>
      </c>
      <c r="AF398" s="8" t="s">
        <v>1727</v>
      </c>
      <c r="AG398" s="8"/>
      <c r="AH398" s="47"/>
      <c r="AI398" s="47">
        <f>VLOOKUP(B398,'Components Usage'!A$2:C$603,3,FALSE)</f>
        <v>15</v>
      </c>
      <c r="AJ398" s="28" t="s">
        <v>2401</v>
      </c>
    </row>
    <row r="399" spans="1:36" x14ac:dyDescent="0.25">
      <c r="A399" s="16" t="str">
        <f>'Components Data Source'!A399</f>
        <v>Xpress PCB</v>
      </c>
      <c r="B399" s="8" t="str">
        <f>'Components Data Source'!B399</f>
        <v>5E5E01EC-16BB-4C83-8805-E6CB22D41C51</v>
      </c>
      <c r="C399" s="8" t="str">
        <f>'Components Data Source'!C399</f>
        <v>XPressPCB.fcpx</v>
      </c>
      <c r="D399" s="8" t="str">
        <f>'Components Data Source'!D399</f>
        <v>Components\IO_Source\PCBs\XpressComponentPCBSource.fcfx</v>
      </c>
      <c r="E399" s="8" t="str">
        <f>'Components Data Source'!E399</f>
        <v>FREE</v>
      </c>
      <c r="F399" s="8" t="str">
        <f>'Components Data Source'!F399</f>
        <v>MISC</v>
      </c>
      <c r="G399" s="8">
        <f>'Components Data Source'!G399</f>
        <v>0</v>
      </c>
      <c r="H399" s="8">
        <f>'Components Data Source'!H399</f>
        <v>0</v>
      </c>
      <c r="I399" s="8">
        <f>'Components Data Source'!I399</f>
        <v>0</v>
      </c>
      <c r="J399" s="8">
        <f>'Components Data Source'!J399</f>
        <v>0</v>
      </c>
      <c r="K399" s="8">
        <f>'Components Data Source'!K399</f>
        <v>0</v>
      </c>
      <c r="L399" s="8">
        <f>'Components Data Source'!L399</f>
        <v>0</v>
      </c>
      <c r="M399" s="8" t="s">
        <v>1727</v>
      </c>
      <c r="N399" s="17" t="str">
        <f>HYPERLINK('Components Data Source'!M399)</f>
        <v>https://www.flowcode.co.uk/wiki/index.php?title=Component:_ID_5e5e01ec_16bb_4c83_8805_e6cb22d41c51</v>
      </c>
      <c r="O399" s="8" t="s">
        <v>2589</v>
      </c>
      <c r="P399" s="8" t="s">
        <v>2779</v>
      </c>
      <c r="Q399" s="8" t="str">
        <f t="shared" ref="Q399:Q462" si="14">IF(L399=1,IF(K399=1,"",1),"")</f>
        <v/>
      </c>
      <c r="R399" s="8" t="s">
        <v>1721</v>
      </c>
      <c r="S399" s="8" t="s">
        <v>1727</v>
      </c>
      <c r="T399" s="8"/>
      <c r="U399" s="8"/>
      <c r="V399" s="8" t="s">
        <v>1730</v>
      </c>
      <c r="W399" s="8" t="s">
        <v>1730</v>
      </c>
      <c r="X399" s="8"/>
      <c r="Y399" s="8" t="s">
        <v>1727</v>
      </c>
      <c r="Z399" s="18">
        <f t="shared" si="13"/>
        <v>0</v>
      </c>
      <c r="AA399" s="8"/>
      <c r="AB399" s="7" t="s">
        <v>2488</v>
      </c>
      <c r="AC399" s="7"/>
      <c r="AD399" s="8" t="s">
        <v>1721</v>
      </c>
      <c r="AE399" s="8" t="s">
        <v>1727</v>
      </c>
      <c r="AF399" s="8" t="s">
        <v>2401</v>
      </c>
      <c r="AG399" s="8"/>
      <c r="AH399" s="47"/>
      <c r="AI399" s="47">
        <f>VLOOKUP(B399,'Components Usage'!A$2:C$603,3,FALSE)</f>
        <v>0</v>
      </c>
      <c r="AJ399" s="28" t="s">
        <v>2401</v>
      </c>
    </row>
    <row r="400" spans="1:36" hidden="1" x14ac:dyDescent="0.25">
      <c r="A400" s="16" t="str">
        <f>'Components Data Source'!A400</f>
        <v>GLCD Graph Creator XY</v>
      </c>
      <c r="B400" s="8" t="str">
        <f>'Components Data Source'!B400</f>
        <v>7B198227-81D6-404C-A2D4-CE1E59EF84F8</v>
      </c>
      <c r="C400" s="8" t="str">
        <f>'Components Data Source'!C400</f>
        <v>XYGraphCreator.fcpx</v>
      </c>
      <c r="D400" s="8" t="str">
        <f>'Components Data Source'!D400</f>
        <v>Components\IO_Source\displays\GLCD_GraphXY.fcfx</v>
      </c>
      <c r="E400" s="8" t="str">
        <f>'Components Data Source'!E400</f>
        <v>DISPLAYS</v>
      </c>
      <c r="F400" s="8" t="str">
        <f>'Components Data Source'!F400</f>
        <v>GRAPHICAL LIBRARY</v>
      </c>
      <c r="G400" s="8">
        <f>'Components Data Source'!G400</f>
        <v>0</v>
      </c>
      <c r="H400" s="8">
        <f>'Components Data Source'!H400</f>
        <v>0</v>
      </c>
      <c r="I400" s="8">
        <f>'Components Data Source'!I400</f>
        <v>0</v>
      </c>
      <c r="J400" s="8">
        <f>'Components Data Source'!J400</f>
        <v>1</v>
      </c>
      <c r="K400" s="8">
        <f>'Components Data Source'!K400</f>
        <v>1</v>
      </c>
      <c r="L400" s="8">
        <f>'Components Data Source'!L400</f>
        <v>1</v>
      </c>
      <c r="M400" s="8" t="s">
        <v>1727</v>
      </c>
      <c r="N400" s="17" t="str">
        <f>HYPERLINK('Components Data Source'!M400)</f>
        <v>https://www.flowcode.co.uk/wiki/index.php?title=Component:_ID_7b198227_81d6_404c_a2d4_ce1e59ef84f8</v>
      </c>
      <c r="O400" s="8" t="s">
        <v>1721</v>
      </c>
      <c r="P400" s="8"/>
      <c r="Q400" s="8" t="str">
        <f t="shared" si="14"/>
        <v/>
      </c>
      <c r="R400" s="8" t="s">
        <v>1721</v>
      </c>
      <c r="S400" s="8" t="s">
        <v>1721</v>
      </c>
      <c r="T400" s="8" t="s">
        <v>1727</v>
      </c>
      <c r="U400" s="8" t="s">
        <v>1727</v>
      </c>
      <c r="V400" s="8" t="s">
        <v>1731</v>
      </c>
      <c r="W400" s="8" t="s">
        <v>1261</v>
      </c>
      <c r="X400" s="8" t="s">
        <v>1721</v>
      </c>
      <c r="Y400" s="8" t="s">
        <v>1721</v>
      </c>
      <c r="Z400" s="18">
        <f t="shared" si="13"/>
        <v>1</v>
      </c>
      <c r="AA400" s="8"/>
      <c r="AB400" s="7"/>
      <c r="AC400" s="7"/>
      <c r="AD400" s="8" t="s">
        <v>1721</v>
      </c>
      <c r="AE400" s="8" t="s">
        <v>1721</v>
      </c>
      <c r="AF400" s="8" t="s">
        <v>2401</v>
      </c>
      <c r="AG400" s="8"/>
      <c r="AH400" s="47"/>
      <c r="AI400" s="47">
        <f>VLOOKUP(B400,'Components Usage'!A$2:C$603,3,FALSE)</f>
        <v>4</v>
      </c>
      <c r="AJ400" s="28" t="s">
        <v>2401</v>
      </c>
    </row>
    <row r="401" spans="1:36" x14ac:dyDescent="0.25">
      <c r="A401" s="16" t="str">
        <f>'Components Data Source'!A401</f>
        <v>RGB Xmas Tree</v>
      </c>
      <c r="B401" s="8" t="str">
        <f>'Components Data Source'!B401</f>
        <v>144A220F-7BC3-4B73-BC56-F9C7203BF204</v>
      </c>
      <c r="C401" s="8" t="str">
        <f>'Components Data Source'!C401</f>
        <v>XmasTree.fcpx</v>
      </c>
      <c r="D401" s="8" t="str">
        <f>'Components Data Source'!D401</f>
        <v>Components\IO_Source\outputs\XmasTree.fcfx</v>
      </c>
      <c r="E401" s="8" t="str">
        <f>'Components Data Source'!E401</f>
        <v>FREE</v>
      </c>
      <c r="F401" s="8" t="str">
        <f>'Components Data Source'!F401</f>
        <v>MISC CIRCUIT</v>
      </c>
      <c r="G401" s="8">
        <f>'Components Data Source'!G401</f>
        <v>0</v>
      </c>
      <c r="H401" s="8">
        <f>'Components Data Source'!H401</f>
        <v>0</v>
      </c>
      <c r="I401" s="8">
        <f>'Components Data Source'!I401</f>
        <v>0</v>
      </c>
      <c r="J401" s="8">
        <f>'Components Data Source'!J401</f>
        <v>1</v>
      </c>
      <c r="K401" s="8">
        <f>'Components Data Source'!K401</f>
        <v>1</v>
      </c>
      <c r="L401" s="8">
        <f>'Components Data Source'!L401</f>
        <v>0</v>
      </c>
      <c r="M401" s="8" t="s">
        <v>1727</v>
      </c>
      <c r="N401" s="17" t="str">
        <f>HYPERLINK('Components Data Source'!M401)</f>
        <v>https://www.flowcode.co.uk/wiki/index.php?title=Component:_ID_144a220f_7bc3_4b73_bc56_f9c7203bf204</v>
      </c>
      <c r="O401" s="8" t="s">
        <v>2590</v>
      </c>
      <c r="P401" s="8" t="s">
        <v>3557</v>
      </c>
      <c r="Q401" s="8" t="str">
        <f t="shared" si="14"/>
        <v/>
      </c>
      <c r="R401" s="8" t="s">
        <v>1727</v>
      </c>
      <c r="S401" s="8"/>
      <c r="T401" s="8"/>
      <c r="U401" s="8"/>
      <c r="V401" s="8" t="s">
        <v>1730</v>
      </c>
      <c r="W401" s="8" t="s">
        <v>1730</v>
      </c>
      <c r="X401" s="8"/>
      <c r="Y401" s="8"/>
      <c r="Z401" s="18">
        <f t="shared" si="13"/>
        <v>2</v>
      </c>
      <c r="AA401" s="8"/>
      <c r="AB401" s="7"/>
      <c r="AC401" s="7"/>
      <c r="AD401" s="8" t="s">
        <v>1721</v>
      </c>
      <c r="AE401" s="8" t="s">
        <v>1727</v>
      </c>
      <c r="AF401" s="8" t="s">
        <v>2401</v>
      </c>
      <c r="AG401" s="8"/>
      <c r="AH401" s="47"/>
      <c r="AI401" s="47">
        <f>VLOOKUP(B401,'Components Usage'!A$2:C$603,3,FALSE)</f>
        <v>0</v>
      </c>
      <c r="AJ401" s="28" t="s">
        <v>2401</v>
      </c>
    </row>
    <row r="402" spans="1:36" hidden="1" x14ac:dyDescent="0.25">
      <c r="A402" s="16" t="str">
        <f>'Components Data Source'!A402</f>
        <v>Zigbee (EB051 XBEE)</v>
      </c>
      <c r="B402" s="8" t="str">
        <f>'Components Data Source'!B402</f>
        <v>53548CBE-CD57-471C-8AC1-3205D0E9DA38</v>
      </c>
      <c r="C402" s="8" t="str">
        <f>'Components Data Source'!C402</f>
        <v>Zigbee.fcpx</v>
      </c>
      <c r="D402" s="8" t="str">
        <f>'Components Data Source'!D402</f>
        <v>Components\IO_Source\Zigbee.fcfx</v>
      </c>
      <c r="E402" s="8" t="str">
        <f>'Components Data Source'!E402</f>
        <v>COMMSB</v>
      </c>
      <c r="F402" s="8" t="str">
        <f>'Components Data Source'!F402</f>
        <v>WIRELESS</v>
      </c>
      <c r="G402" s="8">
        <f>'Components Data Source'!G402</f>
        <v>0</v>
      </c>
      <c r="H402" s="8">
        <f>'Components Data Source'!H402</f>
        <v>0</v>
      </c>
      <c r="I402" s="8" t="str">
        <f>'Components Data Source'!I402</f>
        <v xml:space="preserve">UART </v>
      </c>
      <c r="J402" s="8">
        <f>'Components Data Source'!J402</f>
        <v>1</v>
      </c>
      <c r="K402" s="8">
        <f>'Components Data Source'!K402</f>
        <v>1</v>
      </c>
      <c r="L402" s="8">
        <f>'Components Data Source'!L402</f>
        <v>0</v>
      </c>
      <c r="M402" s="8" t="s">
        <v>1727</v>
      </c>
      <c r="N402" s="17" t="str">
        <f>HYPERLINK('Components Data Source'!M402)</f>
        <v>https://www.flowcode.co.uk/wiki/index.php?title=Component:_ID_53548cbe_cd57_471c_8ac1_3205d0e9da38</v>
      </c>
      <c r="O402" s="8" t="s">
        <v>1721</v>
      </c>
      <c r="P402" s="8"/>
      <c r="Q402" s="8" t="str">
        <f t="shared" si="14"/>
        <v/>
      </c>
      <c r="R402" s="1" t="s">
        <v>1721</v>
      </c>
      <c r="S402" s="1" t="s">
        <v>1721</v>
      </c>
      <c r="T402" s="1" t="s">
        <v>1721</v>
      </c>
      <c r="U402" s="1" t="s">
        <v>1721</v>
      </c>
      <c r="V402" s="1" t="s">
        <v>1731</v>
      </c>
      <c r="W402" s="1" t="s">
        <v>1183</v>
      </c>
      <c r="X402" s="1" t="s">
        <v>1721</v>
      </c>
      <c r="Y402" s="8" t="s">
        <v>1721</v>
      </c>
      <c r="Z402" s="18">
        <f t="shared" si="13"/>
        <v>1</v>
      </c>
      <c r="AA402" s="8"/>
      <c r="AB402" s="7"/>
      <c r="AC402" s="7"/>
      <c r="AD402" s="8" t="s">
        <v>1721</v>
      </c>
      <c r="AE402" s="8" t="s">
        <v>1727</v>
      </c>
      <c r="AF402" s="8" t="s">
        <v>1727</v>
      </c>
      <c r="AG402" s="8"/>
      <c r="AH402" s="47"/>
      <c r="AI402" s="47">
        <f>VLOOKUP(B402,'Components Usage'!A$2:C$603,3,FALSE)</f>
        <v>5</v>
      </c>
      <c r="AJ402" s="28" t="s">
        <v>2401</v>
      </c>
    </row>
    <row r="403" spans="1:36" x14ac:dyDescent="0.25">
      <c r="A403" s="16" t="str">
        <f>'Components Data Source'!A403</f>
        <v>ADC Template</v>
      </c>
      <c r="B403" s="8" t="str">
        <f>'Components Data Source'!B403</f>
        <v>7AAD74D6-B24E-4DAB-91EB-5D72A973F12D</v>
      </c>
      <c r="C403" s="8" t="str">
        <f>'Components Data Source'!C403</f>
        <v>adc_base.fcpx</v>
      </c>
      <c r="D403" s="8" t="str">
        <f>'Components Data Source'!D403</f>
        <v>Components\IO_Source\adc\adc_Base.fcfx</v>
      </c>
      <c r="E403" s="8" t="str">
        <f>'Components Data Source'!E403</f>
        <v>FREE</v>
      </c>
      <c r="F403" s="8" t="str">
        <f>'Components Data Source'!F403</f>
        <v>ANALOG INPUT</v>
      </c>
      <c r="G403" s="8">
        <f>'Components Data Source'!G403</f>
        <v>0</v>
      </c>
      <c r="H403" s="8">
        <f>'Components Data Source'!H403</f>
        <v>0</v>
      </c>
      <c r="I403" s="8" t="str">
        <f>'Components Data Source'!I403</f>
        <v xml:space="preserve">ADC </v>
      </c>
      <c r="J403" s="8">
        <f>'Components Data Source'!J403</f>
        <v>1</v>
      </c>
      <c r="K403" s="8">
        <f>'Components Data Source'!K403</f>
        <v>1</v>
      </c>
      <c r="L403" s="8">
        <f>'Components Data Source'!L403</f>
        <v>0</v>
      </c>
      <c r="M403" s="8" t="s">
        <v>1727</v>
      </c>
      <c r="N403" s="17" t="str">
        <f>HYPERLINK('Components Data Source'!M403)</f>
        <v>https://www.flowcode.co.uk/wiki/index.php?title=Component:_ID_7aad74d6_b24e_4dab_91eb_5d72a973f12d</v>
      </c>
      <c r="O403" s="8" t="s">
        <v>1721</v>
      </c>
      <c r="P403" s="8"/>
      <c r="Q403" s="8" t="str">
        <f t="shared" si="14"/>
        <v/>
      </c>
      <c r="R403" s="8" t="s">
        <v>1721</v>
      </c>
      <c r="S403" s="8" t="s">
        <v>1721</v>
      </c>
      <c r="T403" s="8" t="s">
        <v>1727</v>
      </c>
      <c r="U403" s="8" t="s">
        <v>1727</v>
      </c>
      <c r="V403" s="8" t="s">
        <v>1731</v>
      </c>
      <c r="W403" s="8" t="s">
        <v>1731</v>
      </c>
      <c r="X403" s="8" t="s">
        <v>1721</v>
      </c>
      <c r="Y403" s="8" t="s">
        <v>1721</v>
      </c>
      <c r="Z403" s="18">
        <f t="shared" si="13"/>
        <v>1</v>
      </c>
      <c r="AA403" s="8"/>
      <c r="AB403" s="7"/>
      <c r="AC403" s="7"/>
      <c r="AD403" s="8" t="s">
        <v>1721</v>
      </c>
      <c r="AE403" s="8" t="s">
        <v>1721</v>
      </c>
      <c r="AF403" s="8" t="s">
        <v>2401</v>
      </c>
      <c r="AG403" s="8"/>
      <c r="AH403" s="47"/>
      <c r="AI403" s="47">
        <f>VLOOKUP(B403,'Components Usage'!A$2:C$603,3,FALSE)</f>
        <v>7</v>
      </c>
      <c r="AJ403" s="28" t="s">
        <v>2401</v>
      </c>
    </row>
    <row r="404" spans="1:36" x14ac:dyDescent="0.25">
      <c r="A404" s="16" t="str">
        <f>'Components Data Source'!A404</f>
        <v>Animator</v>
      </c>
      <c r="B404" s="8" t="str">
        <f>'Components Data Source'!B404</f>
        <v>F2DFCA22-B0B8-4694-8D30-1C25063578E3</v>
      </c>
      <c r="C404" s="8" t="str">
        <f>'Components Data Source'!C404</f>
        <v>animator.fcpx</v>
      </c>
      <c r="D404" s="8" t="str">
        <f>'Components Data Source'!D404</f>
        <v>Components\IO_Source\mechatronics\animator.fcfx</v>
      </c>
      <c r="E404" s="8" t="str">
        <f>'Components Data Source'!E404</f>
        <v>FREE</v>
      </c>
      <c r="F404" s="8" t="str">
        <f>'Components Data Source'!F404</f>
        <v>MISC</v>
      </c>
      <c r="G404" s="8">
        <f>'Components Data Source'!G404</f>
        <v>0</v>
      </c>
      <c r="H404" s="8">
        <f>'Components Data Source'!H404</f>
        <v>0</v>
      </c>
      <c r="I404" s="8">
        <f>'Components Data Source'!I404</f>
        <v>0</v>
      </c>
      <c r="J404" s="8">
        <f>'Components Data Source'!J404</f>
        <v>1</v>
      </c>
      <c r="K404" s="8">
        <f>'Components Data Source'!K404</f>
        <v>1</v>
      </c>
      <c r="L404" s="8">
        <f>'Components Data Source'!L404</f>
        <v>1</v>
      </c>
      <c r="M404" s="8" t="s">
        <v>1727</v>
      </c>
      <c r="N404" s="17" t="str">
        <f>HYPERLINK('Components Data Source'!M404)</f>
        <v>https://www.flowcode.co.uk/wiki/index.php?title=Component:_ID_f2dfca22_b0b8_4694_8d30_1c25063578e3</v>
      </c>
      <c r="O404" s="8" t="s">
        <v>1721</v>
      </c>
      <c r="P404" s="8"/>
      <c r="Q404" s="8" t="str">
        <f t="shared" si="14"/>
        <v/>
      </c>
      <c r="R404" s="8" t="s">
        <v>1721</v>
      </c>
      <c r="S404" s="8" t="s">
        <v>1721</v>
      </c>
      <c r="T404" s="8" t="s">
        <v>1727</v>
      </c>
      <c r="U404" s="8" t="s">
        <v>1727</v>
      </c>
      <c r="V404" s="8" t="s">
        <v>1731</v>
      </c>
      <c r="W404" s="8" t="s">
        <v>1731</v>
      </c>
      <c r="X404" s="8" t="s">
        <v>1721</v>
      </c>
      <c r="Y404" s="8" t="s">
        <v>1721</v>
      </c>
      <c r="Z404" s="18">
        <f t="shared" si="13"/>
        <v>1</v>
      </c>
      <c r="AA404" s="8"/>
      <c r="AB404" s="7"/>
      <c r="AC404" s="7"/>
      <c r="AD404" s="8" t="s">
        <v>1721</v>
      </c>
      <c r="AE404" s="8" t="s">
        <v>1721</v>
      </c>
      <c r="AF404" s="8" t="s">
        <v>2401</v>
      </c>
      <c r="AG404" s="8"/>
      <c r="AH404" s="47"/>
      <c r="AI404" s="47">
        <f>VLOOKUP(B404,'Components Usage'!A$2:C$603,3,FALSE)</f>
        <v>4</v>
      </c>
      <c r="AJ404" s="28" t="s">
        <v>2401</v>
      </c>
    </row>
    <row r="405" spans="1:36" x14ac:dyDescent="0.25">
      <c r="A405" s="16" t="str">
        <f>'Components Data Source'!A405</f>
        <v>Component Labels</v>
      </c>
      <c r="B405" s="8" t="str">
        <f>'Components Data Source'!B405</f>
        <v>446D753F-A6DC-489D-B624-F4F191783AA0</v>
      </c>
      <c r="C405" s="8" t="str">
        <f>'Components Data Source'!C405</f>
        <v>auto_labels.fcpx</v>
      </c>
      <c r="D405" s="8" t="str">
        <f>'Components Data Source'!D405</f>
        <v>Components\IO_Source\auto_labels.fcfx</v>
      </c>
      <c r="E405" s="8" t="str">
        <f>'Components Data Source'!E405</f>
        <v>FREE</v>
      </c>
      <c r="F405" s="8" t="str">
        <f>'Components Data Source'!F405</f>
        <v>ADVANCED SHAPES</v>
      </c>
      <c r="G405" s="8">
        <f>'Components Data Source'!G405</f>
        <v>0</v>
      </c>
      <c r="H405" s="8">
        <f>'Components Data Source'!H405</f>
        <v>0</v>
      </c>
      <c r="I405" s="8">
        <f>'Components Data Source'!I405</f>
        <v>0</v>
      </c>
      <c r="J405" s="8">
        <f>'Components Data Source'!J405</f>
        <v>1</v>
      </c>
      <c r="K405" s="8">
        <f>'Components Data Source'!K405</f>
        <v>1</v>
      </c>
      <c r="L405" s="8">
        <f>'Components Data Source'!L405</f>
        <v>1</v>
      </c>
      <c r="M405" s="8" t="s">
        <v>1727</v>
      </c>
      <c r="N405" s="17" t="str">
        <f>HYPERLINK('Components Data Source'!M405)</f>
        <v>https://www.flowcode.co.uk/wiki/index.php?title=Component:_ID_446d753f_a6dc_489d_b624_f4f191783aa0</v>
      </c>
      <c r="O405" s="8" t="s">
        <v>1721</v>
      </c>
      <c r="P405" s="8"/>
      <c r="Q405" s="8" t="str">
        <f t="shared" si="14"/>
        <v/>
      </c>
      <c r="R405" s="8" t="s">
        <v>1721</v>
      </c>
      <c r="S405" s="8" t="s">
        <v>1721</v>
      </c>
      <c r="T405" s="8" t="s">
        <v>1727</v>
      </c>
      <c r="U405" s="8" t="s">
        <v>1727</v>
      </c>
      <c r="V405" s="8" t="s">
        <v>1731</v>
      </c>
      <c r="W405" s="8" t="s">
        <v>1731</v>
      </c>
      <c r="X405" s="8" t="s">
        <v>1721</v>
      </c>
      <c r="Y405" s="8" t="s">
        <v>1721</v>
      </c>
      <c r="Z405" s="18">
        <f t="shared" si="13"/>
        <v>1</v>
      </c>
      <c r="AA405" s="8"/>
      <c r="AB405" s="7"/>
      <c r="AC405" s="7"/>
      <c r="AD405" s="8" t="s">
        <v>1721</v>
      </c>
      <c r="AE405" s="8" t="s">
        <v>1727</v>
      </c>
      <c r="AF405" s="8" t="s">
        <v>2401</v>
      </c>
      <c r="AG405" s="8"/>
      <c r="AH405" s="47"/>
      <c r="AI405" s="47">
        <f>VLOOKUP(B405,'Components Usage'!A$2:C$603,3,FALSE)</f>
        <v>4</v>
      </c>
      <c r="AJ405" s="28" t="s">
        <v>2401</v>
      </c>
    </row>
    <row r="406" spans="1:36" x14ac:dyDescent="0.25">
      <c r="A406" s="16" t="str">
        <f>'Components Data Source'!A406</f>
        <v>Simulation Slide Switch</v>
      </c>
      <c r="B406" s="8" t="str">
        <f>'Components Data Source'!B406</f>
        <v>FF84DA29-D690-4C8F-A6AB-3C5D59722061</v>
      </c>
      <c r="C406" s="8" t="str">
        <f>'Components Data Source'!C406</f>
        <v>basic_sim_slide_switch.fcpx</v>
      </c>
      <c r="D406" s="8" t="str">
        <f>'Components Data Source'!D406</f>
        <v>Components\IO_Source\switch\basic_sim_switch_slide.fcfx</v>
      </c>
      <c r="E406" s="8" t="str">
        <f>'Components Data Source'!E406</f>
        <v>FREE</v>
      </c>
      <c r="F406" s="8">
        <f>'Components Data Source'!F406</f>
        <v>0</v>
      </c>
      <c r="G406" s="8">
        <f>'Components Data Source'!G406</f>
        <v>0</v>
      </c>
      <c r="H406" s="8">
        <f>'Components Data Source'!H406</f>
        <v>0</v>
      </c>
      <c r="I406" s="8">
        <f>'Components Data Source'!I406</f>
        <v>0</v>
      </c>
      <c r="J406" s="8">
        <f>'Components Data Source'!J406</f>
        <v>1</v>
      </c>
      <c r="K406" s="8">
        <f>'Components Data Source'!K406</f>
        <v>1</v>
      </c>
      <c r="L406" s="8">
        <f>'Components Data Source'!L406</f>
        <v>1</v>
      </c>
      <c r="M406" s="8" t="s">
        <v>1727</v>
      </c>
      <c r="N406" s="17" t="str">
        <f>HYPERLINK('Components Data Source'!M406)</f>
        <v>https://www.flowcode.co.uk/wiki/index.php?title=Component:_ID_ff84da29_d690_4c8f_a6ab_3c5d59722061</v>
      </c>
      <c r="O406" s="8" t="s">
        <v>1721</v>
      </c>
      <c r="P406" s="8" t="s">
        <v>2776</v>
      </c>
      <c r="Q406" s="8" t="str">
        <f t="shared" si="14"/>
        <v/>
      </c>
      <c r="R406" s="8" t="s">
        <v>1727</v>
      </c>
      <c r="S406" s="8" t="s">
        <v>1727</v>
      </c>
      <c r="T406" s="8"/>
      <c r="U406" s="8"/>
      <c r="V406" s="8" t="s">
        <v>1730</v>
      </c>
      <c r="W406" s="8" t="s">
        <v>1730</v>
      </c>
      <c r="X406" s="8"/>
      <c r="Y406" s="8"/>
      <c r="Z406" s="18">
        <f t="shared" si="13"/>
        <v>2</v>
      </c>
      <c r="AA406" s="8"/>
      <c r="AB406" s="7"/>
      <c r="AC406" s="7"/>
      <c r="AD406" s="8" t="s">
        <v>1721</v>
      </c>
      <c r="AE406" s="8" t="s">
        <v>2401</v>
      </c>
      <c r="AF406" s="8" t="s">
        <v>2401</v>
      </c>
      <c r="AG406" s="8"/>
      <c r="AH406" s="47"/>
      <c r="AI406" s="47">
        <f>VLOOKUP(B406,'Components Usage'!A$2:C$603,3,FALSE)</f>
        <v>10</v>
      </c>
      <c r="AJ406" s="28" t="s">
        <v>2401</v>
      </c>
    </row>
    <row r="407" spans="1:36" x14ac:dyDescent="0.25">
      <c r="A407" s="16" t="str">
        <f>'Components Data Source'!A407</f>
        <v>Simulation Push Switch</v>
      </c>
      <c r="B407" s="8" t="str">
        <f>'Components Data Source'!B407</f>
        <v>CC31D777-B10D-4A0A-8B7A-58D842B5530D</v>
      </c>
      <c r="C407" s="8" t="str">
        <f>'Components Data Source'!C407</f>
        <v>basic_sim_switch.fcpx</v>
      </c>
      <c r="D407" s="8" t="str">
        <f>'Components Data Source'!D407</f>
        <v>Components\IO_Source\switch\basic_sim_switch.fcfx</v>
      </c>
      <c r="E407" s="8" t="str">
        <f>'Components Data Source'!E407</f>
        <v>FREE</v>
      </c>
      <c r="F407" s="8">
        <f>'Components Data Source'!F407</f>
        <v>0</v>
      </c>
      <c r="G407" s="8">
        <f>'Components Data Source'!G407</f>
        <v>0</v>
      </c>
      <c r="H407" s="8">
        <f>'Components Data Source'!H407</f>
        <v>0</v>
      </c>
      <c r="I407" s="8">
        <f>'Components Data Source'!I407</f>
        <v>0</v>
      </c>
      <c r="J407" s="8">
        <f>'Components Data Source'!J407</f>
        <v>0</v>
      </c>
      <c r="K407" s="8">
        <f>'Components Data Source'!K407</f>
        <v>1</v>
      </c>
      <c r="L407" s="8">
        <f>'Components Data Source'!L407</f>
        <v>1</v>
      </c>
      <c r="M407" s="8" t="s">
        <v>1727</v>
      </c>
      <c r="N407" s="17" t="str">
        <f>HYPERLINK('Components Data Source'!M407)</f>
        <v>https://www.flowcode.co.uk/wiki/index.php?title=Component:_ID_cc31d777_b10d_4a0a_8b7a_58d842b5530d</v>
      </c>
      <c r="O407" s="8" t="s">
        <v>1721</v>
      </c>
      <c r="P407" s="8"/>
      <c r="Q407" s="8" t="str">
        <f t="shared" si="14"/>
        <v/>
      </c>
      <c r="R407" s="8" t="s">
        <v>1727</v>
      </c>
      <c r="S407" s="8" t="s">
        <v>1727</v>
      </c>
      <c r="T407" s="8"/>
      <c r="U407" s="8"/>
      <c r="V407" s="8" t="s">
        <v>1730</v>
      </c>
      <c r="W407" s="8" t="s">
        <v>1730</v>
      </c>
      <c r="X407" s="8"/>
      <c r="Y407" s="8"/>
      <c r="Z407" s="18">
        <f t="shared" si="13"/>
        <v>2</v>
      </c>
      <c r="AA407" s="8"/>
      <c r="AB407" s="7"/>
      <c r="AC407" s="7"/>
      <c r="AD407" s="8" t="s">
        <v>1721</v>
      </c>
      <c r="AE407" s="8" t="s">
        <v>2401</v>
      </c>
      <c r="AF407" s="8" t="s">
        <v>2401</v>
      </c>
      <c r="AG407" s="8"/>
      <c r="AH407" s="47"/>
      <c r="AI407" s="47">
        <f>VLOOKUP(B407,'Components Usage'!A$2:C$603,3,FALSE)</f>
        <v>20</v>
      </c>
      <c r="AJ407" s="28" t="s">
        <v>2401</v>
      </c>
    </row>
    <row r="408" spans="1:36" hidden="1" x14ac:dyDescent="0.25">
      <c r="A408" s="16" t="str">
        <f>'Components Data Source'!A408</f>
        <v>Switch (Generic)</v>
      </c>
      <c r="B408" s="8" t="str">
        <f>'Components Data Source'!B408</f>
        <v>A31B1F0A-4221-490D-AE25-027868688F0B</v>
      </c>
      <c r="C408" s="8" t="str">
        <f>'Components Data Source'!C408</f>
        <v>basic_switch.fcpx</v>
      </c>
      <c r="D408" s="8" t="str">
        <f>'Components Data Source'!D408</f>
        <v>Components\IO_Source\switch\sw_generic.fcfx</v>
      </c>
      <c r="E408" s="8" t="str">
        <f>'Components Data Source'!E408</f>
        <v>BASICIO</v>
      </c>
      <c r="F408" s="8">
        <f>'Components Data Source'!F408</f>
        <v>0</v>
      </c>
      <c r="G408" s="8">
        <f>'Components Data Source'!G408</f>
        <v>0</v>
      </c>
      <c r="H408" s="8">
        <f>'Components Data Source'!H408</f>
        <v>0</v>
      </c>
      <c r="I408" s="8">
        <f>'Components Data Source'!I408</f>
        <v>0</v>
      </c>
      <c r="J408" s="8">
        <f>'Components Data Source'!J408</f>
        <v>1</v>
      </c>
      <c r="K408" s="8">
        <f>'Components Data Source'!K408</f>
        <v>1</v>
      </c>
      <c r="L408" s="8">
        <f>'Components Data Source'!L408</f>
        <v>0</v>
      </c>
      <c r="M408" s="8" t="s">
        <v>1727</v>
      </c>
      <c r="N408" s="17" t="str">
        <f>HYPERLINK('Components Data Source'!M408)</f>
        <v>https://www.flowcode.co.uk/wiki/index.php?title=Component:_ID_a31b1f0a_4221_490d_ae25_027868688f0b</v>
      </c>
      <c r="O408" s="8" t="s">
        <v>1721</v>
      </c>
      <c r="P408" s="8" t="s">
        <v>2776</v>
      </c>
      <c r="Q408" s="8" t="str">
        <f t="shared" si="14"/>
        <v/>
      </c>
      <c r="R408" s="8" t="s">
        <v>1727</v>
      </c>
      <c r="S408" s="8" t="s">
        <v>1727</v>
      </c>
      <c r="T408" s="8"/>
      <c r="U408" s="8"/>
      <c r="V408" s="8" t="s">
        <v>1730</v>
      </c>
      <c r="W408" s="8" t="s">
        <v>1730</v>
      </c>
      <c r="X408" s="8"/>
      <c r="Y408" s="8"/>
      <c r="Z408" s="18">
        <f t="shared" si="13"/>
        <v>2</v>
      </c>
      <c r="AA408" s="8"/>
      <c r="AB408" s="7"/>
      <c r="AC408" s="7"/>
      <c r="AD408" s="8" t="s">
        <v>1721</v>
      </c>
      <c r="AE408" s="8" t="s">
        <v>1721</v>
      </c>
      <c r="AF408" s="8" t="s">
        <v>1721</v>
      </c>
      <c r="AG408" s="8"/>
      <c r="AH408" s="47"/>
      <c r="AI408" s="47">
        <f>VLOOKUP(B408,'Components Usage'!A$2:C$603,3,FALSE)</f>
        <v>15</v>
      </c>
      <c r="AJ408" s="28" t="s">
        <v>2401</v>
      </c>
    </row>
    <row r="409" spans="1:36" hidden="1" x14ac:dyDescent="0.25">
      <c r="A409" s="16" t="str">
        <f>'Components Data Source'!A409</f>
        <v>Beam Breaker</v>
      </c>
      <c r="B409" s="8" t="str">
        <f>'Components Data Source'!B409</f>
        <v>D79F7DA1-0E33-4FBA-B4A0-AC127B5A4812</v>
      </c>
      <c r="C409" s="8" t="str">
        <f>'Components Data Source'!C409</f>
        <v>beam_breaker.fcpx</v>
      </c>
      <c r="D409" s="8" t="str">
        <f>'Components Data Source'!D409</f>
        <v>Components\IO_Source\Collisions\Beam_breaker.fcfx</v>
      </c>
      <c r="E409" s="8" t="str">
        <f>'Components Data Source'!E409</f>
        <v>SENSORS</v>
      </c>
      <c r="F409" s="8" t="str">
        <f>'Components Data Source'!F409</f>
        <v>LIGHT</v>
      </c>
      <c r="G409" s="8">
        <f>'Components Data Source'!G409</f>
        <v>0</v>
      </c>
      <c r="H409" s="8">
        <f>'Components Data Source'!H409</f>
        <v>0</v>
      </c>
      <c r="I409" s="8">
        <f>'Components Data Source'!I409</f>
        <v>0</v>
      </c>
      <c r="J409" s="8">
        <f>'Components Data Source'!J409</f>
        <v>1</v>
      </c>
      <c r="K409" s="8">
        <f>'Components Data Source'!K409</f>
        <v>1</v>
      </c>
      <c r="L409" s="8">
        <f>'Components Data Source'!L409</f>
        <v>0</v>
      </c>
      <c r="M409" s="8" t="s">
        <v>1727</v>
      </c>
      <c r="N409" s="17" t="str">
        <f>HYPERLINK('Components Data Source'!M409)</f>
        <v>https://www.flowcode.co.uk/wiki/index.php?title=Component:_ID_d79f7da1_0e33_4fba_b4a0_ac127b5a4812</v>
      </c>
      <c r="O409" s="8" t="s">
        <v>1721</v>
      </c>
      <c r="P409" s="8"/>
      <c r="Q409" s="8" t="str">
        <f t="shared" si="14"/>
        <v/>
      </c>
      <c r="R409" s="8" t="s">
        <v>1727</v>
      </c>
      <c r="S409" s="8" t="s">
        <v>1727</v>
      </c>
      <c r="T409" s="8"/>
      <c r="U409" s="8"/>
      <c r="V409" s="8" t="s">
        <v>1730</v>
      </c>
      <c r="W409" s="8" t="s">
        <v>1730</v>
      </c>
      <c r="X409" s="8"/>
      <c r="Y409" s="8"/>
      <c r="Z409" s="18">
        <f t="shared" si="13"/>
        <v>2</v>
      </c>
      <c r="AA409" s="8"/>
      <c r="AB409" s="7"/>
      <c r="AC409" s="7"/>
      <c r="AD409" s="8" t="s">
        <v>1721</v>
      </c>
      <c r="AE409" s="8" t="s">
        <v>1721</v>
      </c>
      <c r="AF409" s="8" t="s">
        <v>1727</v>
      </c>
      <c r="AG409" s="8"/>
      <c r="AH409" s="47"/>
      <c r="AI409" s="47">
        <f>VLOOKUP(B409,'Components Usage'!A$2:C$603,3,FALSE)</f>
        <v>7</v>
      </c>
      <c r="AJ409" s="28" t="s">
        <v>2401</v>
      </c>
    </row>
    <row r="410" spans="1:36" x14ac:dyDescent="0.25">
      <c r="A410" s="16" t="str">
        <f>'Components Data Source'!A410</f>
        <v>Bezel Radiused</v>
      </c>
      <c r="B410" s="8" t="str">
        <f>'Components Data Source'!B410</f>
        <v>D497DCED-8E07-49D5-A9F9-4E67C43CB186</v>
      </c>
      <c r="C410" s="8" t="str">
        <f>'Components Data Source'!C410</f>
        <v>bezel_radiused.fcpx</v>
      </c>
      <c r="D410" s="8" t="str">
        <f>'Components Data Source'!D410</f>
        <v>Components\IO_Source\Bezel Radiused.fcfx</v>
      </c>
      <c r="E410" s="8" t="str">
        <f>'Components Data Source'!E410</f>
        <v>FREE</v>
      </c>
      <c r="F410" s="8" t="str">
        <f>'Components Data Source'!F410</f>
        <v>ADVANCED SHAPES</v>
      </c>
      <c r="G410" s="8">
        <f>'Components Data Source'!G410</f>
        <v>0</v>
      </c>
      <c r="H410" s="8">
        <f>'Components Data Source'!H410</f>
        <v>0</v>
      </c>
      <c r="I410" s="8">
        <f>'Components Data Source'!I410</f>
        <v>0</v>
      </c>
      <c r="J410" s="8">
        <f>'Components Data Source'!J410</f>
        <v>1</v>
      </c>
      <c r="K410" s="8">
        <f>'Components Data Source'!K410</f>
        <v>0</v>
      </c>
      <c r="L410" s="8">
        <f>'Components Data Source'!L410</f>
        <v>1</v>
      </c>
      <c r="M410" s="8" t="s">
        <v>1727</v>
      </c>
      <c r="N410" s="17" t="str">
        <f>HYPERLINK('Components Data Source'!M410)</f>
        <v>https://www.flowcode.co.uk/wiki/index.php?title=Component:_ID_d497dced_8e07_49d5_a9f9_4e67c43cb186</v>
      </c>
      <c r="O410" s="8" t="s">
        <v>1721</v>
      </c>
      <c r="P410" s="8"/>
      <c r="Q410" s="8">
        <f t="shared" si="14"/>
        <v>1</v>
      </c>
      <c r="R410" s="8" t="s">
        <v>1727</v>
      </c>
      <c r="S410" s="8" t="s">
        <v>1727</v>
      </c>
      <c r="T410" s="8"/>
      <c r="U410" s="8"/>
      <c r="V410" s="8" t="s">
        <v>1730</v>
      </c>
      <c r="W410" s="8" t="s">
        <v>1730</v>
      </c>
      <c r="X410" s="8"/>
      <c r="Y410" s="8"/>
      <c r="Z410" s="18">
        <f t="shared" si="13"/>
        <v>2</v>
      </c>
      <c r="AA410" s="8"/>
      <c r="AB410" s="7"/>
      <c r="AC410" s="7"/>
      <c r="AD410" s="8" t="s">
        <v>1721</v>
      </c>
      <c r="AE410" s="8" t="s">
        <v>1727</v>
      </c>
      <c r="AF410" s="8" t="s">
        <v>2401</v>
      </c>
      <c r="AG410" s="8"/>
      <c r="AH410" s="47"/>
      <c r="AI410" s="47">
        <f>VLOOKUP(B410,'Components Usage'!A$2:C$603,3,FALSE)</f>
        <v>26</v>
      </c>
      <c r="AJ410" s="28" t="s">
        <v>2401</v>
      </c>
    </row>
    <row r="411" spans="1:36" hidden="1" x14ac:dyDescent="0.25">
      <c r="A411" s="16" t="str">
        <f>'Components Data Source'!A411</f>
        <v>Bluetooth (EB024 Generic AT)</v>
      </c>
      <c r="B411" s="8" t="str">
        <f>'Components Data Source'!B411</f>
        <v>CFF93310-545B-4948-A8FA-12B119C5F7A7</v>
      </c>
      <c r="C411" s="8" t="str">
        <f>'Components Data Source'!C411</f>
        <v>bluetooth.fcpx</v>
      </c>
      <c r="D411" s="8" t="str">
        <f>'Components Data Source'!D411</f>
        <v>Components\IO_Source\Bluetooth.fcfx</v>
      </c>
      <c r="E411" s="8" t="str">
        <f>'Components Data Source'!E411</f>
        <v>COMMSB</v>
      </c>
      <c r="F411" s="8" t="str">
        <f>'Components Data Source'!F411</f>
        <v>WIRELESS</v>
      </c>
      <c r="G411" s="8">
        <f>'Components Data Source'!G411</f>
        <v>0</v>
      </c>
      <c r="H411" s="8">
        <f>'Components Data Source'!H411</f>
        <v>0</v>
      </c>
      <c r="I411" s="8" t="str">
        <f>'Components Data Source'!I411</f>
        <v xml:space="preserve">UART </v>
      </c>
      <c r="J411" s="8">
        <f>'Components Data Source'!J411</f>
        <v>1</v>
      </c>
      <c r="K411" s="8">
        <f>'Components Data Source'!K411</f>
        <v>1</v>
      </c>
      <c r="L411" s="8">
        <f>'Components Data Source'!L411</f>
        <v>0</v>
      </c>
      <c r="M411" s="8" t="s">
        <v>1727</v>
      </c>
      <c r="N411" s="17" t="str">
        <f>HYPERLINK('Components Data Source'!M411)</f>
        <v>https://www.flowcode.co.uk/wiki/index.php?title=Component:_ID_cff93310_545b_4948_a8fa_12b119c5f7a7</v>
      </c>
      <c r="O411" s="8" t="s">
        <v>1721</v>
      </c>
      <c r="P411" s="8"/>
      <c r="Q411" s="8" t="str">
        <f t="shared" si="14"/>
        <v/>
      </c>
      <c r="R411" s="8" t="s">
        <v>1721</v>
      </c>
      <c r="S411" s="8" t="s">
        <v>1721</v>
      </c>
      <c r="T411" s="8" t="s">
        <v>1721</v>
      </c>
      <c r="U411" s="8" t="s">
        <v>1721</v>
      </c>
      <c r="V411" s="8" t="s">
        <v>1731</v>
      </c>
      <c r="W411" s="8" t="s">
        <v>1183</v>
      </c>
      <c r="X411" s="8"/>
      <c r="Y411" s="8" t="s">
        <v>1721</v>
      </c>
      <c r="Z411" s="18">
        <f t="shared" si="13"/>
        <v>1</v>
      </c>
      <c r="AA411" s="8"/>
      <c r="AB411" s="7"/>
      <c r="AC411" s="7"/>
      <c r="AD411" s="8" t="s">
        <v>1721</v>
      </c>
      <c r="AE411" s="8" t="s">
        <v>1721</v>
      </c>
      <c r="AF411" s="8" t="s">
        <v>1727</v>
      </c>
      <c r="AG411" s="8"/>
      <c r="AH411" s="47"/>
      <c r="AI411" s="47">
        <f>VLOOKUP(B411,'Components Usage'!A$2:C$603,3,FALSE)</f>
        <v>2</v>
      </c>
      <c r="AJ411" s="28" t="s">
        <v>2401</v>
      </c>
    </row>
    <row r="412" spans="1:36" x14ac:dyDescent="0.25">
      <c r="A412" s="16" t="str">
        <f>'Components Data Source'!A412</f>
        <v>ADC(CAL)</v>
      </c>
      <c r="B412" s="8" t="str">
        <f>'Components Data Source'!B412</f>
        <v>E77A4E40-E0DF-431A-98F8-7AE4D8EBFBEB</v>
      </c>
      <c r="C412" s="8" t="str">
        <f>'Components Data Source'!C412</f>
        <v>cal_adc.fcpx</v>
      </c>
      <c r="D412" s="8" t="str">
        <f>'Components Data Source'!D412</f>
        <v>Components\CAL_Source\ADC.fcfx</v>
      </c>
      <c r="E412" s="8" t="str">
        <f>'Components Data Source'!E412</f>
        <v>FREE</v>
      </c>
      <c r="F412" s="8" t="str">
        <f>'Components Data Source'!F412</f>
        <v>MISC</v>
      </c>
      <c r="G412" s="8">
        <f>'Components Data Source'!G412</f>
        <v>0</v>
      </c>
      <c r="H412" s="8">
        <f>'Components Data Source'!H412</f>
        <v>0</v>
      </c>
      <c r="I412" s="8" t="str">
        <f>'Components Data Source'!I412</f>
        <v xml:space="preserve">ADC </v>
      </c>
      <c r="J412" s="8">
        <f>'Components Data Source'!J412</f>
        <v>1</v>
      </c>
      <c r="K412" s="8">
        <f>'Components Data Source'!K412</f>
        <v>1</v>
      </c>
      <c r="L412" s="8">
        <f>'Components Data Source'!L412</f>
        <v>0</v>
      </c>
      <c r="M412" s="8" t="s">
        <v>1727</v>
      </c>
      <c r="N412" s="17" t="str">
        <f>HYPERLINK('Components Data Source'!M412)</f>
        <v>https://www.flowcode.co.uk/wiki/index.php?title=Component:_ID_e77a4e40_e0df_431a_98f8_7ae4d8ebfbeb</v>
      </c>
      <c r="O412" s="8" t="s">
        <v>1721</v>
      </c>
      <c r="P412" s="8"/>
      <c r="Q412" s="8" t="str">
        <f t="shared" si="14"/>
        <v/>
      </c>
      <c r="R412" s="8" t="s">
        <v>1721</v>
      </c>
      <c r="S412" s="8" t="s">
        <v>1721</v>
      </c>
      <c r="T412" s="8" t="s">
        <v>1727</v>
      </c>
      <c r="U412" s="8" t="s">
        <v>1727</v>
      </c>
      <c r="V412" s="8" t="s">
        <v>1731</v>
      </c>
      <c r="W412" s="8" t="s">
        <v>1731</v>
      </c>
      <c r="X412" s="8" t="s">
        <v>1721</v>
      </c>
      <c r="Y412" s="8" t="s">
        <v>1721</v>
      </c>
      <c r="Z412" s="18">
        <f t="shared" si="13"/>
        <v>1</v>
      </c>
      <c r="AA412" s="8"/>
      <c r="AB412" s="7"/>
      <c r="AC412" s="7"/>
      <c r="AD412" s="8" t="s">
        <v>1721</v>
      </c>
      <c r="AE412" s="8" t="s">
        <v>1721</v>
      </c>
      <c r="AF412" s="8" t="s">
        <v>2401</v>
      </c>
      <c r="AG412" s="8"/>
      <c r="AH412" s="47"/>
      <c r="AI412" s="47">
        <f>VLOOKUP(B412,'Components Usage'!A$2:C$603,3,FALSE)</f>
        <v>7</v>
      </c>
      <c r="AJ412" s="28" t="s">
        <v>2401</v>
      </c>
    </row>
    <row r="413" spans="1:36" hidden="1" x14ac:dyDescent="0.25">
      <c r="A413" s="16" t="str">
        <f>'Components Data Source'!A413</f>
        <v>CAN(CAL)</v>
      </c>
      <c r="B413" s="8" t="str">
        <f>'Components Data Source'!B413</f>
        <v>8A1CCA2F-7DF1-4B3A-B24B-CA575FE84348</v>
      </c>
      <c r="C413" s="8" t="str">
        <f>'Components Data Source'!C413</f>
        <v>cal_can.fcpx</v>
      </c>
      <c r="D413" s="8" t="str">
        <f>'Components Data Source'!D413</f>
        <v>Components\CAL_Source\CAN.fcfx</v>
      </c>
      <c r="E413" s="8" t="str">
        <f>'Components Data Source'!E413</f>
        <v>COMMSA</v>
      </c>
      <c r="F413" s="8" t="str">
        <f>'Components Data Source'!F413</f>
        <v>MISC</v>
      </c>
      <c r="G413" s="8">
        <f>'Components Data Source'!G413</f>
        <v>0</v>
      </c>
      <c r="H413" s="8">
        <f>'Components Data Source'!H413</f>
        <v>0</v>
      </c>
      <c r="I413" s="8" t="str">
        <f>'Components Data Source'!I413</f>
        <v xml:space="preserve">CAN </v>
      </c>
      <c r="J413" s="8">
        <f>'Components Data Source'!J413</f>
        <v>1</v>
      </c>
      <c r="K413" s="8">
        <f>'Components Data Source'!K413</f>
        <v>1</v>
      </c>
      <c r="L413" s="8">
        <f>'Components Data Source'!L413</f>
        <v>1</v>
      </c>
      <c r="M413" s="8" t="s">
        <v>1727</v>
      </c>
      <c r="N413" s="17" t="str">
        <f>HYPERLINK('Components Data Source'!M413)</f>
        <v>https://www.flowcode.co.uk/wiki/index.php?title=Component:_ID_8a1cca2f_7df1_4b3a_b24b_ca575fe84348</v>
      </c>
      <c r="O413" s="8" t="s">
        <v>1721</v>
      </c>
      <c r="P413" s="8"/>
      <c r="Q413" s="8" t="str">
        <f t="shared" si="14"/>
        <v/>
      </c>
      <c r="R413" s="8" t="s">
        <v>1721</v>
      </c>
      <c r="S413" s="8" t="s">
        <v>1721</v>
      </c>
      <c r="T413" s="8" t="s">
        <v>1727</v>
      </c>
      <c r="U413" s="8" t="s">
        <v>1727</v>
      </c>
      <c r="V413" s="8" t="s">
        <v>1731</v>
      </c>
      <c r="W413" s="8" t="s">
        <v>1731</v>
      </c>
      <c r="X413" s="8" t="s">
        <v>1721</v>
      </c>
      <c r="Y413" s="8" t="s">
        <v>1721</v>
      </c>
      <c r="Z413" s="18">
        <f t="shared" si="13"/>
        <v>1</v>
      </c>
      <c r="AA413" s="8"/>
      <c r="AB413" s="7"/>
      <c r="AC413" s="7"/>
      <c r="AD413" s="8" t="s">
        <v>1721</v>
      </c>
      <c r="AE413" s="8" t="s">
        <v>1721</v>
      </c>
      <c r="AF413" s="8" t="s">
        <v>2401</v>
      </c>
      <c r="AG413" s="8"/>
      <c r="AH413" s="47"/>
      <c r="AI413" s="47">
        <f>VLOOKUP(B413,'Components Usage'!A$2:C$603,3,FALSE)</f>
        <v>1</v>
      </c>
      <c r="AJ413" s="28" t="s">
        <v>2401</v>
      </c>
    </row>
    <row r="414" spans="1:36" x14ac:dyDescent="0.25">
      <c r="A414" s="16" t="str">
        <f>'Components Data Source'!A414</f>
        <v>DMA (CAL)</v>
      </c>
      <c r="B414" s="8" t="str">
        <f>'Components Data Source'!B414</f>
        <v>5BC4E362-1D31-4533-B8DD-134A53C5C0D9</v>
      </c>
      <c r="C414" s="8" t="str">
        <f>'Components Data Source'!C414</f>
        <v>cal_dma.fcpx</v>
      </c>
      <c r="D414" s="8" t="str">
        <f>'Components Data Source'!D414</f>
        <v>Components\CAL_Source\DMA.fcfx</v>
      </c>
      <c r="E414" s="8" t="str">
        <f>'Components Data Source'!E414</f>
        <v>FREE</v>
      </c>
      <c r="F414" s="8" t="str">
        <f>'Components Data Source'!F414</f>
        <v>PERIPHERAL CAL</v>
      </c>
      <c r="G414" s="8">
        <f>'Components Data Source'!G414</f>
        <v>0</v>
      </c>
      <c r="H414" s="8">
        <f>'Components Data Source'!H414</f>
        <v>0</v>
      </c>
      <c r="I414" s="8">
        <f>'Components Data Source'!I414</f>
        <v>0</v>
      </c>
      <c r="J414" s="8">
        <f>'Components Data Source'!J414</f>
        <v>1</v>
      </c>
      <c r="K414" s="8">
        <f>'Components Data Source'!K414</f>
        <v>1</v>
      </c>
      <c r="L414" s="8">
        <f>'Components Data Source'!L414</f>
        <v>0</v>
      </c>
      <c r="M414" s="8" t="s">
        <v>1727</v>
      </c>
      <c r="N414" s="17" t="str">
        <f>HYPERLINK('Components Data Source'!M414)</f>
        <v>https://www.flowcode.co.uk/wiki/index.php?title=Component:_ID_5bc4e362_1d31_4533_b8dd_134a53c5c0d9</v>
      </c>
      <c r="O414" s="8" t="s">
        <v>1721</v>
      </c>
      <c r="P414" s="8"/>
      <c r="Q414" s="8" t="str">
        <f t="shared" si="14"/>
        <v/>
      </c>
      <c r="R414" s="8" t="s">
        <v>1727</v>
      </c>
      <c r="S414" s="8" t="s">
        <v>1727</v>
      </c>
      <c r="T414" s="8"/>
      <c r="U414" s="8"/>
      <c r="V414" s="8" t="s">
        <v>1730</v>
      </c>
      <c r="W414" s="8" t="s">
        <v>1730</v>
      </c>
      <c r="X414" s="8"/>
      <c r="Y414" s="8"/>
      <c r="Z414" s="18">
        <f t="shared" si="13"/>
        <v>2</v>
      </c>
      <c r="AA414" s="8"/>
      <c r="AB414" s="7"/>
      <c r="AC414" s="7"/>
      <c r="AD414" s="8" t="s">
        <v>1721</v>
      </c>
      <c r="AE414" s="8" t="s">
        <v>1727</v>
      </c>
      <c r="AF414" s="8" t="s">
        <v>2401</v>
      </c>
      <c r="AG414" s="8"/>
      <c r="AH414" s="47"/>
      <c r="AI414" s="47">
        <f>VLOOKUP(B414,'Components Usage'!A$2:C$603,3,FALSE)</f>
        <v>0</v>
      </c>
      <c r="AJ414" s="28" t="s">
        <v>2401</v>
      </c>
    </row>
    <row r="415" spans="1:36" hidden="1" x14ac:dyDescent="0.25">
      <c r="A415" s="16" t="str">
        <f>'Components Data Source'!A415</f>
        <v>EEPROM(CAL)</v>
      </c>
      <c r="B415" s="8" t="str">
        <f>'Components Data Source'!B415</f>
        <v>18738948-277C-4ED2-8BE0-BECC616CB0B9</v>
      </c>
      <c r="C415" s="8" t="str">
        <f>'Components Data Source'!C415</f>
        <v>cal_eeprom.fcpx</v>
      </c>
      <c r="D415" s="8" t="str">
        <f>'Components Data Source'!D415</f>
        <v>Components\CAL_Source\EEPROM.fcfx</v>
      </c>
      <c r="E415" s="8" t="str">
        <f>'Components Data Source'!E415</f>
        <v>STORAGE</v>
      </c>
      <c r="F415" s="8" t="str">
        <f>'Components Data Source'!F415</f>
        <v>MISC</v>
      </c>
      <c r="G415" s="8">
        <f>'Components Data Source'!G415</f>
        <v>0</v>
      </c>
      <c r="H415" s="8">
        <f>'Components Data Source'!H415</f>
        <v>0</v>
      </c>
      <c r="I415" s="8">
        <f>'Components Data Source'!I415</f>
        <v>0</v>
      </c>
      <c r="J415" s="8">
        <f>'Components Data Source'!J415</f>
        <v>1</v>
      </c>
      <c r="K415" s="8">
        <f>'Components Data Source'!K415</f>
        <v>1</v>
      </c>
      <c r="L415" s="8">
        <f>'Components Data Source'!L415</f>
        <v>0</v>
      </c>
      <c r="M415" s="8" t="s">
        <v>1727</v>
      </c>
      <c r="N415" s="17" t="str">
        <f>HYPERLINK('Components Data Source'!M415)</f>
        <v>https://www.flowcode.co.uk/wiki/index.php?title=Component:_ID_18738948_277c_4ed2_8be0_becc616cb0b9</v>
      </c>
      <c r="O415" s="8" t="s">
        <v>1721</v>
      </c>
      <c r="P415" s="8"/>
      <c r="Q415" s="8" t="str">
        <f t="shared" si="14"/>
        <v/>
      </c>
      <c r="R415" s="8" t="s">
        <v>1721</v>
      </c>
      <c r="S415" s="8" t="s">
        <v>1721</v>
      </c>
      <c r="T415" s="8" t="s">
        <v>1727</v>
      </c>
      <c r="U415" s="8" t="s">
        <v>1727</v>
      </c>
      <c r="V415" s="8" t="s">
        <v>1731</v>
      </c>
      <c r="W415" s="8" t="s">
        <v>1731</v>
      </c>
      <c r="X415" s="8" t="s">
        <v>1721</v>
      </c>
      <c r="Y415" s="8" t="s">
        <v>1721</v>
      </c>
      <c r="Z415" s="18">
        <f t="shared" si="13"/>
        <v>1</v>
      </c>
      <c r="AA415" s="8"/>
      <c r="AB415" s="7"/>
      <c r="AC415" s="7"/>
      <c r="AD415" s="8" t="s">
        <v>1721</v>
      </c>
      <c r="AE415" s="8" t="s">
        <v>1721</v>
      </c>
      <c r="AF415" s="8" t="s">
        <v>2401</v>
      </c>
      <c r="AG415" s="8"/>
      <c r="AH415" s="47"/>
      <c r="AI415" s="47">
        <f>VLOOKUP(B415,'Components Usage'!A$2:C$603,3,FALSE)</f>
        <v>11</v>
      </c>
      <c r="AJ415" s="28" t="s">
        <v>2401</v>
      </c>
    </row>
    <row r="416" spans="1:36" x14ac:dyDescent="0.25">
      <c r="A416" s="16" t="str">
        <f>'Components Data Source'!A416</f>
        <v>FLASH (CAL)</v>
      </c>
      <c r="B416" s="8" t="str">
        <f>'Components Data Source'!B416</f>
        <v>F857BA2B-69DD-4C95-B14D-CD0979F066F1</v>
      </c>
      <c r="C416" s="8" t="str">
        <f>'Components Data Source'!C416</f>
        <v>cal_flash.fcpx</v>
      </c>
      <c r="D416" s="8" t="str">
        <f>'Components Data Source'!D416</f>
        <v>Components\CAL_Source\FLASH.fcfx</v>
      </c>
      <c r="E416" s="8" t="str">
        <f>'Components Data Source'!E416</f>
        <v>FREE</v>
      </c>
      <c r="F416" s="8" t="str">
        <f>'Components Data Source'!F416</f>
        <v>PERIPHERAL CAL</v>
      </c>
      <c r="G416" s="8">
        <f>'Components Data Source'!G416</f>
        <v>0</v>
      </c>
      <c r="H416" s="8">
        <f>'Components Data Source'!H416</f>
        <v>0</v>
      </c>
      <c r="I416" s="8">
        <f>'Components Data Source'!I416</f>
        <v>0</v>
      </c>
      <c r="J416" s="8">
        <f>'Components Data Source'!J416</f>
        <v>1</v>
      </c>
      <c r="K416" s="8">
        <f>'Components Data Source'!K416</f>
        <v>1</v>
      </c>
      <c r="L416" s="8">
        <f>'Components Data Source'!L416</f>
        <v>0</v>
      </c>
      <c r="M416" s="8" t="s">
        <v>1727</v>
      </c>
      <c r="N416" s="17" t="str">
        <f>HYPERLINK('Components Data Source'!M416)</f>
        <v>https://www.flowcode.co.uk/wiki/index.php?title=Component:_ID_f857ba2b_69dd_4c95_b14d_cd0979f066f1</v>
      </c>
      <c r="O416" s="8" t="s">
        <v>1721</v>
      </c>
      <c r="P416" s="8"/>
      <c r="Q416" s="8" t="str">
        <f t="shared" si="14"/>
        <v/>
      </c>
      <c r="R416" s="8" t="s">
        <v>1727</v>
      </c>
      <c r="S416" s="8" t="s">
        <v>1727</v>
      </c>
      <c r="T416" s="8"/>
      <c r="U416" s="8"/>
      <c r="V416" s="8" t="s">
        <v>1730</v>
      </c>
      <c r="W416" s="8" t="s">
        <v>1730</v>
      </c>
      <c r="X416" s="8"/>
      <c r="Y416" s="8"/>
      <c r="Z416" s="18">
        <f t="shared" si="13"/>
        <v>2</v>
      </c>
      <c r="AA416" s="8"/>
      <c r="AB416" s="7"/>
      <c r="AC416" s="7"/>
      <c r="AD416" s="8" t="s">
        <v>1721</v>
      </c>
      <c r="AE416" s="8" t="s">
        <v>1727</v>
      </c>
      <c r="AF416" s="8" t="s">
        <v>2401</v>
      </c>
      <c r="AG416" s="8"/>
      <c r="AH416" s="47"/>
      <c r="AI416" s="47">
        <f>VLOOKUP(B416,'Components Usage'!A$2:C$603,3,FALSE)</f>
        <v>0</v>
      </c>
      <c r="AJ416" s="28" t="s">
        <v>2401</v>
      </c>
    </row>
    <row r="417" spans="1:36" x14ac:dyDescent="0.25">
      <c r="A417" s="16" t="str">
        <f>'Components Data Source'!A417</f>
        <v>HBRIDGE(CAL)</v>
      </c>
      <c r="B417" s="8" t="str">
        <f>'Components Data Source'!B417</f>
        <v>71D6CB24-D865-4EA8-B147-734EF7F76850</v>
      </c>
      <c r="C417" s="8" t="str">
        <f>'Components Data Source'!C417</f>
        <v>cal_hbridge.fcpx</v>
      </c>
      <c r="D417" s="8" t="str">
        <f>'Components Data Source'!D417</f>
        <v>Components\CAL_Source\HBRIDGE.fcfx</v>
      </c>
      <c r="E417" s="8" t="str">
        <f>'Components Data Source'!E417</f>
        <v>FREE</v>
      </c>
      <c r="F417" s="8" t="str">
        <f>'Components Data Source'!F417</f>
        <v>MISC</v>
      </c>
      <c r="G417" s="8">
        <f>'Components Data Source'!G417</f>
        <v>0</v>
      </c>
      <c r="H417" s="8">
        <f>'Components Data Source'!H417</f>
        <v>0</v>
      </c>
      <c r="I417" s="8">
        <f>'Components Data Source'!I417</f>
        <v>0</v>
      </c>
      <c r="J417" s="8">
        <f>'Components Data Source'!J417</f>
        <v>1</v>
      </c>
      <c r="K417" s="8">
        <f>'Components Data Source'!K417</f>
        <v>1</v>
      </c>
      <c r="L417" s="8">
        <f>'Components Data Source'!L417</f>
        <v>0</v>
      </c>
      <c r="M417" s="8" t="s">
        <v>1727</v>
      </c>
      <c r="N417" s="17" t="str">
        <f>HYPERLINK('Components Data Source'!M417)</f>
        <v>https://www.flowcode.co.uk/wiki/index.php?title=Component:_ID_71d6cb24_d865_4ea8_b147_734ef7f76850</v>
      </c>
      <c r="O417" s="8" t="s">
        <v>1721</v>
      </c>
      <c r="P417" s="8"/>
      <c r="Q417" s="8" t="str">
        <f t="shared" si="14"/>
        <v/>
      </c>
      <c r="R417" s="8" t="s">
        <v>1721</v>
      </c>
      <c r="S417" s="8" t="s">
        <v>1721</v>
      </c>
      <c r="T417" s="8" t="s">
        <v>1727</v>
      </c>
      <c r="U417" s="8" t="s">
        <v>1727</v>
      </c>
      <c r="V417" s="8" t="s">
        <v>1731</v>
      </c>
      <c r="W417" s="8" t="s">
        <v>1731</v>
      </c>
      <c r="X417" s="8" t="s">
        <v>1721</v>
      </c>
      <c r="Y417" s="8" t="s">
        <v>1721</v>
      </c>
      <c r="Z417" s="18">
        <f t="shared" si="13"/>
        <v>1</v>
      </c>
      <c r="AA417" s="8"/>
      <c r="AB417" s="7"/>
      <c r="AC417" s="7"/>
      <c r="AD417" s="8" t="s">
        <v>1721</v>
      </c>
      <c r="AE417" s="8" t="s">
        <v>1721</v>
      </c>
      <c r="AF417" s="8" t="s">
        <v>1721</v>
      </c>
      <c r="AG417" s="8"/>
      <c r="AH417" s="47"/>
      <c r="AI417" s="47">
        <f>VLOOKUP(B417,'Components Usage'!A$2:C$603,3,FALSE)</f>
        <v>1</v>
      </c>
      <c r="AJ417" s="28" t="s">
        <v>2401</v>
      </c>
    </row>
    <row r="418" spans="1:36" x14ac:dyDescent="0.25">
      <c r="A418" s="16" t="str">
        <f>'Components Data Source'!A418</f>
        <v>I2C(CAL)</v>
      </c>
      <c r="B418" s="8" t="str">
        <f>'Components Data Source'!B418</f>
        <v>ED3A5141-43BB-43E0-86B0-2243FD1147CA</v>
      </c>
      <c r="C418" s="8" t="str">
        <f>'Components Data Source'!C418</f>
        <v>cal_i2c.fcpx</v>
      </c>
      <c r="D418" s="8" t="str">
        <f>'Components Data Source'!D418</f>
        <v>Components\CAL_Source\I2C.fcfx</v>
      </c>
      <c r="E418" s="8" t="str">
        <f>'Components Data Source'!E418</f>
        <v>FREE</v>
      </c>
      <c r="F418" s="8" t="str">
        <f>'Components Data Source'!F418</f>
        <v>MISC</v>
      </c>
      <c r="G418" s="8">
        <f>'Components Data Source'!G418</f>
        <v>0</v>
      </c>
      <c r="H418" s="8">
        <f>'Components Data Source'!H418</f>
        <v>0</v>
      </c>
      <c r="I418" s="8" t="str">
        <f>'Components Data Source'!I418</f>
        <v xml:space="preserve">I2C </v>
      </c>
      <c r="J418" s="8">
        <f>'Components Data Source'!J418</f>
        <v>1</v>
      </c>
      <c r="K418" s="8">
        <f>'Components Data Source'!K418</f>
        <v>1</v>
      </c>
      <c r="L418" s="8">
        <f>'Components Data Source'!L418</f>
        <v>1</v>
      </c>
      <c r="M418" s="8" t="s">
        <v>1727</v>
      </c>
      <c r="N418" s="17" t="str">
        <f>HYPERLINK('Components Data Source'!M418)</f>
        <v>https://www.flowcode.co.uk/wiki/index.php?title=Component:_ID_ed3a5141_43bb_43e0_86b0_2243fd1147ca</v>
      </c>
      <c r="O418" s="8" t="s">
        <v>1721</v>
      </c>
      <c r="P418" s="8"/>
      <c r="Q418" s="8" t="str">
        <f t="shared" si="14"/>
        <v/>
      </c>
      <c r="R418" s="8" t="s">
        <v>1721</v>
      </c>
      <c r="S418" s="8" t="s">
        <v>1721</v>
      </c>
      <c r="T418" s="8" t="s">
        <v>1727</v>
      </c>
      <c r="U418" s="8" t="s">
        <v>1727</v>
      </c>
      <c r="V418" s="8" t="s">
        <v>1731</v>
      </c>
      <c r="W418" s="8" t="s">
        <v>1731</v>
      </c>
      <c r="X418" s="8" t="s">
        <v>1721</v>
      </c>
      <c r="Y418" s="8" t="s">
        <v>1721</v>
      </c>
      <c r="Z418" s="18">
        <f t="shared" si="13"/>
        <v>1</v>
      </c>
      <c r="AA418" s="8"/>
      <c r="AB418" s="7"/>
      <c r="AC418" s="7"/>
      <c r="AD418" s="8" t="s">
        <v>1721</v>
      </c>
      <c r="AE418" s="8" t="s">
        <v>1721</v>
      </c>
      <c r="AF418" s="8" t="s">
        <v>1727</v>
      </c>
      <c r="AG418" s="8" t="s">
        <v>1721</v>
      </c>
      <c r="AH418" s="47"/>
      <c r="AI418" s="47">
        <f>VLOOKUP(B418,'Components Usage'!A$2:C$603,3,FALSE)</f>
        <v>62</v>
      </c>
      <c r="AJ418" s="28" t="s">
        <v>2401</v>
      </c>
    </row>
    <row r="419" spans="1:36" x14ac:dyDescent="0.25">
      <c r="A419" s="16" t="str">
        <f>'Components Data Source'!A419</f>
        <v>PWM(CAL)</v>
      </c>
      <c r="B419" s="8" t="str">
        <f>'Components Data Source'!B419</f>
        <v>068080A0-B949-4A7E-B370-C45430E0C9DE</v>
      </c>
      <c r="C419" s="8" t="str">
        <f>'Components Data Source'!C419</f>
        <v>cal_pwm.fcpx</v>
      </c>
      <c r="D419" s="8" t="str">
        <f>'Components Data Source'!D419</f>
        <v>Components\CAL_Source\PWM.fcfx</v>
      </c>
      <c r="E419" s="8" t="str">
        <f>'Components Data Source'!E419</f>
        <v>FREE</v>
      </c>
      <c r="F419" s="8" t="str">
        <f>'Components Data Source'!F419</f>
        <v>MISC</v>
      </c>
      <c r="G419" s="8">
        <f>'Components Data Source'!G419</f>
        <v>0</v>
      </c>
      <c r="H419" s="8">
        <f>'Components Data Source'!H419</f>
        <v>0</v>
      </c>
      <c r="I419" s="8" t="str">
        <f>'Components Data Source'!I419</f>
        <v xml:space="preserve">PWM </v>
      </c>
      <c r="J419" s="8">
        <f>'Components Data Source'!J419</f>
        <v>1</v>
      </c>
      <c r="K419" s="8">
        <f>'Components Data Source'!K419</f>
        <v>1</v>
      </c>
      <c r="L419" s="8">
        <f>'Components Data Source'!L419</f>
        <v>0</v>
      </c>
      <c r="M419" s="8" t="s">
        <v>1727</v>
      </c>
      <c r="N419" s="17" t="str">
        <f>HYPERLINK('Components Data Source'!M419)</f>
        <v>https://www.flowcode.co.uk/wiki/index.php?title=Component:_ID_068080a0_b949_4a7e_b370_c45430e0c9de</v>
      </c>
      <c r="O419" s="8" t="s">
        <v>1721</v>
      </c>
      <c r="P419" s="8"/>
      <c r="Q419" s="8" t="str">
        <f t="shared" si="14"/>
        <v/>
      </c>
      <c r="R419" s="8" t="s">
        <v>1721</v>
      </c>
      <c r="S419" s="8" t="s">
        <v>1721</v>
      </c>
      <c r="T419" s="8" t="s">
        <v>1727</v>
      </c>
      <c r="U419" s="8" t="s">
        <v>1727</v>
      </c>
      <c r="V419" s="8" t="s">
        <v>1731</v>
      </c>
      <c r="W419" s="8" t="s">
        <v>1731</v>
      </c>
      <c r="X419" s="8" t="s">
        <v>1721</v>
      </c>
      <c r="Y419" s="8" t="s">
        <v>1721</v>
      </c>
      <c r="Z419" s="18">
        <f t="shared" si="13"/>
        <v>1</v>
      </c>
      <c r="AA419" s="8"/>
      <c r="AB419" s="7"/>
      <c r="AC419" s="7"/>
      <c r="AD419" s="8" t="s">
        <v>1721</v>
      </c>
      <c r="AE419" s="8" t="s">
        <v>1721</v>
      </c>
      <c r="AF419" s="8" t="s">
        <v>2401</v>
      </c>
      <c r="AG419" s="8"/>
      <c r="AH419" s="47"/>
      <c r="AI419" s="47">
        <f>VLOOKUP(B419,'Components Usage'!A$2:C$603,3,FALSE)</f>
        <v>2</v>
      </c>
      <c r="AJ419" s="28" t="s">
        <v>2401</v>
      </c>
    </row>
    <row r="420" spans="1:36" x14ac:dyDescent="0.2">
      <c r="A420" s="16" t="str">
        <f>'Components Data Source'!A420</f>
        <v>SPI(CAL)</v>
      </c>
      <c r="B420" s="8" t="str">
        <f>'Components Data Source'!B420</f>
        <v>C67171DF-0AD6-4B11-8361-CFE14B072847</v>
      </c>
      <c r="C420" s="8" t="str">
        <f>'Components Data Source'!C420</f>
        <v>cal_spi.fcpx</v>
      </c>
      <c r="D420" s="8" t="str">
        <f>'Components Data Source'!D420</f>
        <v>Components\CAL_Source\SPI.fcfx</v>
      </c>
      <c r="E420" s="8" t="str">
        <f>'Components Data Source'!E420</f>
        <v>FREE</v>
      </c>
      <c r="F420" s="8" t="str">
        <f>'Components Data Source'!F420</f>
        <v>MISC</v>
      </c>
      <c r="G420" s="8">
        <f>'Components Data Source'!G420</f>
        <v>0</v>
      </c>
      <c r="H420" s="8">
        <f>'Components Data Source'!H420</f>
        <v>0</v>
      </c>
      <c r="I420" s="8" t="str">
        <f>'Components Data Source'!I420</f>
        <v xml:space="preserve">SPI </v>
      </c>
      <c r="J420" s="8">
        <f>'Components Data Source'!J420</f>
        <v>1</v>
      </c>
      <c r="K420" s="8">
        <f>'Components Data Source'!K420</f>
        <v>1</v>
      </c>
      <c r="L420" s="8">
        <f>'Components Data Source'!L420</f>
        <v>1</v>
      </c>
      <c r="M420" s="8" t="s">
        <v>1727</v>
      </c>
      <c r="N420" s="17" t="str">
        <f>HYPERLINK('Components Data Source'!M420)</f>
        <v>https://www.flowcode.co.uk/wiki/index.php?title=Component:_ID_c67171df_0ad6_4b11_8361_cfe14b072847</v>
      </c>
      <c r="O420" s="8" t="s">
        <v>1721</v>
      </c>
      <c r="P420" s="45" t="s">
        <v>3554</v>
      </c>
      <c r="Q420" s="8" t="str">
        <f t="shared" si="14"/>
        <v/>
      </c>
      <c r="R420" s="8" t="s">
        <v>1721</v>
      </c>
      <c r="S420" s="8" t="s">
        <v>1721</v>
      </c>
      <c r="T420" s="8" t="s">
        <v>1727</v>
      </c>
      <c r="U420" s="8" t="s">
        <v>1727</v>
      </c>
      <c r="V420" s="8" t="s">
        <v>1731</v>
      </c>
      <c r="W420" s="8" t="s">
        <v>1731</v>
      </c>
      <c r="X420" s="8" t="s">
        <v>1721</v>
      </c>
      <c r="Y420" s="8" t="s">
        <v>1721</v>
      </c>
      <c r="Z420" s="18">
        <f t="shared" si="13"/>
        <v>1</v>
      </c>
      <c r="AA420" s="8"/>
      <c r="AB420" s="7"/>
      <c r="AC420" s="7"/>
      <c r="AD420" s="8" t="s">
        <v>1721</v>
      </c>
      <c r="AE420" s="8" t="s">
        <v>1721</v>
      </c>
      <c r="AF420" s="8" t="s">
        <v>1727</v>
      </c>
      <c r="AG420" s="8" t="s">
        <v>1721</v>
      </c>
      <c r="AH420" s="47"/>
      <c r="AI420" s="47">
        <f>VLOOKUP(B420,'Components Usage'!A$2:C$603,3,FALSE)</f>
        <v>104</v>
      </c>
      <c r="AJ420" s="28" t="s">
        <v>2401</v>
      </c>
    </row>
    <row r="421" spans="1:36" x14ac:dyDescent="0.2">
      <c r="A421" s="16" t="str">
        <f>'Components Data Source'!A421</f>
        <v>UART(CAL)</v>
      </c>
      <c r="B421" s="8" t="str">
        <f>'Components Data Source'!B421</f>
        <v>91B64B1D-B8B2-40F1-B073-E953A91FA234</v>
      </c>
      <c r="C421" s="8" t="str">
        <f>'Components Data Source'!C421</f>
        <v>cal_uart.fcpx</v>
      </c>
      <c r="D421" s="8" t="str">
        <f>'Components Data Source'!D421</f>
        <v>Components\CAL_Source\UART.fcfx</v>
      </c>
      <c r="E421" s="8" t="str">
        <f>'Components Data Source'!E421</f>
        <v>FREE</v>
      </c>
      <c r="F421" s="8" t="str">
        <f>'Components Data Source'!F421</f>
        <v>MISC</v>
      </c>
      <c r="G421" s="8">
        <f>'Components Data Source'!G421</f>
        <v>0</v>
      </c>
      <c r="H421" s="8">
        <f>'Components Data Source'!H421</f>
        <v>0</v>
      </c>
      <c r="I421" s="8" t="str">
        <f>'Components Data Source'!I421</f>
        <v xml:space="preserve">UART </v>
      </c>
      <c r="J421" s="8">
        <f>'Components Data Source'!J421</f>
        <v>1</v>
      </c>
      <c r="K421" s="8">
        <f>'Components Data Source'!K421</f>
        <v>1</v>
      </c>
      <c r="L421" s="8">
        <f>'Components Data Source'!L421</f>
        <v>0</v>
      </c>
      <c r="M421" s="8" t="s">
        <v>1727</v>
      </c>
      <c r="N421" s="17" t="str">
        <f>HYPERLINK('Components Data Source'!M421)</f>
        <v>https://www.flowcode.co.uk/wiki/index.php?title=Component:_ID_91b64b1d_b8b2_40f1_b073_e953a91fa234</v>
      </c>
      <c r="O421" s="8" t="s">
        <v>1721</v>
      </c>
      <c r="P421" s="45" t="s">
        <v>3554</v>
      </c>
      <c r="Q421" s="8" t="str">
        <f t="shared" si="14"/>
        <v/>
      </c>
      <c r="R421" s="8" t="s">
        <v>1721</v>
      </c>
      <c r="S421" s="8" t="s">
        <v>1721</v>
      </c>
      <c r="T421" s="8" t="s">
        <v>1727</v>
      </c>
      <c r="U421" s="8" t="s">
        <v>1727</v>
      </c>
      <c r="V421" s="8" t="s">
        <v>1731</v>
      </c>
      <c r="W421" s="8" t="s">
        <v>1731</v>
      </c>
      <c r="X421" s="8" t="s">
        <v>1721</v>
      </c>
      <c r="Y421" s="8" t="s">
        <v>1721</v>
      </c>
      <c r="Z421" s="18">
        <f t="shared" si="13"/>
        <v>1</v>
      </c>
      <c r="AA421" s="8"/>
      <c r="AB421" s="7"/>
      <c r="AC421" s="7"/>
      <c r="AD421" s="8" t="s">
        <v>1721</v>
      </c>
      <c r="AE421" s="8" t="s">
        <v>1721</v>
      </c>
      <c r="AF421" s="8" t="s">
        <v>1727</v>
      </c>
      <c r="AG421" s="8"/>
      <c r="AH421" s="47"/>
      <c r="AI421" s="47">
        <f>VLOOKUP(B421,'Components Usage'!A$2:C$603,3,FALSE)</f>
        <v>37</v>
      </c>
      <c r="AJ421" s="28" t="s">
        <v>2401</v>
      </c>
    </row>
    <row r="422" spans="1:36" x14ac:dyDescent="0.2">
      <c r="A422" s="16" t="str">
        <f>'Components Data Source'!A422</f>
        <v>Clone Matrix</v>
      </c>
      <c r="B422" s="8" t="str">
        <f>'Components Data Source'!B422</f>
        <v>9D67E3DC-EF9B-4D4D-B294-19C176EEFAB1</v>
      </c>
      <c r="C422" s="8" t="str">
        <f>'Components Data Source'!C422</f>
        <v>clone_matrix.fcpx</v>
      </c>
      <c r="D422" s="8" t="str">
        <f>'Components Data Source'!D422</f>
        <v>Components\IO_Source\Clone Matrix.fcfx</v>
      </c>
      <c r="E422" s="8" t="str">
        <f>'Components Data Source'!E422</f>
        <v>FREE</v>
      </c>
      <c r="F422" s="8" t="str">
        <f>'Components Data Source'!F422</f>
        <v>MISC</v>
      </c>
      <c r="G422" s="8">
        <f>'Components Data Source'!G422</f>
        <v>0</v>
      </c>
      <c r="H422" s="8">
        <f>'Components Data Source'!H422</f>
        <v>0</v>
      </c>
      <c r="I422" s="8">
        <f>'Components Data Source'!I422</f>
        <v>0</v>
      </c>
      <c r="J422" s="8">
        <f>'Components Data Source'!J422</f>
        <v>1</v>
      </c>
      <c r="K422" s="8">
        <f>'Components Data Source'!K422</f>
        <v>1</v>
      </c>
      <c r="L422" s="8">
        <f>'Components Data Source'!L422</f>
        <v>1</v>
      </c>
      <c r="M422" s="8" t="s">
        <v>1727</v>
      </c>
      <c r="N422" s="17" t="str">
        <f>HYPERLINK('Components Data Source'!M422)</f>
        <v>https://www.flowcode.co.uk/wiki/index.php?title=Component:_ID_9d67e3dc_ef9b_4d4d_b294_19c176eefab1</v>
      </c>
      <c r="O422" s="8" t="s">
        <v>1721</v>
      </c>
      <c r="P422" s="45" t="s">
        <v>3554</v>
      </c>
      <c r="Q422" s="8" t="str">
        <f t="shared" si="14"/>
        <v/>
      </c>
      <c r="R422" s="8" t="s">
        <v>1721</v>
      </c>
      <c r="S422" s="8" t="s">
        <v>1721</v>
      </c>
      <c r="T422" s="8" t="s">
        <v>1727</v>
      </c>
      <c r="U422" s="8" t="s">
        <v>1727</v>
      </c>
      <c r="V422" s="8" t="s">
        <v>1731</v>
      </c>
      <c r="W422" s="8" t="s">
        <v>1731</v>
      </c>
      <c r="X422" s="8" t="s">
        <v>1721</v>
      </c>
      <c r="Y422" s="8" t="s">
        <v>1721</v>
      </c>
      <c r="Z422" s="18">
        <f t="shared" si="13"/>
        <v>1</v>
      </c>
      <c r="AA422" s="8"/>
      <c r="AB422" s="7"/>
      <c r="AC422" s="7"/>
      <c r="AD422" s="8" t="s">
        <v>1721</v>
      </c>
      <c r="AE422" s="8" t="s">
        <v>1721</v>
      </c>
      <c r="AF422" s="8" t="s">
        <v>2401</v>
      </c>
      <c r="AG422" s="8"/>
      <c r="AH422" s="47"/>
      <c r="AI422" s="47">
        <f>VLOOKUP(B422,'Components Usage'!A$2:C$603,3,FALSE)</f>
        <v>0</v>
      </c>
      <c r="AJ422" s="28" t="s">
        <v>2401</v>
      </c>
    </row>
    <row r="423" spans="1:36" hidden="1" x14ac:dyDescent="0.25">
      <c r="A423" s="16" t="str">
        <f>'Components Data Source'!A423</f>
        <v>Collision Detector Template</v>
      </c>
      <c r="B423" s="8" t="str">
        <f>'Components Data Source'!B423</f>
        <v>FC68F857-0F97-420B-8F46-38EB56E5C8CF</v>
      </c>
      <c r="C423" s="8" t="str">
        <f>'Components Data Source'!C423</f>
        <v>collision_detect.fcpx</v>
      </c>
      <c r="D423" s="8" t="str">
        <f>'Components Data Source'!D423</f>
        <v>Components\IO_Source\Collisions\Collision Detector.fcfx</v>
      </c>
      <c r="E423" s="8" t="str">
        <f>'Components Data Source'!E423</f>
        <v>SENSORS</v>
      </c>
      <c r="F423" s="8" t="str">
        <f>'Components Data Source'!F423</f>
        <v>SENSORS</v>
      </c>
      <c r="G423" s="8">
        <f>'Components Data Source'!G423</f>
        <v>0</v>
      </c>
      <c r="H423" s="8">
        <f>'Components Data Source'!H423</f>
        <v>0</v>
      </c>
      <c r="I423" s="8">
        <f>'Components Data Source'!I423</f>
        <v>0</v>
      </c>
      <c r="J423" s="8">
        <f>'Components Data Source'!J423</f>
        <v>1</v>
      </c>
      <c r="K423" s="8">
        <f>'Components Data Source'!K423</f>
        <v>1</v>
      </c>
      <c r="L423" s="8">
        <f>'Components Data Source'!L423</f>
        <v>0</v>
      </c>
      <c r="M423" s="8" t="s">
        <v>1727</v>
      </c>
      <c r="N423" s="17" t="str">
        <f>HYPERLINK('Components Data Source'!M423)</f>
        <v>https://www.flowcode.co.uk/wiki/index.php?title=Component:_ID_fc68f857_0f97_420b_8f46_38eb56e5c8cf</v>
      </c>
      <c r="O423" s="8" t="s">
        <v>1721</v>
      </c>
      <c r="P423" s="8"/>
      <c r="Q423" s="8" t="str">
        <f t="shared" si="14"/>
        <v/>
      </c>
      <c r="R423" s="8" t="s">
        <v>1727</v>
      </c>
      <c r="S423" s="8"/>
      <c r="T423" s="8"/>
      <c r="U423" s="8"/>
      <c r="V423" s="8" t="s">
        <v>1730</v>
      </c>
      <c r="W423" s="8" t="s">
        <v>1730</v>
      </c>
      <c r="X423" s="8"/>
      <c r="Y423" s="8"/>
      <c r="Z423" s="18">
        <f t="shared" si="13"/>
        <v>2</v>
      </c>
      <c r="AA423" s="8"/>
      <c r="AB423" s="7"/>
      <c r="AC423" s="7"/>
      <c r="AD423" s="8" t="s">
        <v>1721</v>
      </c>
      <c r="AE423" s="8" t="s">
        <v>1721</v>
      </c>
      <c r="AF423" s="8" t="s">
        <v>2401</v>
      </c>
      <c r="AG423" s="8"/>
      <c r="AH423" s="47"/>
      <c r="AI423" s="47">
        <f>VLOOKUP(B423,'Components Usage'!A$2:C$603,3,FALSE)</f>
        <v>0</v>
      </c>
      <c r="AJ423" s="28" t="s">
        <v>2401</v>
      </c>
    </row>
    <row r="424" spans="1:36" x14ac:dyDescent="0.2">
      <c r="A424" s="16" t="str">
        <f>'Components Data Source'!A424</f>
        <v>Component Label</v>
      </c>
      <c r="B424" s="8" t="str">
        <f>'Components Data Source'!B424</f>
        <v>C5BE1DA0-4B4C-49B9-82E5-EA2426F52606</v>
      </c>
      <c r="C424" s="8" t="str">
        <f>'Components Data Source'!C424</f>
        <v>component_label.fcpx</v>
      </c>
      <c r="D424" s="8" t="str">
        <f>'Components Data Source'!D424</f>
        <v>Components\IO_Source\component_label.fcfx</v>
      </c>
      <c r="E424" s="8" t="str">
        <f>'Components Data Source'!E424</f>
        <v>FREE</v>
      </c>
      <c r="F424" s="8" t="str">
        <f>'Components Data Source'!F424</f>
        <v>MISC</v>
      </c>
      <c r="G424" s="8">
        <f>'Components Data Source'!G424</f>
        <v>0</v>
      </c>
      <c r="H424" s="8">
        <f>'Components Data Source'!H424</f>
        <v>0</v>
      </c>
      <c r="I424" s="8">
        <f>'Components Data Source'!I424</f>
        <v>0</v>
      </c>
      <c r="J424" s="8">
        <f>'Components Data Source'!J424</f>
        <v>1</v>
      </c>
      <c r="K424" s="8">
        <f>'Components Data Source'!K424</f>
        <v>1</v>
      </c>
      <c r="L424" s="8">
        <f>'Components Data Source'!L424</f>
        <v>1</v>
      </c>
      <c r="M424" s="8" t="s">
        <v>1727</v>
      </c>
      <c r="N424" s="17" t="str">
        <f>HYPERLINK('Components Data Source'!M424)</f>
        <v>https://www.flowcode.co.uk/wiki/index.php?title=Component:_ID_c5be1da0_4b4c_49b9_82e5_ea2426f52606</v>
      </c>
      <c r="O424" s="8" t="s">
        <v>1721</v>
      </c>
      <c r="P424" s="45" t="s">
        <v>3552</v>
      </c>
      <c r="Q424" s="8" t="str">
        <f t="shared" si="14"/>
        <v/>
      </c>
      <c r="R424" s="8" t="s">
        <v>1721</v>
      </c>
      <c r="S424" s="8" t="s">
        <v>1721</v>
      </c>
      <c r="T424" s="8" t="s">
        <v>1727</v>
      </c>
      <c r="U424" s="8" t="s">
        <v>1727</v>
      </c>
      <c r="V424" s="8" t="s">
        <v>1731</v>
      </c>
      <c r="W424" s="8" t="s">
        <v>1731</v>
      </c>
      <c r="X424" s="8" t="s">
        <v>1721</v>
      </c>
      <c r="Y424" s="8" t="s">
        <v>1721</v>
      </c>
      <c r="Z424" s="18">
        <f t="shared" si="13"/>
        <v>1</v>
      </c>
      <c r="AA424" s="8"/>
      <c r="AB424" s="7"/>
      <c r="AC424" s="7"/>
      <c r="AD424" s="8" t="s">
        <v>1721</v>
      </c>
      <c r="AE424" s="8" t="s">
        <v>1727</v>
      </c>
      <c r="AF424" s="8" t="s">
        <v>2401</v>
      </c>
      <c r="AG424" s="8"/>
      <c r="AH424" s="47"/>
      <c r="AI424" s="47">
        <f>VLOOKUP(B424,'Components Usage'!A$2:C$603,3,FALSE)</f>
        <v>2</v>
      </c>
      <c r="AJ424" s="28" t="s">
        <v>2401</v>
      </c>
    </row>
    <row r="425" spans="1:36" x14ac:dyDescent="0.25">
      <c r="A425" s="16" t="str">
        <f>'Components Data Source'!A425</f>
        <v>Button helper</v>
      </c>
      <c r="B425" s="8" t="str">
        <f>'Components Data Source'!B425</f>
        <v>3005C264-3A6D-412A-97DC-2569ED8C149C</v>
      </c>
      <c r="C425" s="8" t="str">
        <f>'Components Data Source'!C425</f>
        <v>ctrl_btnhelper.fcpx</v>
      </c>
      <c r="D425" s="8" t="str">
        <f>'Components Data Source'!D425</f>
        <v>Components\Ctrl_Source\buttonhelper.fcfx</v>
      </c>
      <c r="E425" s="8" t="str">
        <f>'Components Data Source'!E425</f>
        <v>FREE</v>
      </c>
      <c r="F425" s="8" t="str">
        <f>'Components Data Source'!F425</f>
        <v>HELPERS</v>
      </c>
      <c r="G425" s="8">
        <f>'Components Data Source'!G425</f>
        <v>0</v>
      </c>
      <c r="H425" s="8">
        <f>'Components Data Source'!H425</f>
        <v>0</v>
      </c>
      <c r="I425" s="8">
        <f>'Components Data Source'!I425</f>
        <v>0</v>
      </c>
      <c r="J425" s="8">
        <f>'Components Data Source'!J425</f>
        <v>1</v>
      </c>
      <c r="K425" s="8">
        <f>'Components Data Source'!K425</f>
        <v>0</v>
      </c>
      <c r="L425" s="8">
        <f>'Components Data Source'!L425</f>
        <v>0</v>
      </c>
      <c r="M425" s="8" t="s">
        <v>1727</v>
      </c>
      <c r="N425" s="17" t="str">
        <f>HYPERLINK('Components Data Source'!M425)</f>
        <v>https://www.flowcode.co.uk/wiki/index.php?title=Component:_ID_3005c264_3a6d_412a_97dc_2569ed8c149c</v>
      </c>
      <c r="O425" s="8" t="s">
        <v>1721</v>
      </c>
      <c r="P425" s="8" t="s">
        <v>2780</v>
      </c>
      <c r="Q425" s="8" t="str">
        <f t="shared" si="14"/>
        <v/>
      </c>
      <c r="R425" s="8" t="s">
        <v>1727</v>
      </c>
      <c r="S425" s="8" t="s">
        <v>1727</v>
      </c>
      <c r="T425" s="8"/>
      <c r="U425" s="8"/>
      <c r="V425" s="8" t="s">
        <v>1730</v>
      </c>
      <c r="W425" s="8" t="s">
        <v>1730</v>
      </c>
      <c r="X425" s="8"/>
      <c r="Y425" s="8" t="s">
        <v>1727</v>
      </c>
      <c r="Z425" s="18">
        <f t="shared" si="13"/>
        <v>2</v>
      </c>
      <c r="AA425" s="8"/>
      <c r="AB425" s="7" t="s">
        <v>2488</v>
      </c>
      <c r="AC425" s="7"/>
      <c r="AD425" s="8" t="s">
        <v>1721</v>
      </c>
      <c r="AE425" s="8" t="s">
        <v>1727</v>
      </c>
      <c r="AF425" s="8" t="s">
        <v>2401</v>
      </c>
      <c r="AG425" s="8"/>
      <c r="AH425" s="47"/>
      <c r="AI425" s="47">
        <f>VLOOKUP(B425,'Components Usage'!A$2:C$603,3,FALSE)</f>
        <v>1</v>
      </c>
      <c r="AJ425" s="28" t="s">
        <v>2401</v>
      </c>
    </row>
    <row r="426" spans="1:36" x14ac:dyDescent="0.25">
      <c r="A426" s="16" t="str">
        <f>'Components Data Source'!A426</f>
        <v>LCD control</v>
      </c>
      <c r="B426" s="8" t="str">
        <f>'Components Data Source'!B426</f>
        <v>0506F9ED-0E0E-493F-A08B-E9E66052B13E</v>
      </c>
      <c r="C426" s="8" t="str">
        <f>'Components Data Source'!C426</f>
        <v>ctrl_lcd.fcpx</v>
      </c>
      <c r="D426" s="8" t="str">
        <f>'Components Data Source'!D426</f>
        <v>Components\Ctrl_Source\LCD.fcfx</v>
      </c>
      <c r="E426" s="8" t="str">
        <f>'Components Data Source'!E426</f>
        <v>FREE</v>
      </c>
      <c r="F426" s="8" t="str">
        <f>'Components Data Source'!F426</f>
        <v>ALPHANUMERIC</v>
      </c>
      <c r="G426" s="8">
        <f>'Components Data Source'!G426</f>
        <v>0</v>
      </c>
      <c r="H426" s="8">
        <f>'Components Data Source'!H426</f>
        <v>0</v>
      </c>
      <c r="I426" s="8">
        <f>'Components Data Source'!I426</f>
        <v>0</v>
      </c>
      <c r="J426" s="8">
        <f>'Components Data Source'!J426</f>
        <v>1</v>
      </c>
      <c r="K426" s="8">
        <f>'Components Data Source'!K426</f>
        <v>1</v>
      </c>
      <c r="L426" s="8">
        <f>'Components Data Source'!L426</f>
        <v>1</v>
      </c>
      <c r="M426" s="8" t="s">
        <v>1727</v>
      </c>
      <c r="N426" s="17" t="str">
        <f>HYPERLINK('Components Data Source'!M426)</f>
        <v>https://www.flowcode.co.uk/wiki/index.php?title=Component:_ID_0506f9ed_0e0e_493f_a08b_e9e66052b13e</v>
      </c>
      <c r="O426" s="8" t="s">
        <v>1721</v>
      </c>
      <c r="P426" s="8"/>
      <c r="Q426" s="8" t="str">
        <f t="shared" si="14"/>
        <v/>
      </c>
      <c r="R426" s="8" t="s">
        <v>1727</v>
      </c>
      <c r="S426" s="8" t="s">
        <v>1727</v>
      </c>
      <c r="T426" s="8"/>
      <c r="U426" s="8"/>
      <c r="V426" s="8" t="s">
        <v>1730</v>
      </c>
      <c r="W426" s="8" t="s">
        <v>1730</v>
      </c>
      <c r="X426" s="8"/>
      <c r="Y426" s="8"/>
      <c r="Z426" s="18">
        <f t="shared" si="13"/>
        <v>2</v>
      </c>
      <c r="AA426" s="8"/>
      <c r="AB426" s="7"/>
      <c r="AC426" s="7"/>
      <c r="AD426" s="8" t="s">
        <v>1721</v>
      </c>
      <c r="AE426" s="8" t="s">
        <v>1727</v>
      </c>
      <c r="AF426" s="8" t="s">
        <v>2401</v>
      </c>
      <c r="AG426" s="8"/>
      <c r="AH426" s="47"/>
      <c r="AI426" s="47">
        <f>VLOOKUP(B426,'Components Usage'!A$2:C$603,3,FALSE)</f>
        <v>0</v>
      </c>
      <c r="AJ426" s="28" t="s">
        <v>2401</v>
      </c>
    </row>
    <row r="427" spans="1:36" x14ac:dyDescent="0.25">
      <c r="A427" s="16" t="str">
        <f>'Components Data Source'!A427</f>
        <v>Simulation LED (SMD)</v>
      </c>
      <c r="B427" s="8" t="str">
        <f>'Components Data Source'!B427</f>
        <v>CAF757FD-8813-421E-BF75-1A365B20DBC5</v>
      </c>
      <c r="C427" s="8" t="str">
        <f>'Components Data Source'!C427</f>
        <v>ctrl_led_sim.fcpx</v>
      </c>
      <c r="D427" s="8" t="str">
        <f>'Components Data Source'!D427</f>
        <v>Components\IO_Source\outputs\LED_SMD_SIM.fcfx</v>
      </c>
      <c r="E427" s="8" t="str">
        <f>'Components Data Source'!E427</f>
        <v>FREE</v>
      </c>
      <c r="F427" s="8">
        <f>'Components Data Source'!F427</f>
        <v>0</v>
      </c>
      <c r="G427" s="8">
        <f>'Components Data Source'!G427</f>
        <v>0</v>
      </c>
      <c r="H427" s="8">
        <f>'Components Data Source'!H427</f>
        <v>0</v>
      </c>
      <c r="I427" s="8">
        <f>'Components Data Source'!I427</f>
        <v>0</v>
      </c>
      <c r="J427" s="8">
        <f>'Components Data Source'!J427</f>
        <v>1</v>
      </c>
      <c r="K427" s="8">
        <f>'Components Data Source'!K427</f>
        <v>1</v>
      </c>
      <c r="L427" s="8">
        <f>'Components Data Source'!L427</f>
        <v>1</v>
      </c>
      <c r="M427" s="8" t="s">
        <v>1727</v>
      </c>
      <c r="N427" s="17" t="str">
        <f>HYPERLINK('Components Data Source'!M427)</f>
        <v>https://www.flowcode.co.uk/wiki/index.php?title=Component:_ID_caf757fd_8813_421e_bf75_1a365b20dbc5</v>
      </c>
      <c r="O427" s="8" t="s">
        <v>1721</v>
      </c>
      <c r="P427" s="8"/>
      <c r="Q427" s="8" t="str">
        <f t="shared" si="14"/>
        <v/>
      </c>
      <c r="R427" s="8" t="s">
        <v>1727</v>
      </c>
      <c r="S427" s="8" t="s">
        <v>1727</v>
      </c>
      <c r="T427" s="8"/>
      <c r="U427" s="8"/>
      <c r="V427" s="8" t="s">
        <v>1730</v>
      </c>
      <c r="W427" s="8" t="s">
        <v>1730</v>
      </c>
      <c r="X427" s="8"/>
      <c r="Y427" s="8"/>
      <c r="Z427" s="18">
        <f t="shared" si="13"/>
        <v>2</v>
      </c>
      <c r="AA427" s="8"/>
      <c r="AB427" s="7"/>
      <c r="AC427" s="7"/>
      <c r="AD427" s="8" t="s">
        <v>1721</v>
      </c>
      <c r="AE427" s="8" t="s">
        <v>2401</v>
      </c>
      <c r="AF427" s="8" t="s">
        <v>2401</v>
      </c>
      <c r="AG427" s="8"/>
      <c r="AH427" s="47"/>
      <c r="AI427" s="47">
        <f>VLOOKUP(B427,'Components Usage'!A$2:C$603,3,FALSE)</f>
        <v>11</v>
      </c>
      <c r="AJ427" s="28" t="s">
        <v>2401</v>
      </c>
    </row>
    <row r="428" spans="1:36" hidden="1" x14ac:dyDescent="0.25">
      <c r="A428" s="16" t="str">
        <f>'Components Data Source'!A428</f>
        <v>Marking control</v>
      </c>
      <c r="B428" s="8" t="str">
        <f>'Components Data Source'!B428</f>
        <v>D750DDE7-DDBC-4D66-BEA1-5A5AE94DFA70</v>
      </c>
      <c r="C428" s="8" t="str">
        <f>'Components Data Source'!C428</f>
        <v>ctrl_marks.fcpx</v>
      </c>
      <c r="D428" s="8" t="str">
        <f>'Components Data Source'!D428</f>
        <v>Components\Ctrl_Source\markings.fcfx</v>
      </c>
      <c r="E428" s="8" t="str">
        <f>'Components Data Source'!E428</f>
        <v>MODELS</v>
      </c>
      <c r="F428" s="8" t="str">
        <f>'Components Data Source'!F428</f>
        <v>MISC</v>
      </c>
      <c r="G428" s="8">
        <f>'Components Data Source'!G428</f>
        <v>0</v>
      </c>
      <c r="H428" s="8">
        <f>'Components Data Source'!H428</f>
        <v>0</v>
      </c>
      <c r="I428" s="8">
        <f>'Components Data Source'!I428</f>
        <v>0</v>
      </c>
      <c r="J428" s="8">
        <f>'Components Data Source'!J428</f>
        <v>1</v>
      </c>
      <c r="K428" s="8">
        <f>'Components Data Source'!K428</f>
        <v>1</v>
      </c>
      <c r="L428" s="8">
        <f>'Components Data Source'!L428</f>
        <v>1</v>
      </c>
      <c r="M428" s="8" t="s">
        <v>1727</v>
      </c>
      <c r="N428" s="17" t="str">
        <f>HYPERLINK('Components Data Source'!M428)</f>
        <v>https://www.flowcode.co.uk/wiki/index.php?title=Component:_ID_d750dde7_ddbc_4d66_bea1_5a5ae94dfa70</v>
      </c>
      <c r="O428" s="8" t="s">
        <v>1721</v>
      </c>
      <c r="P428" s="8"/>
      <c r="Q428" s="8" t="str">
        <f t="shared" si="14"/>
        <v/>
      </c>
      <c r="R428" s="8" t="s">
        <v>1721</v>
      </c>
      <c r="S428" s="8" t="s">
        <v>1721</v>
      </c>
      <c r="T428" s="8" t="s">
        <v>1727</v>
      </c>
      <c r="U428" s="8" t="s">
        <v>1727</v>
      </c>
      <c r="V428" s="8" t="s">
        <v>1731</v>
      </c>
      <c r="W428" s="8" t="s">
        <v>1731</v>
      </c>
      <c r="X428" s="8" t="s">
        <v>1721</v>
      </c>
      <c r="Y428" s="8" t="s">
        <v>1721</v>
      </c>
      <c r="Z428" s="18">
        <f t="shared" si="13"/>
        <v>1</v>
      </c>
      <c r="AA428" s="8"/>
      <c r="AB428" s="7"/>
      <c r="AC428" s="7"/>
      <c r="AD428" s="8" t="s">
        <v>1721</v>
      </c>
      <c r="AE428" s="8" t="s">
        <v>1727</v>
      </c>
      <c r="AF428" s="8" t="s">
        <v>2401</v>
      </c>
      <c r="AG428" s="8"/>
      <c r="AH428" s="47"/>
      <c r="AI428" s="47">
        <f>VLOOKUP(B428,'Components Usage'!A$2:C$603,3,FALSE)</f>
        <v>0</v>
      </c>
      <c r="AJ428" s="28" t="s">
        <v>2401</v>
      </c>
    </row>
    <row r="429" spans="1:36" hidden="1" x14ac:dyDescent="0.25">
      <c r="A429" s="16" t="str">
        <f>'Components Data Source'!A429</f>
        <v>Slider control</v>
      </c>
      <c r="B429" s="8" t="str">
        <f>'Components Data Source'!B429</f>
        <v>0D074F2E-5FF6-45D2-A0A8-1B5C3AA34E41</v>
      </c>
      <c r="C429" s="8" t="str">
        <f>'Components Data Source'!C429</f>
        <v>ctrl_slider.fcpx</v>
      </c>
      <c r="D429" s="8" t="str">
        <f>'Components Data Source'!D429</f>
        <v>Components\Ctrl_Source\slider.fcfx</v>
      </c>
      <c r="E429" s="8" t="str">
        <f>'Components Data Source'!E429</f>
        <v>MODELS</v>
      </c>
      <c r="F429" s="8" t="str">
        <f>'Components Data Source'!F429</f>
        <v>ADVANCED SHAPES</v>
      </c>
      <c r="G429" s="8">
        <f>'Components Data Source'!G429</f>
        <v>0</v>
      </c>
      <c r="H429" s="8">
        <f>'Components Data Source'!H429</f>
        <v>0</v>
      </c>
      <c r="I429" s="8">
        <f>'Components Data Source'!I429</f>
        <v>0</v>
      </c>
      <c r="J429" s="8">
        <f>'Components Data Source'!J429</f>
        <v>1</v>
      </c>
      <c r="K429" s="8">
        <f>'Components Data Source'!K429</f>
        <v>1</v>
      </c>
      <c r="L429" s="8">
        <f>'Components Data Source'!L429</f>
        <v>1</v>
      </c>
      <c r="M429" s="8" t="s">
        <v>1727</v>
      </c>
      <c r="N429" s="17" t="str">
        <f>HYPERLINK('Components Data Source'!M429)</f>
        <v>https://www.flowcode.co.uk/wiki/index.php?title=Component:_ID_0d074f2e_5ff6_45d2_a0a8_1b5c3aa34e41</v>
      </c>
      <c r="O429" s="8" t="s">
        <v>1721</v>
      </c>
      <c r="P429" s="8"/>
      <c r="Q429" s="8" t="str">
        <f t="shared" si="14"/>
        <v/>
      </c>
      <c r="R429" s="8" t="s">
        <v>1727</v>
      </c>
      <c r="S429" s="8" t="s">
        <v>1727</v>
      </c>
      <c r="T429" s="8"/>
      <c r="U429" s="8"/>
      <c r="V429" s="8" t="s">
        <v>1730</v>
      </c>
      <c r="W429" s="8" t="s">
        <v>1730</v>
      </c>
      <c r="X429" s="8"/>
      <c r="Y429" s="8"/>
      <c r="Z429" s="18">
        <f t="shared" si="13"/>
        <v>2</v>
      </c>
      <c r="AA429" s="8"/>
      <c r="AB429" s="7"/>
      <c r="AC429" s="7"/>
      <c r="AD429" s="8" t="s">
        <v>1721</v>
      </c>
      <c r="AE429" s="8" t="s">
        <v>1721</v>
      </c>
      <c r="AF429" s="8" t="s">
        <v>2401</v>
      </c>
      <c r="AG429" s="8"/>
      <c r="AH429" s="47"/>
      <c r="AI429" s="47">
        <f>VLOOKUP(B429,'Components Usage'!A$2:C$603,3,FALSE)</f>
        <v>2</v>
      </c>
      <c r="AJ429" s="28" t="s">
        <v>2401</v>
      </c>
    </row>
    <row r="430" spans="1:36" x14ac:dyDescent="0.25">
      <c r="A430" s="16" t="str">
        <f>'Components Data Source'!A430</f>
        <v>Rx/Tx Flasher</v>
      </c>
      <c r="B430" s="8" t="str">
        <f>'Components Data Source'!B430</f>
        <v>175423B4-B359-4AA7-9BC4-1867301742AF</v>
      </c>
      <c r="C430" s="8" t="str">
        <f>'Components Data Source'!C430</f>
        <v>dash_IO_flasher.fcpx</v>
      </c>
      <c r="D430" s="8" t="str">
        <f>'Components Data Source'!D430</f>
        <v>Components\IO_Source\Comms_indicators.fcfx</v>
      </c>
      <c r="E430" s="8" t="str">
        <f>'Components Data Source'!E430</f>
        <v>FREE</v>
      </c>
      <c r="F430" s="8" t="str">
        <f>'Components Data Source'!F430</f>
        <v>ADVANCED SHAPES</v>
      </c>
      <c r="G430" s="8">
        <f>'Components Data Source'!G430</f>
        <v>0</v>
      </c>
      <c r="H430" s="8">
        <f>'Components Data Source'!H430</f>
        <v>0</v>
      </c>
      <c r="I430" s="8">
        <f>'Components Data Source'!I430</f>
        <v>0</v>
      </c>
      <c r="J430" s="8">
        <f>'Components Data Source'!J430</f>
        <v>1</v>
      </c>
      <c r="K430" s="8">
        <f>'Components Data Source'!K430</f>
        <v>1</v>
      </c>
      <c r="L430" s="8">
        <f>'Components Data Source'!L430</f>
        <v>1</v>
      </c>
      <c r="M430" s="8" t="s">
        <v>1727</v>
      </c>
      <c r="N430" s="17" t="str">
        <f>HYPERLINK('Components Data Source'!M430)</f>
        <v>https://www.flowcode.co.uk/wiki/index.php?title=Component:_ID_175423b4_b359_4aa7_9bc4_1867301742af</v>
      </c>
      <c r="O430" s="8" t="s">
        <v>1721</v>
      </c>
      <c r="P430" s="8"/>
      <c r="Q430" s="8" t="str">
        <f t="shared" si="14"/>
        <v/>
      </c>
      <c r="R430" s="8" t="s">
        <v>1727</v>
      </c>
      <c r="S430" s="8" t="s">
        <v>1727</v>
      </c>
      <c r="T430" s="8"/>
      <c r="U430" s="8"/>
      <c r="V430" s="8" t="s">
        <v>1730</v>
      </c>
      <c r="W430" s="8" t="s">
        <v>1730</v>
      </c>
      <c r="X430" s="8"/>
      <c r="Y430" s="8"/>
      <c r="Z430" s="18">
        <f t="shared" si="13"/>
        <v>2</v>
      </c>
      <c r="AA430" s="8"/>
      <c r="AB430" s="7" t="s">
        <v>2506</v>
      </c>
      <c r="AC430" s="7"/>
      <c r="AD430" s="8" t="s">
        <v>1721</v>
      </c>
      <c r="AE430" s="8" t="s">
        <v>2401</v>
      </c>
      <c r="AF430" s="8" t="s">
        <v>2401</v>
      </c>
      <c r="AG430" s="8" t="s">
        <v>2401</v>
      </c>
      <c r="AH430" s="47"/>
      <c r="AI430" s="47">
        <f>VLOOKUP(B430,'Components Usage'!A$2:C$603,3,FALSE)</f>
        <v>52</v>
      </c>
      <c r="AJ430" s="28" t="s">
        <v>2401</v>
      </c>
    </row>
    <row r="431" spans="1:36" hidden="1" x14ac:dyDescent="0.25">
      <c r="A431" s="16" t="str">
        <f>'Components Data Source'!A431</f>
        <v>Switch (Push Dashboard)</v>
      </c>
      <c r="B431" s="8" t="str">
        <f>'Components Data Source'!B431</f>
        <v>ABA70ED4-4D0C-47E1-90C7-BFDA5262EEC3</v>
      </c>
      <c r="C431" s="8" t="str">
        <f>'Components Data Source'!C431</f>
        <v>dash_button.fcpx</v>
      </c>
      <c r="D431" s="8" t="str">
        <f>'Components Data Source'!D431</f>
        <v>Components\IO_Source\Dashboard\Dashboard Button.fcfx</v>
      </c>
      <c r="E431" s="8" t="str">
        <f>'Components Data Source'!E431</f>
        <v>BASICIO</v>
      </c>
      <c r="F431" s="8">
        <f>'Components Data Source'!F431</f>
        <v>0</v>
      </c>
      <c r="G431" s="8">
        <f>'Components Data Source'!G431</f>
        <v>0</v>
      </c>
      <c r="H431" s="8">
        <f>'Components Data Source'!H431</f>
        <v>0</v>
      </c>
      <c r="I431" s="8">
        <f>'Components Data Source'!I431</f>
        <v>0</v>
      </c>
      <c r="J431" s="8">
        <f>'Components Data Source'!J431</f>
        <v>1</v>
      </c>
      <c r="K431" s="8">
        <f>'Components Data Source'!K431</f>
        <v>1</v>
      </c>
      <c r="L431" s="8">
        <f>'Components Data Source'!L431</f>
        <v>0</v>
      </c>
      <c r="M431" s="8" t="s">
        <v>1727</v>
      </c>
      <c r="N431" s="17" t="str">
        <f>HYPERLINK('Components Data Source'!M431)</f>
        <v>https://www.flowcode.co.uk/wiki/index.php?title=Component:_ID_aba70ed4_4d0c_47e1_90c7_bfda5262eec3</v>
      </c>
      <c r="O431" s="8" t="s">
        <v>1721</v>
      </c>
      <c r="P431" s="8"/>
      <c r="Q431" s="8" t="str">
        <f t="shared" si="14"/>
        <v/>
      </c>
      <c r="R431" s="8" t="s">
        <v>1727</v>
      </c>
      <c r="S431" s="8" t="s">
        <v>1727</v>
      </c>
      <c r="T431" s="8"/>
      <c r="U431" s="8"/>
      <c r="V431" s="8" t="s">
        <v>1730</v>
      </c>
      <c r="W431" s="8" t="s">
        <v>1730</v>
      </c>
      <c r="X431" s="8"/>
      <c r="Y431" s="8"/>
      <c r="Z431" s="18">
        <f t="shared" si="13"/>
        <v>2</v>
      </c>
      <c r="AA431" s="8"/>
      <c r="AB431" s="7"/>
      <c r="AC431" s="7"/>
      <c r="AD431" s="8" t="s">
        <v>1721</v>
      </c>
      <c r="AE431" s="8" t="s">
        <v>1721</v>
      </c>
      <c r="AF431" s="8" t="s">
        <v>1721</v>
      </c>
      <c r="AG431" s="8"/>
      <c r="AH431" s="47"/>
      <c r="AI431" s="47">
        <f>VLOOKUP(B431,'Components Usage'!A$2:C$603,3,FALSE)</f>
        <v>21</v>
      </c>
      <c r="AJ431" s="28" t="s">
        <v>2401</v>
      </c>
    </row>
    <row r="432" spans="1:36" hidden="1" x14ac:dyDescent="0.25">
      <c r="A432" s="16" t="str">
        <f>'Components Data Source'!A432</f>
        <v>Dashboard Knob</v>
      </c>
      <c r="B432" s="8" t="str">
        <f>'Components Data Source'!B432</f>
        <v>2E0AA52E-AC04-4997-B3AC-77205BA19522</v>
      </c>
      <c r="C432" s="8" t="str">
        <f>'Components Data Source'!C432</f>
        <v>dash_knob.fcpx</v>
      </c>
      <c r="D432" s="8" t="str">
        <f>'Components Data Source'!D432</f>
        <v>Components\IO_Source\Dashboard\Dashboard Knob.fcfx</v>
      </c>
      <c r="E432" s="8" t="str">
        <f>'Components Data Source'!E432</f>
        <v>MODELS</v>
      </c>
      <c r="F432" s="8">
        <f>'Components Data Source'!F432</f>
        <v>0</v>
      </c>
      <c r="G432" s="8">
        <f>'Components Data Source'!G432</f>
        <v>0</v>
      </c>
      <c r="H432" s="8">
        <f>'Components Data Source'!H432</f>
        <v>0</v>
      </c>
      <c r="I432" s="8">
        <f>'Components Data Source'!I432</f>
        <v>0</v>
      </c>
      <c r="J432" s="8">
        <f>'Components Data Source'!J432</f>
        <v>1</v>
      </c>
      <c r="K432" s="8">
        <f>'Components Data Source'!K432</f>
        <v>1</v>
      </c>
      <c r="L432" s="8">
        <f>'Components Data Source'!L432</f>
        <v>1</v>
      </c>
      <c r="M432" s="8" t="s">
        <v>1727</v>
      </c>
      <c r="N432" s="17" t="str">
        <f>HYPERLINK('Components Data Source'!M432)</f>
        <v>https://www.flowcode.co.uk/wiki/index.php?title=Component:_ID_2e0aa52e_ac04_4997_b3ac_77205ba19522</v>
      </c>
      <c r="O432" s="8" t="s">
        <v>1721</v>
      </c>
      <c r="P432" s="8"/>
      <c r="Q432" s="8" t="str">
        <f t="shared" si="14"/>
        <v/>
      </c>
      <c r="R432" s="8" t="s">
        <v>1727</v>
      </c>
      <c r="S432" s="8" t="s">
        <v>1727</v>
      </c>
      <c r="T432" s="8"/>
      <c r="U432" s="8"/>
      <c r="V432" s="8" t="s">
        <v>1730</v>
      </c>
      <c r="W432" s="8" t="s">
        <v>1730</v>
      </c>
      <c r="X432" s="8"/>
      <c r="Y432" s="8"/>
      <c r="Z432" s="18">
        <f t="shared" si="13"/>
        <v>2</v>
      </c>
      <c r="AA432" s="8"/>
      <c r="AB432" s="7"/>
      <c r="AC432" s="7"/>
      <c r="AD432" s="8" t="s">
        <v>1721</v>
      </c>
      <c r="AE432" s="8" t="s">
        <v>1721</v>
      </c>
      <c r="AF432" s="8" t="s">
        <v>2401</v>
      </c>
      <c r="AG432" s="8"/>
      <c r="AH432" s="47"/>
      <c r="AI432" s="47">
        <f>VLOOKUP(B432,'Components Usage'!A$2:C$603,3,FALSE)</f>
        <v>3</v>
      </c>
      <c r="AJ432" s="28" t="s">
        <v>2401</v>
      </c>
    </row>
    <row r="433" spans="1:36" hidden="1" x14ac:dyDescent="0.25">
      <c r="A433" s="16" t="str">
        <f>'Components Data Source'!A433</f>
        <v>Dashboard lamp</v>
      </c>
      <c r="B433" s="8" t="str">
        <f>'Components Data Source'!B433</f>
        <v>D68E61BC-0E8C-4E3D-959B-39E2DECFB680</v>
      </c>
      <c r="C433" s="8" t="str">
        <f>'Components Data Source'!C433</f>
        <v>dash_lamp.fcpx</v>
      </c>
      <c r="D433" s="8" t="str">
        <f>'Components Data Source'!D433</f>
        <v>Components\IO_Source\Dashboard\Dashboard Indicator.fcfx</v>
      </c>
      <c r="E433" s="8" t="str">
        <f>'Components Data Source'!E433</f>
        <v>MODELS</v>
      </c>
      <c r="F433" s="8">
        <f>'Components Data Source'!F433</f>
        <v>0</v>
      </c>
      <c r="G433" s="8">
        <f>'Components Data Source'!G433</f>
        <v>0</v>
      </c>
      <c r="H433" s="8">
        <f>'Components Data Source'!H433</f>
        <v>0</v>
      </c>
      <c r="I433" s="8">
        <f>'Components Data Source'!I433</f>
        <v>0</v>
      </c>
      <c r="J433" s="8">
        <f>'Components Data Source'!J433</f>
        <v>1</v>
      </c>
      <c r="K433" s="8">
        <f>'Components Data Source'!K433</f>
        <v>1</v>
      </c>
      <c r="L433" s="8">
        <f>'Components Data Source'!L433</f>
        <v>0</v>
      </c>
      <c r="M433" s="8" t="s">
        <v>1727</v>
      </c>
      <c r="N433" s="17" t="str">
        <f>HYPERLINK('Components Data Source'!M433)</f>
        <v>https://www.flowcode.co.uk/wiki/index.php?title=Component:_ID_d68e61bc_0e8c_4e3d_959b_39e2decfb680</v>
      </c>
      <c r="O433" s="8" t="s">
        <v>2590</v>
      </c>
      <c r="P433" s="8" t="s">
        <v>3558</v>
      </c>
      <c r="Q433" s="8" t="str">
        <f t="shared" si="14"/>
        <v/>
      </c>
      <c r="R433" s="8" t="s">
        <v>1727</v>
      </c>
      <c r="S433" s="8" t="s">
        <v>1727</v>
      </c>
      <c r="T433" s="8"/>
      <c r="U433" s="8"/>
      <c r="V433" s="8" t="s">
        <v>1730</v>
      </c>
      <c r="W433" s="8" t="s">
        <v>1730</v>
      </c>
      <c r="X433" s="8"/>
      <c r="Y433" s="8"/>
      <c r="Z433" s="18">
        <f t="shared" si="13"/>
        <v>2</v>
      </c>
      <c r="AA433" s="8"/>
      <c r="AB433" s="7"/>
      <c r="AC433" s="7"/>
      <c r="AD433" s="8" t="s">
        <v>1721</v>
      </c>
      <c r="AE433" s="8" t="s">
        <v>1721</v>
      </c>
      <c r="AF433" s="8" t="s">
        <v>1721</v>
      </c>
      <c r="AG433" s="8"/>
      <c r="AH433" s="47"/>
      <c r="AI433" s="47">
        <f>VLOOKUP(B433,'Components Usage'!A$2:C$603,3,FALSE)</f>
        <v>5</v>
      </c>
      <c r="AJ433" s="28" t="s">
        <v>2401</v>
      </c>
    </row>
    <row r="434" spans="1:36" hidden="1" x14ac:dyDescent="0.25">
      <c r="A434" s="16" t="str">
        <f>'Components Data Source'!A434</f>
        <v>Dashboard Meter</v>
      </c>
      <c r="B434" s="8" t="str">
        <f>'Components Data Source'!B434</f>
        <v>8C84170A-6FE8-4386-9709-451A0D21DA64</v>
      </c>
      <c r="C434" s="8" t="str">
        <f>'Components Data Source'!C434</f>
        <v>dash_meter.fcpx</v>
      </c>
      <c r="D434" s="8" t="str">
        <f>'Components Data Source'!D434</f>
        <v>Components\IO_Source\Dashboard\Dashboard Meter.fcfx</v>
      </c>
      <c r="E434" s="8" t="str">
        <f>'Components Data Source'!E434</f>
        <v>MODELS</v>
      </c>
      <c r="F434" s="8">
        <f>'Components Data Source'!F434</f>
        <v>0</v>
      </c>
      <c r="G434" s="8">
        <f>'Components Data Source'!G434</f>
        <v>0</v>
      </c>
      <c r="H434" s="8">
        <f>'Components Data Source'!H434</f>
        <v>0</v>
      </c>
      <c r="I434" s="8">
        <f>'Components Data Source'!I434</f>
        <v>0</v>
      </c>
      <c r="J434" s="8">
        <f>'Components Data Source'!J434</f>
        <v>1</v>
      </c>
      <c r="K434" s="8">
        <f>'Components Data Source'!K434</f>
        <v>1</v>
      </c>
      <c r="L434" s="8">
        <f>'Components Data Source'!L434</f>
        <v>1</v>
      </c>
      <c r="M434" s="8" t="s">
        <v>1727</v>
      </c>
      <c r="N434" s="17" t="str">
        <f>HYPERLINK('Components Data Source'!M434)</f>
        <v>https://www.flowcode.co.uk/wiki/index.php?title=Component:_ID_8c84170a_6fe8_4386_9709_451a0d21da64</v>
      </c>
      <c r="O434" s="8" t="s">
        <v>1721</v>
      </c>
      <c r="P434" s="8"/>
      <c r="Q434" s="8" t="str">
        <f t="shared" si="14"/>
        <v/>
      </c>
      <c r="R434" s="8" t="s">
        <v>1727</v>
      </c>
      <c r="S434" s="8" t="s">
        <v>1727</v>
      </c>
      <c r="T434" s="8"/>
      <c r="U434" s="8"/>
      <c r="V434" s="8" t="s">
        <v>1730</v>
      </c>
      <c r="W434" s="8" t="s">
        <v>1730</v>
      </c>
      <c r="X434" s="8"/>
      <c r="Y434" s="8"/>
      <c r="Z434" s="18">
        <f t="shared" si="13"/>
        <v>2</v>
      </c>
      <c r="AA434" s="8"/>
      <c r="AB434" s="7"/>
      <c r="AC434" s="7"/>
      <c r="AD434" s="8" t="s">
        <v>1721</v>
      </c>
      <c r="AE434" s="8" t="s">
        <v>1721</v>
      </c>
      <c r="AF434" s="8" t="s">
        <v>2401</v>
      </c>
      <c r="AG434" s="8"/>
      <c r="AH434" s="47"/>
      <c r="AI434" s="47">
        <f>VLOOKUP(B434,'Components Usage'!A$2:C$603,3,FALSE)</f>
        <v>4</v>
      </c>
      <c r="AJ434" s="28" t="s">
        <v>2401</v>
      </c>
    </row>
    <row r="435" spans="1:36" hidden="1" x14ac:dyDescent="0.25">
      <c r="A435" s="16" t="str">
        <f>'Components Data Source'!A435</f>
        <v>Dash Scale Horizontal</v>
      </c>
      <c r="B435" s="8" t="str">
        <f>'Components Data Source'!B435</f>
        <v>C7AF6F97-A9D6-45D0-A7D2-48D85DBEF664</v>
      </c>
      <c r="C435" s="8" t="str">
        <f>'Components Data Source'!C435</f>
        <v>dash_scale_horz.fcpx</v>
      </c>
      <c r="D435" s="8" t="str">
        <f>'Components Data Source'!D435</f>
        <v>Components\IO_Source\Dashboard\Dashboard Scale Horizontal.fcfx</v>
      </c>
      <c r="E435" s="8" t="str">
        <f>'Components Data Source'!E435</f>
        <v>MODELS</v>
      </c>
      <c r="F435" s="8">
        <f>'Components Data Source'!F435</f>
        <v>0</v>
      </c>
      <c r="G435" s="8">
        <f>'Components Data Source'!G435</f>
        <v>0</v>
      </c>
      <c r="H435" s="8">
        <f>'Components Data Source'!H435</f>
        <v>0</v>
      </c>
      <c r="I435" s="8">
        <f>'Components Data Source'!I435</f>
        <v>0</v>
      </c>
      <c r="J435" s="8">
        <f>'Components Data Source'!J435</f>
        <v>1</v>
      </c>
      <c r="K435" s="8">
        <f>'Components Data Source'!K435</f>
        <v>1</v>
      </c>
      <c r="L435" s="8">
        <f>'Components Data Source'!L435</f>
        <v>1</v>
      </c>
      <c r="M435" s="8" t="s">
        <v>1727</v>
      </c>
      <c r="N435" s="17" t="str">
        <f>HYPERLINK('Components Data Source'!M435)</f>
        <v>https://www.flowcode.co.uk/wiki/index.php?title=Component:_ID_c7af6f97_a9d6_45d0_a7d2_48d85dbef664</v>
      </c>
      <c r="O435" s="8" t="s">
        <v>1721</v>
      </c>
      <c r="P435" s="8" t="s">
        <v>2776</v>
      </c>
      <c r="Q435" s="8" t="str">
        <f t="shared" si="14"/>
        <v/>
      </c>
      <c r="R435" s="8" t="s">
        <v>1727</v>
      </c>
      <c r="S435" s="8" t="s">
        <v>1727</v>
      </c>
      <c r="T435" s="8"/>
      <c r="U435" s="8"/>
      <c r="V435" s="8" t="s">
        <v>1730</v>
      </c>
      <c r="W435" s="8" t="s">
        <v>1730</v>
      </c>
      <c r="X435" s="8"/>
      <c r="Y435" s="8"/>
      <c r="Z435" s="18">
        <f t="shared" si="13"/>
        <v>2</v>
      </c>
      <c r="AA435" s="8"/>
      <c r="AB435" s="7"/>
      <c r="AC435" s="7"/>
      <c r="AD435" s="8" t="s">
        <v>1721</v>
      </c>
      <c r="AE435" s="8" t="s">
        <v>1721</v>
      </c>
      <c r="AF435" s="8" t="s">
        <v>2401</v>
      </c>
      <c r="AG435" s="8"/>
      <c r="AH435" s="47"/>
      <c r="AI435" s="47">
        <f>VLOOKUP(B435,'Components Usage'!A$2:C$603,3,FALSE)</f>
        <v>2</v>
      </c>
      <c r="AJ435" s="28" t="s">
        <v>2401</v>
      </c>
    </row>
    <row r="436" spans="1:36" x14ac:dyDescent="0.25">
      <c r="A436" s="16" t="str">
        <f>'Components Data Source'!A436</f>
        <v>Dash Scale Vertical</v>
      </c>
      <c r="B436" s="8" t="str">
        <f>'Components Data Source'!B436</f>
        <v>F51B5E55-6A64-49AD-B79D-2B57DB0CD54B</v>
      </c>
      <c r="C436" s="8" t="str">
        <f>'Components Data Source'!C436</f>
        <v>dash_scale_vert.fcpx</v>
      </c>
      <c r="D436" s="8" t="str">
        <f>'Components Data Source'!D436</f>
        <v>Components\IO_Source\Dashboard\Dashboard Scale Vertical.fcfx</v>
      </c>
      <c r="E436" s="8" t="str">
        <f>'Components Data Source'!E436</f>
        <v>FREE</v>
      </c>
      <c r="F436" s="8">
        <f>'Components Data Source'!F436</f>
        <v>0</v>
      </c>
      <c r="G436" s="8">
        <f>'Components Data Source'!G436</f>
        <v>0</v>
      </c>
      <c r="H436" s="8">
        <f>'Components Data Source'!H436</f>
        <v>0</v>
      </c>
      <c r="I436" s="8">
        <f>'Components Data Source'!I436</f>
        <v>0</v>
      </c>
      <c r="J436" s="8">
        <f>'Components Data Source'!J436</f>
        <v>1</v>
      </c>
      <c r="K436" s="8">
        <f>'Components Data Source'!K436</f>
        <v>1</v>
      </c>
      <c r="L436" s="8">
        <f>'Components Data Source'!L436</f>
        <v>1</v>
      </c>
      <c r="M436" s="8" t="s">
        <v>1727</v>
      </c>
      <c r="N436" s="17" t="str">
        <f>HYPERLINK('Components Data Source'!M436)</f>
        <v>https://www.flowcode.co.uk/wiki/index.php?title=Component:_ID_f51b5e55_6a64_49ad_b79d_2b57db0cd54b</v>
      </c>
      <c r="O436" s="8" t="s">
        <v>1721</v>
      </c>
      <c r="P436" s="8"/>
      <c r="Q436" s="8" t="str">
        <f t="shared" si="14"/>
        <v/>
      </c>
      <c r="R436" s="8" t="s">
        <v>1727</v>
      </c>
      <c r="S436" s="8" t="s">
        <v>1727</v>
      </c>
      <c r="T436" s="8"/>
      <c r="U436" s="8"/>
      <c r="V436" s="8" t="s">
        <v>1730</v>
      </c>
      <c r="W436" s="8" t="s">
        <v>1730</v>
      </c>
      <c r="X436" s="8"/>
      <c r="Y436" s="8"/>
      <c r="Z436" s="18">
        <f t="shared" si="13"/>
        <v>2</v>
      </c>
      <c r="AA436" s="8"/>
      <c r="AB436" s="7"/>
      <c r="AC436" s="7"/>
      <c r="AD436" s="8" t="s">
        <v>1721</v>
      </c>
      <c r="AE436" s="8" t="s">
        <v>1721</v>
      </c>
      <c r="AF436" s="8" t="s">
        <v>2401</v>
      </c>
      <c r="AG436" s="8"/>
      <c r="AH436" s="47"/>
      <c r="AI436" s="47">
        <f>VLOOKUP(B436,'Components Usage'!A$2:C$603,3,FALSE)</f>
        <v>41</v>
      </c>
      <c r="AJ436" s="28" t="s">
        <v>2401</v>
      </c>
    </row>
    <row r="437" spans="1:36" hidden="1" x14ac:dyDescent="0.25">
      <c r="A437" s="16" t="str">
        <f>'Components Data Source'!A437</f>
        <v>Switch (Slide Dashboard)</v>
      </c>
      <c r="B437" s="8" t="str">
        <f>'Components Data Source'!B437</f>
        <v>DDAD9CB9-122D-4F29-AAA9-233D3A967CA8</v>
      </c>
      <c r="C437" s="8" t="str">
        <f>'Components Data Source'!C437</f>
        <v>dash_switch.fcpx</v>
      </c>
      <c r="D437" s="8" t="str">
        <f>'Components Data Source'!D437</f>
        <v>Components\IO_Source\Dashboard\Dashboard Switch.fcfx</v>
      </c>
      <c r="E437" s="8" t="str">
        <f>'Components Data Source'!E437</f>
        <v>BASICIO</v>
      </c>
      <c r="F437" s="8">
        <f>'Components Data Source'!F437</f>
        <v>0</v>
      </c>
      <c r="G437" s="8">
        <f>'Components Data Source'!G437</f>
        <v>0</v>
      </c>
      <c r="H437" s="8">
        <f>'Components Data Source'!H437</f>
        <v>0</v>
      </c>
      <c r="I437" s="8">
        <f>'Components Data Source'!I437</f>
        <v>0</v>
      </c>
      <c r="J437" s="8">
        <f>'Components Data Source'!J437</f>
        <v>1</v>
      </c>
      <c r="K437" s="8">
        <f>'Components Data Source'!K437</f>
        <v>1</v>
      </c>
      <c r="L437" s="8">
        <f>'Components Data Source'!L437</f>
        <v>0</v>
      </c>
      <c r="M437" s="8" t="s">
        <v>1727</v>
      </c>
      <c r="N437" s="17" t="str">
        <f>HYPERLINK('Components Data Source'!M437)</f>
        <v>https://www.flowcode.co.uk/wiki/index.php?title=Component:_ID_ddad9cb9_122d_4f29_aaa9_233d3a967ca8</v>
      </c>
      <c r="O437" s="8" t="s">
        <v>1721</v>
      </c>
      <c r="P437" s="8"/>
      <c r="Q437" s="8" t="str">
        <f t="shared" si="14"/>
        <v/>
      </c>
      <c r="R437" s="8" t="s">
        <v>1727</v>
      </c>
      <c r="S437" s="8" t="s">
        <v>1727</v>
      </c>
      <c r="T437" s="8"/>
      <c r="U437" s="8"/>
      <c r="V437" s="8" t="s">
        <v>1730</v>
      </c>
      <c r="W437" s="8" t="s">
        <v>1730</v>
      </c>
      <c r="X437" s="8"/>
      <c r="Y437" s="8"/>
      <c r="Z437" s="18">
        <f t="shared" si="13"/>
        <v>2</v>
      </c>
      <c r="AA437" s="8"/>
      <c r="AB437" s="7"/>
      <c r="AC437" s="7"/>
      <c r="AD437" s="8" t="s">
        <v>1721</v>
      </c>
      <c r="AE437" s="8" t="s">
        <v>1721</v>
      </c>
      <c r="AF437" s="8" t="s">
        <v>1721</v>
      </c>
      <c r="AG437" s="8"/>
      <c r="AH437" s="47"/>
      <c r="AI437" s="47">
        <f>VLOOKUP(B437,'Components Usage'!A$2:C$603,3,FALSE)</f>
        <v>3</v>
      </c>
      <c r="AJ437" s="28" t="s">
        <v>2401</v>
      </c>
    </row>
    <row r="438" spans="1:36" hidden="1" x14ac:dyDescent="0.25">
      <c r="A438" s="16" t="str">
        <f>'Components Data Source'!A438</f>
        <v>Dashboard Text</v>
      </c>
      <c r="B438" s="8" t="str">
        <f>'Components Data Source'!B438</f>
        <v>7ADE85DB-6CA2-48BF-B19C-8148EBDA497B</v>
      </c>
      <c r="C438" s="8" t="str">
        <f>'Components Data Source'!C438</f>
        <v>dash_text.fcpx</v>
      </c>
      <c r="D438" s="8" t="str">
        <f>'Components Data Source'!D438</f>
        <v>Components\IO_Source\Dashboard\Dashboard Text.fcfx</v>
      </c>
      <c r="E438" s="8" t="str">
        <f>'Components Data Source'!E438</f>
        <v>MODELS</v>
      </c>
      <c r="F438" s="8" t="str">
        <f>'Components Data Source'!F438</f>
        <v>RUNTIME TOOLS</v>
      </c>
      <c r="G438" s="8" t="str">
        <f>'Components Data Source'!G438</f>
        <v>INDICATORS</v>
      </c>
      <c r="H438" s="8">
        <f>'Components Data Source'!H438</f>
        <v>0</v>
      </c>
      <c r="I438" s="8">
        <f>'Components Data Source'!I438</f>
        <v>0</v>
      </c>
      <c r="J438" s="8">
        <f>'Components Data Source'!J438</f>
        <v>1</v>
      </c>
      <c r="K438" s="8">
        <f>'Components Data Source'!K438</f>
        <v>1</v>
      </c>
      <c r="L438" s="8">
        <f>'Components Data Source'!L438</f>
        <v>1</v>
      </c>
      <c r="M438" s="8" t="s">
        <v>1727</v>
      </c>
      <c r="N438" s="17" t="str">
        <f>HYPERLINK('Components Data Source'!M438)</f>
        <v>https://www.flowcode.co.uk/wiki/index.php?title=Component:_ID_7ade85db_6ca2_48bf_b19c_8148ebda497b</v>
      </c>
      <c r="O438" s="8" t="s">
        <v>1721</v>
      </c>
      <c r="P438" s="8"/>
      <c r="Q438" s="8" t="str">
        <f t="shared" si="14"/>
        <v/>
      </c>
      <c r="R438" s="8" t="s">
        <v>1727</v>
      </c>
      <c r="S438" s="8" t="s">
        <v>1727</v>
      </c>
      <c r="T438" s="8"/>
      <c r="U438" s="8"/>
      <c r="V438" s="8" t="s">
        <v>1730</v>
      </c>
      <c r="W438" s="8" t="s">
        <v>1730</v>
      </c>
      <c r="X438" s="8"/>
      <c r="Y438" s="8"/>
      <c r="Z438" s="18">
        <f t="shared" si="13"/>
        <v>2</v>
      </c>
      <c r="AA438" s="8"/>
      <c r="AB438" s="7"/>
      <c r="AC438" s="7"/>
      <c r="AD438" s="8" t="s">
        <v>1721</v>
      </c>
      <c r="AE438" s="8" t="s">
        <v>1727</v>
      </c>
      <c r="AF438" s="8" t="s">
        <v>2401</v>
      </c>
      <c r="AG438" s="8"/>
      <c r="AH438" s="47"/>
      <c r="AI438" s="47">
        <f>VLOOKUP(B438,'Components Usage'!A$2:C$603,3,FALSE)</f>
        <v>3</v>
      </c>
      <c r="AJ438" s="28" t="s">
        <v>2401</v>
      </c>
    </row>
    <row r="439" spans="1:36" hidden="1" x14ac:dyDescent="0.25">
      <c r="A439" s="16" t="str">
        <f>'Components Data Source'!A439</f>
        <v>EEPROM</v>
      </c>
      <c r="B439" s="8" t="str">
        <f>'Components Data Source'!B439</f>
        <v>DCBF571F-A6FA-402D-BDD4-BE00CCA4070F</v>
      </c>
      <c r="C439" s="8" t="str">
        <f>'Components Data Source'!C439</f>
        <v>eeprom.fcpx</v>
      </c>
      <c r="D439" s="8" t="str">
        <f>'Components Data Source'!D439</f>
        <v>Components\IO_Source\Storage\eeprom.fcfx</v>
      </c>
      <c r="E439" s="8" t="str">
        <f>'Components Data Source'!E439</f>
        <v>STORAGE</v>
      </c>
      <c r="F439" s="8" t="str">
        <f>'Components Data Source'!F439</f>
        <v>STORAGE</v>
      </c>
      <c r="G439" s="8">
        <f>'Components Data Source'!G439</f>
        <v>0</v>
      </c>
      <c r="H439" s="8">
        <f>'Components Data Source'!H439</f>
        <v>0</v>
      </c>
      <c r="I439" s="8">
        <f>'Components Data Source'!I439</f>
        <v>0</v>
      </c>
      <c r="J439" s="8">
        <f>'Components Data Source'!J439</f>
        <v>1</v>
      </c>
      <c r="K439" s="8">
        <f>'Components Data Source'!K439</f>
        <v>1</v>
      </c>
      <c r="L439" s="8">
        <f>'Components Data Source'!L439</f>
        <v>0</v>
      </c>
      <c r="M439" s="8" t="s">
        <v>1727</v>
      </c>
      <c r="N439" s="17" t="str">
        <f>HYPERLINK('Components Data Source'!M439)</f>
        <v>https://www.flowcode.co.uk/wiki/index.php?title=Component:_ID_dcbf571f_a6fa_402d_bdd4_be00cca4070f</v>
      </c>
      <c r="O439" s="8" t="s">
        <v>1721</v>
      </c>
      <c r="P439" s="8"/>
      <c r="Q439" s="8" t="str">
        <f t="shared" si="14"/>
        <v/>
      </c>
      <c r="R439" s="8" t="s">
        <v>1721</v>
      </c>
      <c r="S439" s="8" t="s">
        <v>1721</v>
      </c>
      <c r="T439" s="8" t="s">
        <v>1727</v>
      </c>
      <c r="U439" s="8" t="s">
        <v>1721</v>
      </c>
      <c r="V439" s="8" t="s">
        <v>1731</v>
      </c>
      <c r="W439" s="8" t="s">
        <v>1731</v>
      </c>
      <c r="X439" s="8" t="s">
        <v>1721</v>
      </c>
      <c r="Y439" s="8" t="s">
        <v>1721</v>
      </c>
      <c r="Z439" s="18">
        <f t="shared" si="13"/>
        <v>1</v>
      </c>
      <c r="AA439" s="8"/>
      <c r="AB439" s="7"/>
      <c r="AC439" s="7"/>
      <c r="AD439" s="8" t="s">
        <v>1721</v>
      </c>
      <c r="AE439" s="8" t="s">
        <v>1721</v>
      </c>
      <c r="AF439" s="8" t="s">
        <v>2401</v>
      </c>
      <c r="AG439" s="8" t="s">
        <v>1721</v>
      </c>
      <c r="AH439" s="47"/>
      <c r="AI439" s="47">
        <f>VLOOKUP(B439,'Components Usage'!A$2:C$603,3,FALSE)</f>
        <v>171</v>
      </c>
      <c r="AJ439" s="28" t="s">
        <v>2401</v>
      </c>
    </row>
    <row r="440" spans="1:36" x14ac:dyDescent="0.2">
      <c r="A440" s="16" t="str">
        <f>'Components Data Source'!A440</f>
        <v>FCD helper</v>
      </c>
      <c r="B440" s="8" t="str">
        <f>'Components Data Source'!B440</f>
        <v>FC3C670C-502A-418F-A123-649179752383</v>
      </c>
      <c r="C440" s="8" t="str">
        <f>'Components Data Source'!C440</f>
        <v>fcdhelper.fcpx</v>
      </c>
      <c r="D440" s="8" t="str">
        <f>'Components Data Source'!D440</f>
        <v>Components\Ctrl_Source\fcdhelper.fcfx</v>
      </c>
      <c r="E440" s="8" t="str">
        <f>'Components Data Source'!E440</f>
        <v>FREE</v>
      </c>
      <c r="F440" s="8" t="str">
        <f>'Components Data Source'!F440</f>
        <v>MATRIX TOOLS</v>
      </c>
      <c r="G440" s="8">
        <f>'Components Data Source'!G440</f>
        <v>0</v>
      </c>
      <c r="H440" s="8">
        <f>'Components Data Source'!H440</f>
        <v>0</v>
      </c>
      <c r="I440" s="8">
        <f>'Components Data Source'!I440</f>
        <v>0</v>
      </c>
      <c r="J440" s="8">
        <f>'Components Data Source'!J440</f>
        <v>1</v>
      </c>
      <c r="K440" s="8">
        <f>'Components Data Source'!K440</f>
        <v>1</v>
      </c>
      <c r="L440" s="8">
        <f>'Components Data Source'!L440</f>
        <v>1</v>
      </c>
      <c r="M440" s="8" t="s">
        <v>1727</v>
      </c>
      <c r="N440" s="17" t="str">
        <f>HYPERLINK('Components Data Source'!M440)</f>
        <v>https://www.flowcode.co.uk/wiki/index.php?title=Component:_ID_fc3c670c_502a_418f_a123_649179752383</v>
      </c>
      <c r="O440" s="8" t="s">
        <v>1721</v>
      </c>
      <c r="P440" s="45" t="s">
        <v>3559</v>
      </c>
      <c r="Q440" s="8" t="str">
        <f t="shared" si="14"/>
        <v/>
      </c>
      <c r="R440" s="8" t="s">
        <v>1721</v>
      </c>
      <c r="S440" s="8" t="s">
        <v>1721</v>
      </c>
      <c r="T440" s="8" t="s">
        <v>1727</v>
      </c>
      <c r="U440" s="8" t="s">
        <v>1727</v>
      </c>
      <c r="V440" s="8" t="s">
        <v>1731</v>
      </c>
      <c r="W440" s="8" t="s">
        <v>1731</v>
      </c>
      <c r="X440" s="8" t="s">
        <v>1721</v>
      </c>
      <c r="Y440" s="8" t="s">
        <v>1721</v>
      </c>
      <c r="Z440" s="18">
        <f t="shared" si="13"/>
        <v>1</v>
      </c>
      <c r="AA440" s="8"/>
      <c r="AB440" s="7"/>
      <c r="AC440" s="7"/>
      <c r="AD440" s="8" t="s">
        <v>1721</v>
      </c>
      <c r="AE440" s="8" t="s">
        <v>1727</v>
      </c>
      <c r="AF440" s="8" t="s">
        <v>2401</v>
      </c>
      <c r="AG440" s="8"/>
      <c r="AH440" s="47"/>
      <c r="AI440" s="47">
        <f>VLOOKUP(B440,'Components Usage'!A$2:C$603,3,FALSE)</f>
        <v>5</v>
      </c>
      <c r="AJ440" s="28" t="s">
        <v>2401</v>
      </c>
    </row>
    <row r="441" spans="1:36" hidden="1" x14ac:dyDescent="0.25">
      <c r="A441" s="16" t="str">
        <f>'Components Data Source'!A441</f>
        <v>GLCD (4D Goldelox)</v>
      </c>
      <c r="B441" s="8" t="str">
        <f>'Components Data Source'!B441</f>
        <v>07698CDE-7F30-419B-825C-35450877AD26</v>
      </c>
      <c r="C441" s="8" t="str">
        <f>'Components Data Source'!C441</f>
        <v>gLCD_4D_Goldelox.fcpx</v>
      </c>
      <c r="D441" s="8" t="str">
        <f>'Components Data Source'!D441</f>
        <v>Components\IO_Source\displays\glcd_4D_Goldelox.fcfx</v>
      </c>
      <c r="E441" s="8" t="str">
        <f>'Components Data Source'!E441</f>
        <v>DISPLAYS</v>
      </c>
      <c r="F441" s="8" t="str">
        <f>'Components Data Source'!F441</f>
        <v>GRAPHICAL COLOR</v>
      </c>
      <c r="G441" s="8">
        <f>'Components Data Source'!G441</f>
        <v>0</v>
      </c>
      <c r="H441" s="8">
        <f>'Components Data Source'!H441</f>
        <v>0</v>
      </c>
      <c r="I441" s="8" t="str">
        <f>'Components Data Source'!I441</f>
        <v xml:space="preserve">UART </v>
      </c>
      <c r="J441" s="8">
        <f>'Components Data Source'!J441</f>
        <v>1</v>
      </c>
      <c r="K441" s="8">
        <f>'Components Data Source'!K441</f>
        <v>1</v>
      </c>
      <c r="L441" s="8">
        <f>'Components Data Source'!L441</f>
        <v>0</v>
      </c>
      <c r="M441" s="8" t="s">
        <v>1727</v>
      </c>
      <c r="N441" s="17" t="str">
        <f>HYPERLINK('Components Data Source'!M441)</f>
        <v>https://www.flowcode.co.uk/wiki/index.php?title=Component:_ID_07698cde_7f30_419b_825c_35450877ad26</v>
      </c>
      <c r="O441" s="8" t="s">
        <v>1721</v>
      </c>
      <c r="P441" s="8"/>
      <c r="Q441" s="8" t="str">
        <f t="shared" si="14"/>
        <v/>
      </c>
      <c r="R441" s="8" t="s">
        <v>1727</v>
      </c>
      <c r="S441" s="8" t="s">
        <v>1727</v>
      </c>
      <c r="T441" s="8"/>
      <c r="U441" s="8"/>
      <c r="V441" s="8" t="s">
        <v>1730</v>
      </c>
      <c r="W441" s="8" t="s">
        <v>1730</v>
      </c>
      <c r="X441" s="8"/>
      <c r="Y441" s="8"/>
      <c r="Z441" s="18">
        <f t="shared" si="13"/>
        <v>2</v>
      </c>
      <c r="AA441" s="8"/>
      <c r="AB441" s="7"/>
      <c r="AC441" s="7"/>
      <c r="AD441" s="8" t="s">
        <v>1721</v>
      </c>
      <c r="AE441" s="8" t="s">
        <v>1727</v>
      </c>
      <c r="AF441" s="8" t="s">
        <v>1727</v>
      </c>
      <c r="AG441" s="8"/>
      <c r="AH441" s="47"/>
      <c r="AI441" s="47">
        <f>VLOOKUP(B441,'Components Usage'!A$2:C$603,3,FALSE)</f>
        <v>1</v>
      </c>
      <c r="AJ441" s="28" t="s">
        <v>2401</v>
      </c>
    </row>
    <row r="442" spans="1:36" hidden="1" x14ac:dyDescent="0.25">
      <c r="A442" s="16" t="str">
        <f>'Components Data Source'!A442</f>
        <v>GLCD (4D Picaso v1)</v>
      </c>
      <c r="B442" s="8" t="str">
        <f>'Components Data Source'!B442</f>
        <v>44F742F7-3039-4EDB-8E96-717377B85E69</v>
      </c>
      <c r="C442" s="8" t="str">
        <f>'Components Data Source'!C442</f>
        <v>gLCD_4D_v1_Picaso.fcpx</v>
      </c>
      <c r="D442" s="8" t="str">
        <f>'Components Data Source'!D442</f>
        <v>Components\IO_Source\displays\glcd_4D_Picaso1.fcfx</v>
      </c>
      <c r="E442" s="8" t="str">
        <f>'Components Data Source'!E442</f>
        <v>DISPLAYS</v>
      </c>
      <c r="F442" s="8" t="str">
        <f>'Components Data Source'!F442</f>
        <v>GRAPHICAL COLOR</v>
      </c>
      <c r="G442" s="8">
        <f>'Components Data Source'!G442</f>
        <v>0</v>
      </c>
      <c r="H442" s="8">
        <f>'Components Data Source'!H442</f>
        <v>0</v>
      </c>
      <c r="I442" s="8" t="str">
        <f>'Components Data Source'!I442</f>
        <v xml:space="preserve">UART </v>
      </c>
      <c r="J442" s="8">
        <f>'Components Data Source'!J442</f>
        <v>1</v>
      </c>
      <c r="K442" s="8">
        <f>'Components Data Source'!K442</f>
        <v>1</v>
      </c>
      <c r="L442" s="8">
        <f>'Components Data Source'!L442</f>
        <v>0</v>
      </c>
      <c r="M442" s="8" t="s">
        <v>1727</v>
      </c>
      <c r="N442" s="17" t="str">
        <f>HYPERLINK('Components Data Source'!M442)</f>
        <v>https://www.flowcode.co.uk/wiki/index.php?title=Component:_ID_44f742f7_3039_4edb_8e96_717377b85e69</v>
      </c>
      <c r="O442" s="8" t="s">
        <v>1721</v>
      </c>
      <c r="P442" s="8"/>
      <c r="Q442" s="8" t="str">
        <f t="shared" si="14"/>
        <v/>
      </c>
      <c r="R442" s="8" t="s">
        <v>1727</v>
      </c>
      <c r="S442" s="8" t="s">
        <v>1727</v>
      </c>
      <c r="T442" s="8"/>
      <c r="U442" s="8"/>
      <c r="V442" s="8" t="s">
        <v>1730</v>
      </c>
      <c r="W442" s="8" t="s">
        <v>1730</v>
      </c>
      <c r="X442" s="8"/>
      <c r="Y442" s="8"/>
      <c r="Z442" s="18">
        <f t="shared" si="13"/>
        <v>2</v>
      </c>
      <c r="AA442" s="8"/>
      <c r="AB442" s="7"/>
      <c r="AC442" s="7"/>
      <c r="AD442" s="8" t="s">
        <v>1721</v>
      </c>
      <c r="AE442" s="8" t="s">
        <v>1721</v>
      </c>
      <c r="AF442" s="8" t="s">
        <v>1727</v>
      </c>
      <c r="AG442" s="8"/>
      <c r="AH442" s="47"/>
      <c r="AI442" s="47">
        <f>VLOOKUP(B442,'Components Usage'!A$2:C$603,3,FALSE)</f>
        <v>1</v>
      </c>
      <c r="AJ442" s="28" t="s">
        <v>2401</v>
      </c>
    </row>
    <row r="443" spans="1:36" hidden="1" x14ac:dyDescent="0.25">
      <c r="A443" s="16" t="str">
        <f>'Components Data Source'!A443</f>
        <v>GLCD (4D Picaso v2)</v>
      </c>
      <c r="B443" s="8" t="str">
        <f>'Components Data Source'!B443</f>
        <v>B710C9A3-B93A-407D-81B2-190B5F6AFDF1</v>
      </c>
      <c r="C443" s="8" t="str">
        <f>'Components Data Source'!C443</f>
        <v>gLCD_4D_v2_Picaso.fcpx</v>
      </c>
      <c r="D443" s="8" t="str">
        <f>'Components Data Source'!D443</f>
        <v>Components\IO_Source\displays\glcd_4D_Picaso2.fcfx</v>
      </c>
      <c r="E443" s="8" t="str">
        <f>'Components Data Source'!E443</f>
        <v>DISPLAYS</v>
      </c>
      <c r="F443" s="8" t="str">
        <f>'Components Data Source'!F443</f>
        <v>GRAPHICAL COLOR</v>
      </c>
      <c r="G443" s="8">
        <f>'Components Data Source'!G443</f>
        <v>0</v>
      </c>
      <c r="H443" s="8">
        <f>'Components Data Source'!H443</f>
        <v>0</v>
      </c>
      <c r="I443" s="8" t="str">
        <f>'Components Data Source'!I443</f>
        <v xml:space="preserve">UART </v>
      </c>
      <c r="J443" s="8">
        <f>'Components Data Source'!J443</f>
        <v>1</v>
      </c>
      <c r="K443" s="8">
        <f>'Components Data Source'!K443</f>
        <v>1</v>
      </c>
      <c r="L443" s="8">
        <f>'Components Data Source'!L443</f>
        <v>0</v>
      </c>
      <c r="M443" s="8" t="s">
        <v>1727</v>
      </c>
      <c r="N443" s="17" t="str">
        <f>HYPERLINK('Components Data Source'!M443)</f>
        <v>https://www.flowcode.co.uk/wiki/index.php?title=Component:_ID_b710c9a3_b93a_407d_81b2_190b5f6afdf1</v>
      </c>
      <c r="O443" s="8" t="s">
        <v>1721</v>
      </c>
      <c r="P443" s="8"/>
      <c r="Q443" s="8" t="str">
        <f t="shared" si="14"/>
        <v/>
      </c>
      <c r="R443" s="8" t="s">
        <v>1727</v>
      </c>
      <c r="S443" s="8" t="s">
        <v>1727</v>
      </c>
      <c r="T443" s="8"/>
      <c r="U443" s="8"/>
      <c r="V443" s="8" t="s">
        <v>1730</v>
      </c>
      <c r="W443" s="8" t="s">
        <v>1730</v>
      </c>
      <c r="X443" s="8"/>
      <c r="Y443" s="8"/>
      <c r="Z443" s="18">
        <f t="shared" si="13"/>
        <v>2</v>
      </c>
      <c r="AA443" s="8"/>
      <c r="AB443" s="7"/>
      <c r="AC443" s="7"/>
      <c r="AD443" s="8" t="s">
        <v>1721</v>
      </c>
      <c r="AE443" s="8" t="s">
        <v>1721</v>
      </c>
      <c r="AF443" s="8" t="s">
        <v>1727</v>
      </c>
      <c r="AG443" s="8"/>
      <c r="AH443" s="47"/>
      <c r="AI443" s="47">
        <f>VLOOKUP(B443,'Components Usage'!A$2:C$603,3,FALSE)</f>
        <v>2</v>
      </c>
      <c r="AJ443" s="28" t="s">
        <v>2401</v>
      </c>
    </row>
    <row r="444" spans="1:36" hidden="1" x14ac:dyDescent="0.25">
      <c r="A444" s="16" t="str">
        <f>'Components Data Source'!A444</f>
        <v>GLCD Monochrome(BL0139)</v>
      </c>
      <c r="B444" s="8" t="str">
        <f>'Components Data Source'!B444</f>
        <v>4D50E925-93E7-43FF-9C9F-8E958B9D714C</v>
      </c>
      <c r="C444" s="8" t="str">
        <f>'Components Data Source'!C444</f>
        <v>gLCD_BL0139.fcpx</v>
      </c>
      <c r="D444" s="8" t="str">
        <f>'Components Data Source'!D444</f>
        <v>Components\IO_Source\EB2\EBlocks2_Mono_GLCD_BL0139.fcfx</v>
      </c>
      <c r="E444" s="8" t="str">
        <f>'Components Data Source'!E444</f>
        <v>DISPLAYS</v>
      </c>
      <c r="F444" s="8" t="str">
        <f>'Components Data Source'!F444</f>
        <v>E-BLOCKS 2</v>
      </c>
      <c r="G444" s="8">
        <f>'Components Data Source'!G444</f>
        <v>0</v>
      </c>
      <c r="H444" s="8">
        <f>'Components Data Source'!H444</f>
        <v>0</v>
      </c>
      <c r="I444" s="8">
        <f>'Components Data Source'!I444</f>
        <v>0</v>
      </c>
      <c r="J444" s="8">
        <f>'Components Data Source'!J444</f>
        <v>1</v>
      </c>
      <c r="K444" s="8">
        <f>'Components Data Source'!K444</f>
        <v>1</v>
      </c>
      <c r="L444" s="8">
        <f>'Components Data Source'!L444</f>
        <v>0</v>
      </c>
      <c r="M444" s="8" t="s">
        <v>1727</v>
      </c>
      <c r="N444" s="17" t="str">
        <f>HYPERLINK('Components Data Source'!M444)</f>
        <v>https://www.flowcode.co.uk/wiki/index.php?title=Component:_ID_4d50e925_93e7_43ff_9c9f_8e958b9d714c</v>
      </c>
      <c r="O444" s="8" t="s">
        <v>1721</v>
      </c>
      <c r="P444" s="8"/>
      <c r="Q444" s="8" t="str">
        <f t="shared" si="14"/>
        <v/>
      </c>
      <c r="R444" s="8" t="s">
        <v>1727</v>
      </c>
      <c r="S444" s="8" t="s">
        <v>1727</v>
      </c>
      <c r="T444" s="8"/>
      <c r="U444" s="8"/>
      <c r="V444" s="8" t="s">
        <v>1730</v>
      </c>
      <c r="W444" s="8" t="s">
        <v>1730</v>
      </c>
      <c r="X444" s="8"/>
      <c r="Y444" s="8"/>
      <c r="Z444" s="18">
        <f t="shared" si="13"/>
        <v>2</v>
      </c>
      <c r="AA444" s="8"/>
      <c r="AB444" s="7"/>
      <c r="AC444" s="7"/>
      <c r="AD444" s="8" t="s">
        <v>1721</v>
      </c>
      <c r="AE444" s="8" t="s">
        <v>1727</v>
      </c>
      <c r="AF444" s="8" t="s">
        <v>2401</v>
      </c>
      <c r="AG444" s="8"/>
      <c r="AH444" s="47"/>
      <c r="AI444" s="47">
        <f>VLOOKUP(B444,'Components Usage'!A$2:C$603,3,FALSE)</f>
        <v>3</v>
      </c>
      <c r="AJ444" s="28" t="s">
        <v>2401</v>
      </c>
    </row>
    <row r="445" spans="1:36" x14ac:dyDescent="0.25">
      <c r="A445" s="16" t="str">
        <f>'Components Data Source'!A445</f>
        <v>Colour GLCD (BL0157)</v>
      </c>
      <c r="B445" s="8" t="str">
        <f>'Components Data Source'!B445</f>
        <v>25DB03EF-5393-4FB8-9B34-87A506428296</v>
      </c>
      <c r="C445" s="8" t="str">
        <f>'Components Data Source'!C445</f>
        <v>gLCD_BL0157.fcpx</v>
      </c>
      <c r="D445" s="8" t="str">
        <f>'Components Data Source'!D445</f>
        <v>Components\IO_Source\EB2\EBlocks2_Colour_GLCD_BL0157.fcfx</v>
      </c>
      <c r="E445" s="8" t="str">
        <f>'Components Data Source'!E445</f>
        <v>FREE</v>
      </c>
      <c r="F445" s="8" t="str">
        <f>'Components Data Source'!F445</f>
        <v>E-BLOCKS 2</v>
      </c>
      <c r="G445" s="8">
        <f>'Components Data Source'!G445</f>
        <v>0</v>
      </c>
      <c r="H445" s="8">
        <f>'Components Data Source'!H445</f>
        <v>0</v>
      </c>
      <c r="I445" s="8">
        <f>'Components Data Source'!I445</f>
        <v>0</v>
      </c>
      <c r="J445" s="8">
        <f>'Components Data Source'!J445</f>
        <v>1</v>
      </c>
      <c r="K445" s="8">
        <f>'Components Data Source'!K445</f>
        <v>1</v>
      </c>
      <c r="L445" s="8">
        <f>'Components Data Source'!L445</f>
        <v>0</v>
      </c>
      <c r="M445" s="8" t="s">
        <v>1727</v>
      </c>
      <c r="N445" s="17" t="str">
        <f>HYPERLINK('Components Data Source'!M445)</f>
        <v>https://www.flowcode.co.uk/wiki/index.php?title=Component:_ID_25db03ef_5393_4fb8_9b34_87a506428296</v>
      </c>
      <c r="O445" s="8" t="s">
        <v>2589</v>
      </c>
      <c r="P445" s="8" t="s">
        <v>2774</v>
      </c>
      <c r="Q445" s="8" t="str">
        <f t="shared" si="14"/>
        <v/>
      </c>
      <c r="R445" s="8" t="s">
        <v>1727</v>
      </c>
      <c r="S445" s="8" t="s">
        <v>1727</v>
      </c>
      <c r="T445" s="8"/>
      <c r="U445" s="8"/>
      <c r="V445" s="8" t="s">
        <v>1730</v>
      </c>
      <c r="W445" s="8" t="s">
        <v>1730</v>
      </c>
      <c r="X445" s="8"/>
      <c r="Y445" s="8"/>
      <c r="Z445" s="18">
        <f t="shared" si="13"/>
        <v>2</v>
      </c>
      <c r="AA445" s="8"/>
      <c r="AB445" s="7"/>
      <c r="AC445" s="7"/>
      <c r="AD445" s="8" t="s">
        <v>1721</v>
      </c>
      <c r="AE445" s="8" t="s">
        <v>1727</v>
      </c>
      <c r="AF445" s="8" t="s">
        <v>2401</v>
      </c>
      <c r="AG445" s="8" t="s">
        <v>1721</v>
      </c>
      <c r="AH445" s="47"/>
      <c r="AI445" s="47">
        <f>VLOOKUP(B445,'Components Usage'!A$2:C$603,3,FALSE)</f>
        <v>11</v>
      </c>
      <c r="AJ445" s="28" t="s">
        <v>1721</v>
      </c>
    </row>
    <row r="446" spans="1:36" hidden="1" x14ac:dyDescent="0.25">
      <c r="A446" s="16" t="str">
        <f>'Components Data Source'!A446</f>
        <v>GLCD (EB043 v1)</v>
      </c>
      <c r="B446" s="8" t="str">
        <f>'Components Data Source'!B446</f>
        <v>15D02383-645D-4BBE-8732-A67162CDB90C</v>
      </c>
      <c r="C446" s="8" t="str">
        <f>'Components Data Source'!C446</f>
        <v>gLCD_EB043_00_1.fcpx</v>
      </c>
      <c r="D446" s="8" t="str">
        <f>'Components Data Source'!D446</f>
        <v>Components\IO_Source\displays\glcd_EB043-00-1.fcfx</v>
      </c>
      <c r="E446" s="8" t="str">
        <f>'Components Data Source'!E446</f>
        <v>DISPLAYS</v>
      </c>
      <c r="F446" s="8" t="str">
        <f>'Components Data Source'!F446</f>
        <v>E-BLOCKS 1</v>
      </c>
      <c r="G446" s="8">
        <f>'Components Data Source'!G446</f>
        <v>0</v>
      </c>
      <c r="H446" s="8">
        <f>'Components Data Source'!H446</f>
        <v>0</v>
      </c>
      <c r="I446" s="8">
        <f>'Components Data Source'!I446</f>
        <v>0</v>
      </c>
      <c r="J446" s="8">
        <f>'Components Data Source'!J446</f>
        <v>1</v>
      </c>
      <c r="K446" s="8">
        <f>'Components Data Source'!K446</f>
        <v>1</v>
      </c>
      <c r="L446" s="8">
        <f>'Components Data Source'!L446</f>
        <v>0</v>
      </c>
      <c r="M446" s="8" t="s">
        <v>1727</v>
      </c>
      <c r="N446" s="17" t="str">
        <f>HYPERLINK('Components Data Source'!M446)</f>
        <v>https://www.flowcode.co.uk/wiki/index.php?title=Component:_ID_15d02383_645d_4bbe_8732_a67162cdb90c</v>
      </c>
      <c r="O446" s="8" t="s">
        <v>1721</v>
      </c>
      <c r="P446" s="8" t="s">
        <v>2774</v>
      </c>
      <c r="Q446" s="8" t="str">
        <f t="shared" si="14"/>
        <v/>
      </c>
      <c r="R446" s="8" t="s">
        <v>1727</v>
      </c>
      <c r="S446" s="8" t="s">
        <v>1727</v>
      </c>
      <c r="T446" s="8"/>
      <c r="U446" s="8"/>
      <c r="V446" s="8" t="s">
        <v>1730</v>
      </c>
      <c r="W446" s="8" t="s">
        <v>1730</v>
      </c>
      <c r="X446" s="8"/>
      <c r="Y446" s="8"/>
      <c r="Z446" s="18">
        <f t="shared" si="13"/>
        <v>2</v>
      </c>
      <c r="AA446" s="8"/>
      <c r="AB446" s="7"/>
      <c r="AC446" s="7"/>
      <c r="AD446" s="8" t="s">
        <v>1721</v>
      </c>
      <c r="AE446" s="8" t="s">
        <v>1721</v>
      </c>
      <c r="AF446" s="8" t="s">
        <v>2401</v>
      </c>
      <c r="AG446" s="8"/>
      <c r="AH446" s="47"/>
      <c r="AI446" s="47">
        <f>VLOOKUP(B446,'Components Usage'!A$2:C$603,3,FALSE)</f>
        <v>2</v>
      </c>
      <c r="AJ446" s="28" t="s">
        <v>2401</v>
      </c>
    </row>
    <row r="447" spans="1:36" hidden="1" x14ac:dyDescent="0.25">
      <c r="A447" s="16" t="str">
        <f>'Components Data Source'!A447</f>
        <v>GLCD (EB043 v2)</v>
      </c>
      <c r="B447" s="8" t="str">
        <f>'Components Data Source'!B447</f>
        <v>C3E842D5-CF5D-4E4E-A406-95067BA26693</v>
      </c>
      <c r="C447" s="8" t="str">
        <f>'Components Data Source'!C447</f>
        <v>gLCD_EB043_00_2.fcpx</v>
      </c>
      <c r="D447" s="8" t="str">
        <f>'Components Data Source'!D447</f>
        <v>Components\IO_Source\displays\glcd_EB043-00-2.fcfx</v>
      </c>
      <c r="E447" s="8" t="str">
        <f>'Components Data Source'!E447</f>
        <v>DISPLAYS</v>
      </c>
      <c r="F447" s="8" t="str">
        <f>'Components Data Source'!F447</f>
        <v>E-BLOCKS 1</v>
      </c>
      <c r="G447" s="8">
        <f>'Components Data Source'!G447</f>
        <v>0</v>
      </c>
      <c r="H447" s="8">
        <f>'Components Data Source'!H447</f>
        <v>0</v>
      </c>
      <c r="I447" s="8">
        <f>'Components Data Source'!I447</f>
        <v>0</v>
      </c>
      <c r="J447" s="8">
        <f>'Components Data Source'!J447</f>
        <v>1</v>
      </c>
      <c r="K447" s="8">
        <f>'Components Data Source'!K447</f>
        <v>1</v>
      </c>
      <c r="L447" s="8">
        <f>'Components Data Source'!L447</f>
        <v>0</v>
      </c>
      <c r="M447" s="8" t="s">
        <v>1727</v>
      </c>
      <c r="N447" s="17" t="str">
        <f>HYPERLINK('Components Data Source'!M447)</f>
        <v>https://www.flowcode.co.uk/wiki/index.php?title=Component:_ID_c3e842d5_cf5d_4e4e_a406_95067ba26693</v>
      </c>
      <c r="O447" s="8" t="s">
        <v>1721</v>
      </c>
      <c r="P447" s="8" t="s">
        <v>2774</v>
      </c>
      <c r="Q447" s="8" t="str">
        <f t="shared" si="14"/>
        <v/>
      </c>
      <c r="R447" s="8" t="s">
        <v>1727</v>
      </c>
      <c r="S447" s="8" t="s">
        <v>1727</v>
      </c>
      <c r="T447" s="8"/>
      <c r="U447" s="8"/>
      <c r="V447" s="8" t="s">
        <v>1730</v>
      </c>
      <c r="W447" s="8" t="s">
        <v>1730</v>
      </c>
      <c r="X447" s="8"/>
      <c r="Y447" s="8"/>
      <c r="Z447" s="18">
        <f t="shared" si="13"/>
        <v>2</v>
      </c>
      <c r="AA447" s="8"/>
      <c r="AB447" s="7"/>
      <c r="AC447" s="7"/>
      <c r="AD447" s="8" t="s">
        <v>1721</v>
      </c>
      <c r="AE447" s="8" t="s">
        <v>1721</v>
      </c>
      <c r="AF447" s="8" t="s">
        <v>2401</v>
      </c>
      <c r="AG447" s="8"/>
      <c r="AH447" s="47"/>
      <c r="AI447" s="47">
        <f>VLOOKUP(B447,'Components Usage'!A$2:C$603,3,FALSE)</f>
        <v>7</v>
      </c>
      <c r="AJ447" s="28" t="s">
        <v>2401</v>
      </c>
    </row>
    <row r="448" spans="1:36" hidden="1" x14ac:dyDescent="0.25">
      <c r="A448" s="16" t="str">
        <f>'Components Data Source'!A448</f>
        <v>GLCD(EB057 / EB058)</v>
      </c>
      <c r="B448" s="8" t="str">
        <f>'Components Data Source'!B448</f>
        <v>C4BADACF-868A-4744-AD5A-A74FEA126D6B</v>
      </c>
      <c r="C448" s="8" t="str">
        <f>'Components Data Source'!C448</f>
        <v>gLCD_EB057.fcpx</v>
      </c>
      <c r="D448" s="8" t="str">
        <f>'Components Data Source'!D448</f>
        <v>Components\IO_Source\displays\glcd_EB057.fcfx</v>
      </c>
      <c r="E448" s="8" t="str">
        <f>'Components Data Source'!E448</f>
        <v>DISPLAYS</v>
      </c>
      <c r="F448" s="8" t="str">
        <f>'Components Data Source'!F448</f>
        <v>E-BLOCKS 1</v>
      </c>
      <c r="G448" s="8">
        <f>'Components Data Source'!G448</f>
        <v>0</v>
      </c>
      <c r="H448" s="8">
        <f>'Components Data Source'!H448</f>
        <v>0</v>
      </c>
      <c r="I448" s="8" t="str">
        <f>'Components Data Source'!I448</f>
        <v xml:space="preserve">SPI </v>
      </c>
      <c r="J448" s="8">
        <f>'Components Data Source'!J448</f>
        <v>1</v>
      </c>
      <c r="K448" s="8">
        <f>'Components Data Source'!K448</f>
        <v>1</v>
      </c>
      <c r="L448" s="8">
        <f>'Components Data Source'!L448</f>
        <v>0</v>
      </c>
      <c r="M448" s="8" t="s">
        <v>1727</v>
      </c>
      <c r="N448" s="17" t="str">
        <f>HYPERLINK('Components Data Source'!M448)</f>
        <v>https://www.flowcode.co.uk/wiki/index.php?title=Component:_ID_c4badacf_868a_4744_ad5a_a74fea126d6b</v>
      </c>
      <c r="O448" s="8" t="s">
        <v>2589</v>
      </c>
      <c r="P448" s="8"/>
      <c r="Q448" s="8" t="str">
        <f t="shared" si="14"/>
        <v/>
      </c>
      <c r="R448" s="8" t="s">
        <v>1727</v>
      </c>
      <c r="S448" s="8" t="s">
        <v>1727</v>
      </c>
      <c r="T448" s="8"/>
      <c r="U448" s="8"/>
      <c r="V448" s="8" t="s">
        <v>1730</v>
      </c>
      <c r="W448" s="8" t="s">
        <v>1730</v>
      </c>
      <c r="X448" s="8"/>
      <c r="Y448" s="8"/>
      <c r="Z448" s="18">
        <f t="shared" si="13"/>
        <v>2</v>
      </c>
      <c r="AA448" s="8"/>
      <c r="AB448" s="7"/>
      <c r="AC448" s="7"/>
      <c r="AD448" s="8" t="s">
        <v>1721</v>
      </c>
      <c r="AE448" s="8" t="s">
        <v>1727</v>
      </c>
      <c r="AF448" s="8" t="s">
        <v>2401</v>
      </c>
      <c r="AG448" s="8"/>
      <c r="AH448" s="47"/>
      <c r="AI448" s="47">
        <f>VLOOKUP(B448,'Components Usage'!A$2:C$603,3,FALSE)</f>
        <v>0</v>
      </c>
      <c r="AJ448" s="28" t="s">
        <v>2401</v>
      </c>
    </row>
    <row r="449" spans="1:36" hidden="1" x14ac:dyDescent="0.25">
      <c r="A449" s="16" t="str">
        <f>'Components Data Source'!A449</f>
        <v>GLCD (EB075)</v>
      </c>
      <c r="B449" s="8" t="str">
        <f>'Components Data Source'!B449</f>
        <v>C7BA30AD-1D81-496E-B2CA-E4EFB109521B</v>
      </c>
      <c r="C449" s="8" t="str">
        <f>'Components Data Source'!C449</f>
        <v>gLCD_EB075_4D.fcpx</v>
      </c>
      <c r="D449" s="8" t="str">
        <f>'Components Data Source'!D449</f>
        <v>Components\IO_Source\displays\glcd_4D_EB075.fcfx</v>
      </c>
      <c r="E449" s="8" t="str">
        <f>'Components Data Source'!E449</f>
        <v>DISPLAYS</v>
      </c>
      <c r="F449" s="8" t="str">
        <f>'Components Data Source'!F449</f>
        <v>E-BLOCKS 1</v>
      </c>
      <c r="G449" s="8">
        <f>'Components Data Source'!G449</f>
        <v>0</v>
      </c>
      <c r="H449" s="8">
        <f>'Components Data Source'!H449</f>
        <v>0</v>
      </c>
      <c r="I449" s="8" t="str">
        <f>'Components Data Source'!I449</f>
        <v xml:space="preserve">UART </v>
      </c>
      <c r="J449" s="8">
        <f>'Components Data Source'!J449</f>
        <v>1</v>
      </c>
      <c r="K449" s="8">
        <f>'Components Data Source'!K449</f>
        <v>1</v>
      </c>
      <c r="L449" s="8">
        <f>'Components Data Source'!L449</f>
        <v>0</v>
      </c>
      <c r="M449" s="8" t="s">
        <v>1727</v>
      </c>
      <c r="N449" s="17" t="str">
        <f>HYPERLINK('Components Data Source'!M449)</f>
        <v>https://www.flowcode.co.uk/wiki/index.php?title=Component:_ID_c7ba30ad_1d81_496e_b2ca_e4efb109521b</v>
      </c>
      <c r="O449" s="8" t="s">
        <v>1721</v>
      </c>
      <c r="P449" s="8" t="s">
        <v>2774</v>
      </c>
      <c r="Q449" s="8" t="str">
        <f t="shared" si="14"/>
        <v/>
      </c>
      <c r="R449" s="8" t="s">
        <v>1727</v>
      </c>
      <c r="S449" s="8" t="s">
        <v>1727</v>
      </c>
      <c r="T449" s="8"/>
      <c r="U449" s="8"/>
      <c r="V449" s="8" t="s">
        <v>1730</v>
      </c>
      <c r="W449" s="8" t="s">
        <v>1730</v>
      </c>
      <c r="X449" s="8"/>
      <c r="Y449" s="8"/>
      <c r="Z449" s="18">
        <f t="shared" si="13"/>
        <v>2</v>
      </c>
      <c r="AA449" s="8"/>
      <c r="AB449" s="7"/>
      <c r="AC449" s="7"/>
      <c r="AD449" s="8" t="s">
        <v>1721</v>
      </c>
      <c r="AE449" s="8" t="s">
        <v>1721</v>
      </c>
      <c r="AF449" s="8" t="s">
        <v>2401</v>
      </c>
      <c r="AG449" s="8"/>
      <c r="AH449" s="47"/>
      <c r="AI449" s="47">
        <f>VLOOKUP(B449,'Components Usage'!A$2:C$603,3,FALSE)</f>
        <v>0</v>
      </c>
      <c r="AJ449" s="28" t="s">
        <v>2401</v>
      </c>
    </row>
    <row r="450" spans="1:36" hidden="1" x14ac:dyDescent="0.25">
      <c r="A450" s="16" t="str">
        <f>'Components Data Source'!A450</f>
        <v>GLCD (EB076)</v>
      </c>
      <c r="B450" s="8" t="str">
        <f>'Components Data Source'!B450</f>
        <v>C6586B24-9A1C-4E19-8051-8AE5923C418A</v>
      </c>
      <c r="C450" s="8" t="str">
        <f>'Components Data Source'!C450</f>
        <v>gLCD_EB076_4D.fcpx</v>
      </c>
      <c r="D450" s="8" t="str">
        <f>'Components Data Source'!D450</f>
        <v>Components\IO_Source\displays\glcd_4D_EB076.fcfx</v>
      </c>
      <c r="E450" s="8" t="str">
        <f>'Components Data Source'!E450</f>
        <v>DISPLAYS</v>
      </c>
      <c r="F450" s="8" t="str">
        <f>'Components Data Source'!F450</f>
        <v>E-BLOCKS 1</v>
      </c>
      <c r="G450" s="8">
        <f>'Components Data Source'!G450</f>
        <v>0</v>
      </c>
      <c r="H450" s="8">
        <f>'Components Data Source'!H450</f>
        <v>0</v>
      </c>
      <c r="I450" s="8" t="str">
        <f>'Components Data Source'!I450</f>
        <v xml:space="preserve">UART </v>
      </c>
      <c r="J450" s="8">
        <f>'Components Data Source'!J450</f>
        <v>1</v>
      </c>
      <c r="K450" s="8">
        <f>'Components Data Source'!K450</f>
        <v>1</v>
      </c>
      <c r="L450" s="8">
        <f>'Components Data Source'!L450</f>
        <v>0</v>
      </c>
      <c r="M450" s="8" t="s">
        <v>1727</v>
      </c>
      <c r="N450" s="17" t="str">
        <f>HYPERLINK('Components Data Source'!M450)</f>
        <v>https://www.flowcode.co.uk/wiki/index.php?title=Component:_ID_c6586b24_9a1c_4e19_8051_8ae5923c418a</v>
      </c>
      <c r="O450" s="8" t="s">
        <v>1721</v>
      </c>
      <c r="P450" s="8" t="s">
        <v>2774</v>
      </c>
      <c r="Q450" s="8" t="str">
        <f t="shared" si="14"/>
        <v/>
      </c>
      <c r="R450" s="8" t="s">
        <v>1727</v>
      </c>
      <c r="S450" s="8" t="s">
        <v>1727</v>
      </c>
      <c r="T450" s="8"/>
      <c r="U450" s="8"/>
      <c r="V450" s="8" t="s">
        <v>1730</v>
      </c>
      <c r="W450" s="8" t="s">
        <v>1730</v>
      </c>
      <c r="X450" s="8"/>
      <c r="Y450" s="8"/>
      <c r="Z450" s="18">
        <f t="shared" ref="Z450:Z513" si="15">IF(AND(R450="Y",Y450="Y"),1,IF(R450="N",2,IF(R450="",4,IF(Y450="A",3,0))))</f>
        <v>2</v>
      </c>
      <c r="AA450" s="8"/>
      <c r="AB450" s="7"/>
      <c r="AC450" s="7"/>
      <c r="AD450" s="8" t="s">
        <v>1721</v>
      </c>
      <c r="AE450" s="8" t="s">
        <v>1727</v>
      </c>
      <c r="AF450" s="8" t="s">
        <v>2401</v>
      </c>
      <c r="AG450" s="8"/>
      <c r="AH450" s="47"/>
      <c r="AI450" s="47">
        <f>VLOOKUP(B450,'Components Usage'!A$2:C$603,3,FALSE)</f>
        <v>3</v>
      </c>
      <c r="AJ450" s="28" t="s">
        <v>2401</v>
      </c>
    </row>
    <row r="451" spans="1:36" hidden="1" x14ac:dyDescent="0.25">
      <c r="A451" s="16" t="str">
        <f>'Components Data Source'!A451</f>
        <v>GLCD (EB076 v2)</v>
      </c>
      <c r="B451" s="8" t="str">
        <f>'Components Data Source'!B451</f>
        <v>CB40C3C2-03FD-4D66-9364-790E72714BCB</v>
      </c>
      <c r="C451" s="8" t="str">
        <f>'Components Data Source'!C451</f>
        <v>gLCD_EB076v2_4D.fcpx</v>
      </c>
      <c r="D451" s="8" t="str">
        <f>'Components Data Source'!D451</f>
        <v>Components\IO_Source\displays\glcd_4D_EB076v2.fcfx</v>
      </c>
      <c r="E451" s="8" t="str">
        <f>'Components Data Source'!E451</f>
        <v>DISPLAYS</v>
      </c>
      <c r="F451" s="8" t="str">
        <f>'Components Data Source'!F451</f>
        <v>E-BLOCKS 1</v>
      </c>
      <c r="G451" s="8">
        <f>'Components Data Source'!G451</f>
        <v>0</v>
      </c>
      <c r="H451" s="8">
        <f>'Components Data Source'!H451</f>
        <v>0</v>
      </c>
      <c r="I451" s="8" t="str">
        <f>'Components Data Source'!I451</f>
        <v xml:space="preserve">UART </v>
      </c>
      <c r="J451" s="8">
        <f>'Components Data Source'!J451</f>
        <v>1</v>
      </c>
      <c r="K451" s="8">
        <f>'Components Data Source'!K451</f>
        <v>1</v>
      </c>
      <c r="L451" s="8">
        <f>'Components Data Source'!L451</f>
        <v>0</v>
      </c>
      <c r="M451" s="8" t="s">
        <v>1727</v>
      </c>
      <c r="N451" s="17" t="str">
        <f>HYPERLINK('Components Data Source'!M451)</f>
        <v>https://www.flowcode.co.uk/wiki/index.php?title=Component:_ID_cb40c3c2_03fd_4d66_9364_790e72714bcb</v>
      </c>
      <c r="O451" s="8" t="s">
        <v>1721</v>
      </c>
      <c r="P451" s="8" t="s">
        <v>2774</v>
      </c>
      <c r="Q451" s="8" t="str">
        <f t="shared" si="14"/>
        <v/>
      </c>
      <c r="R451" s="8" t="s">
        <v>1727</v>
      </c>
      <c r="S451" s="8" t="s">
        <v>1727</v>
      </c>
      <c r="T451" s="8"/>
      <c r="U451" s="8"/>
      <c r="V451" s="8" t="s">
        <v>1730</v>
      </c>
      <c r="W451" s="8" t="s">
        <v>1730</v>
      </c>
      <c r="X451" s="8"/>
      <c r="Y451" s="8"/>
      <c r="Z451" s="18">
        <f t="shared" si="15"/>
        <v>2</v>
      </c>
      <c r="AA451" s="8"/>
      <c r="AB451" s="7"/>
      <c r="AC451" s="7"/>
      <c r="AD451" s="8" t="s">
        <v>1721</v>
      </c>
      <c r="AE451" s="8" t="s">
        <v>1727</v>
      </c>
      <c r="AF451" s="8" t="s">
        <v>2401</v>
      </c>
      <c r="AG451" s="8"/>
      <c r="AH451" s="47"/>
      <c r="AI451" s="47">
        <f>VLOOKUP(B451,'Components Usage'!A$2:C$603,3,FALSE)</f>
        <v>1</v>
      </c>
      <c r="AJ451" s="28" t="s">
        <v>2401</v>
      </c>
    </row>
    <row r="452" spans="1:36" x14ac:dyDescent="0.25">
      <c r="A452" s="16" t="str">
        <f>'Components Data Source'!A452</f>
        <v>GLCD (EBM001)</v>
      </c>
      <c r="B452" s="8" t="str">
        <f>'Components Data Source'!B452</f>
        <v>5A6D2F2E-DA92-49B4-AD5C-71F51E8FE24B</v>
      </c>
      <c r="C452" s="8" t="str">
        <f>'Components Data Source'!C452</f>
        <v>gLCD_EBM001.fcpx</v>
      </c>
      <c r="D452" s="8" t="str">
        <f>'Components Data Source'!D452</f>
        <v>Components\IO_Source\displays\glcd_EBM001.fcfx</v>
      </c>
      <c r="E452" s="8" t="str">
        <f>'Components Data Source'!E452</f>
        <v>FREE</v>
      </c>
      <c r="F452" s="8" t="str">
        <f>'Components Data Source'!F452</f>
        <v>EBM MODULES</v>
      </c>
      <c r="G452" s="8">
        <f>'Components Data Source'!G452</f>
        <v>0</v>
      </c>
      <c r="H452" s="8">
        <f>'Components Data Source'!H452</f>
        <v>0</v>
      </c>
      <c r="I452" s="8">
        <f>'Components Data Source'!I452</f>
        <v>0</v>
      </c>
      <c r="J452" s="8">
        <f>'Components Data Source'!J452</f>
        <v>1</v>
      </c>
      <c r="K452" s="8">
        <f>'Components Data Source'!K452</f>
        <v>1</v>
      </c>
      <c r="L452" s="8">
        <f>'Components Data Source'!L452</f>
        <v>0</v>
      </c>
      <c r="M452" s="8" t="s">
        <v>1727</v>
      </c>
      <c r="N452" s="17" t="str">
        <f>HYPERLINK('Components Data Source'!M452)</f>
        <v>https://www.flowcode.co.uk/wiki/index.php?title=Component:_ID_5a6d2f2e_da92_49b4_ad5c_71f51e8fe24b</v>
      </c>
      <c r="O452" s="8" t="s">
        <v>1721</v>
      </c>
      <c r="P452" s="8"/>
      <c r="Q452" s="8" t="str">
        <f t="shared" si="14"/>
        <v/>
      </c>
      <c r="R452" s="8" t="s">
        <v>1727</v>
      </c>
      <c r="S452" s="8" t="s">
        <v>1727</v>
      </c>
      <c r="T452" s="8"/>
      <c r="U452" s="8"/>
      <c r="V452" s="8" t="s">
        <v>1730</v>
      </c>
      <c r="W452" s="8" t="s">
        <v>1730</v>
      </c>
      <c r="X452" s="8"/>
      <c r="Y452" s="8"/>
      <c r="Z452" s="18">
        <f t="shared" si="15"/>
        <v>2</v>
      </c>
      <c r="AA452" s="8"/>
      <c r="AB452" s="7"/>
      <c r="AC452" s="7"/>
      <c r="AD452" s="8" t="s">
        <v>1721</v>
      </c>
      <c r="AE452" s="8" t="s">
        <v>1721</v>
      </c>
      <c r="AF452" s="8" t="s">
        <v>2401</v>
      </c>
      <c r="AG452" s="8"/>
      <c r="AH452" s="47"/>
      <c r="AI452" s="47">
        <f>VLOOKUP(B452,'Components Usage'!A$2:C$603,3,FALSE)</f>
        <v>40</v>
      </c>
      <c r="AJ452" s="28" t="s">
        <v>2401</v>
      </c>
    </row>
    <row r="453" spans="1:36" x14ac:dyDescent="0.25">
      <c r="A453" s="16" t="str">
        <f>'Components Data Source'!A453</f>
        <v>gLCD Font Library</v>
      </c>
      <c r="B453" s="8" t="str">
        <f>'Components Data Source'!B453</f>
        <v>1B08885C-807E-4631-930E-A4FEF06159DC</v>
      </c>
      <c r="C453" s="8" t="str">
        <f>'Components Data Source'!C453</f>
        <v>gLCD_Font.fcpx</v>
      </c>
      <c r="D453" s="8" t="str">
        <f>'Components Data Source'!D453</f>
        <v>Components\IO_Source\displays\glcd_Fonts.fcfx</v>
      </c>
      <c r="E453" s="8" t="str">
        <f>'Components Data Source'!E453</f>
        <v>FREE</v>
      </c>
      <c r="F453" s="8" t="str">
        <f>'Components Data Source'!F453</f>
        <v>GRAPHICAL LIBRARY</v>
      </c>
      <c r="G453" s="8">
        <f>'Components Data Source'!G453</f>
        <v>0</v>
      </c>
      <c r="H453" s="8">
        <f>'Components Data Source'!H453</f>
        <v>0</v>
      </c>
      <c r="I453" s="8">
        <f>'Components Data Source'!I453</f>
        <v>0</v>
      </c>
      <c r="J453" s="8">
        <f>'Components Data Source'!J453</f>
        <v>1</v>
      </c>
      <c r="K453" s="8">
        <f>'Components Data Source'!K453</f>
        <v>1</v>
      </c>
      <c r="L453" s="8">
        <f>'Components Data Source'!L453</f>
        <v>1</v>
      </c>
      <c r="M453" s="8" t="s">
        <v>1727</v>
      </c>
      <c r="N453" s="17" t="str">
        <f>HYPERLINK('Components Data Source'!M453)</f>
        <v>https://www.flowcode.co.uk/wiki/index.php?title=Component:_ID_1b08885c_807e_4631_930e_a4fef06159dc</v>
      </c>
      <c r="O453" s="8" t="s">
        <v>1721</v>
      </c>
      <c r="P453" s="8"/>
      <c r="Q453" s="8" t="str">
        <f t="shared" si="14"/>
        <v/>
      </c>
      <c r="R453" s="8" t="s">
        <v>1721</v>
      </c>
      <c r="S453" s="8" t="s">
        <v>1721</v>
      </c>
      <c r="T453" s="8" t="s">
        <v>1727</v>
      </c>
      <c r="U453" s="8" t="s">
        <v>1727</v>
      </c>
      <c r="V453" s="8" t="s">
        <v>1731</v>
      </c>
      <c r="W453" s="8" t="s">
        <v>1731</v>
      </c>
      <c r="X453" s="8" t="s">
        <v>1721</v>
      </c>
      <c r="Y453" s="8" t="s">
        <v>1721</v>
      </c>
      <c r="Z453" s="18">
        <f t="shared" si="15"/>
        <v>1</v>
      </c>
      <c r="AA453" s="8"/>
      <c r="AB453" s="7"/>
      <c r="AC453" s="7"/>
      <c r="AD453" s="8" t="s">
        <v>1721</v>
      </c>
      <c r="AE453" s="8" t="s">
        <v>1727</v>
      </c>
      <c r="AF453" s="8" t="s">
        <v>2401</v>
      </c>
      <c r="AG453" s="8"/>
      <c r="AH453" s="47"/>
      <c r="AI453" s="47">
        <f>VLOOKUP(B453,'Components Usage'!A$2:C$603,3,FALSE)</f>
        <v>2</v>
      </c>
      <c r="AJ453" s="28" t="s">
        <v>2401</v>
      </c>
    </row>
    <row r="454" spans="1:36" hidden="1" x14ac:dyDescent="0.25">
      <c r="A454" s="16" t="str">
        <f>'Components Data Source'!A454</f>
        <v>GLCD (ILI9163C)</v>
      </c>
      <c r="B454" s="8" t="str">
        <f>'Components Data Source'!B454</f>
        <v>79F105DB-3EB0-45CB-B3FB-E4B6D6E94358</v>
      </c>
      <c r="C454" s="8" t="str">
        <f>'Components Data Source'!C454</f>
        <v>gLCD_ILI9163C.fcpx</v>
      </c>
      <c r="D454" s="8" t="str">
        <f>'Components Data Source'!D454</f>
        <v>Components\IO_Source\displays\glcd_ILI9163C.fcfx</v>
      </c>
      <c r="E454" s="8" t="str">
        <f>'Components Data Source'!E454</f>
        <v>DISPLAYS</v>
      </c>
      <c r="F454" s="8" t="str">
        <f>'Components Data Source'!F454</f>
        <v>GRAPHICAL COLOR</v>
      </c>
      <c r="G454" s="8">
        <f>'Components Data Source'!G454</f>
        <v>0</v>
      </c>
      <c r="H454" s="8">
        <f>'Components Data Source'!H454</f>
        <v>0</v>
      </c>
      <c r="I454" s="8">
        <f>'Components Data Source'!I454</f>
        <v>0</v>
      </c>
      <c r="J454" s="8">
        <f>'Components Data Source'!J454</f>
        <v>1</v>
      </c>
      <c r="K454" s="8">
        <f>'Components Data Source'!K454</f>
        <v>1</v>
      </c>
      <c r="L454" s="8">
        <f>'Components Data Source'!L454</f>
        <v>0</v>
      </c>
      <c r="M454" s="8" t="s">
        <v>1727</v>
      </c>
      <c r="N454" s="17" t="str">
        <f>HYPERLINK('Components Data Source'!M454)</f>
        <v>https://www.flowcode.co.uk/wiki/index.php?title=Component:_ID_79f105db_3eb0_45cb_b3fb_e4b6d6e94358</v>
      </c>
      <c r="O454" s="8" t="s">
        <v>1721</v>
      </c>
      <c r="P454" s="8"/>
      <c r="Q454" s="8" t="str">
        <f t="shared" si="14"/>
        <v/>
      </c>
      <c r="R454" s="8" t="s">
        <v>1727</v>
      </c>
      <c r="S454" s="8" t="s">
        <v>1727</v>
      </c>
      <c r="T454" s="8"/>
      <c r="U454" s="8"/>
      <c r="V454" s="8" t="s">
        <v>1730</v>
      </c>
      <c r="W454" s="8" t="s">
        <v>1730</v>
      </c>
      <c r="X454" s="8"/>
      <c r="Y454" s="8"/>
      <c r="Z454" s="18">
        <f t="shared" si="15"/>
        <v>2</v>
      </c>
      <c r="AA454" s="8"/>
      <c r="AB454" s="7"/>
      <c r="AC454" s="7"/>
      <c r="AD454" s="8" t="s">
        <v>1721</v>
      </c>
      <c r="AE454" s="8" t="s">
        <v>1727</v>
      </c>
      <c r="AF454" s="8" t="s">
        <v>1727</v>
      </c>
      <c r="AG454" s="8"/>
      <c r="AH454" s="47"/>
      <c r="AI454" s="47">
        <f>VLOOKUP(B454,'Components Usage'!A$2:C$603,3,FALSE)</f>
        <v>1</v>
      </c>
      <c r="AJ454" s="28" t="s">
        <v>2401</v>
      </c>
    </row>
    <row r="455" spans="1:36" hidden="1" x14ac:dyDescent="0.25">
      <c r="A455" s="16" t="str">
        <f>'Components Data Source'!A455</f>
        <v>GLCD (ILI9341)</v>
      </c>
      <c r="B455" s="8" t="str">
        <f>'Components Data Source'!B455</f>
        <v>BC0A0612-EF85-48FB-8960-5E78F4083DF1</v>
      </c>
      <c r="C455" s="8" t="str">
        <f>'Components Data Source'!C455</f>
        <v>gLCD_ILI9341.fcpx</v>
      </c>
      <c r="D455" s="8" t="str">
        <f>'Components Data Source'!D455</f>
        <v>Components\IO_Source\displays\glcd_ILI9341.fcfx</v>
      </c>
      <c r="E455" s="8" t="str">
        <f>'Components Data Source'!E455</f>
        <v>DISPLAYS</v>
      </c>
      <c r="F455" s="8" t="str">
        <f>'Components Data Source'!F455</f>
        <v>GRAPHICAL COLOR</v>
      </c>
      <c r="G455" s="8">
        <f>'Components Data Source'!G455</f>
        <v>0</v>
      </c>
      <c r="H455" s="8">
        <f>'Components Data Source'!H455</f>
        <v>0</v>
      </c>
      <c r="I455" s="8">
        <f>'Components Data Source'!I455</f>
        <v>0</v>
      </c>
      <c r="J455" s="8">
        <f>'Components Data Source'!J455</f>
        <v>1</v>
      </c>
      <c r="K455" s="8">
        <f>'Components Data Source'!K455</f>
        <v>1</v>
      </c>
      <c r="L455" s="8">
        <f>'Components Data Source'!L455</f>
        <v>0</v>
      </c>
      <c r="M455" s="8" t="s">
        <v>1727</v>
      </c>
      <c r="N455" s="17" t="str">
        <f>HYPERLINK('Components Data Source'!M455)</f>
        <v>https://www.flowcode.co.uk/wiki/index.php?title=Component:_ID_bc0a0612_ef85_48fb_8960_5e78f4083df1</v>
      </c>
      <c r="O455" s="8" t="s">
        <v>1721</v>
      </c>
      <c r="P455" s="8"/>
      <c r="Q455" s="8" t="str">
        <f t="shared" si="14"/>
        <v/>
      </c>
      <c r="R455" s="8" t="s">
        <v>1727</v>
      </c>
      <c r="S455" s="8" t="s">
        <v>1727</v>
      </c>
      <c r="T455" s="8"/>
      <c r="U455" s="8"/>
      <c r="V455" s="8" t="s">
        <v>1730</v>
      </c>
      <c r="W455" s="8" t="s">
        <v>1730</v>
      </c>
      <c r="X455" s="8"/>
      <c r="Y455" s="8"/>
      <c r="Z455" s="18">
        <f t="shared" si="15"/>
        <v>2</v>
      </c>
      <c r="AA455" s="8"/>
      <c r="AB455" s="7"/>
      <c r="AC455" s="7"/>
      <c r="AD455" s="8" t="s">
        <v>1721</v>
      </c>
      <c r="AE455" s="8" t="s">
        <v>1727</v>
      </c>
      <c r="AF455" s="8" t="s">
        <v>1727</v>
      </c>
      <c r="AG455" s="8"/>
      <c r="AH455" s="47"/>
      <c r="AI455" s="47">
        <f>VLOOKUP(B455,'Components Usage'!A$2:C$603,3,FALSE)</f>
        <v>59</v>
      </c>
      <c r="AJ455" s="28" t="s">
        <v>2401</v>
      </c>
    </row>
    <row r="456" spans="1:36" hidden="1" x14ac:dyDescent="0.25">
      <c r="A456" s="16" t="str">
        <f>'Components Data Source'!A456</f>
        <v>GLCD (ILI9341 SPI)</v>
      </c>
      <c r="B456" s="8" t="str">
        <f>'Components Data Source'!B456</f>
        <v>7BD84555-AE51-40CC-8E1A-A7BCBA661E52</v>
      </c>
      <c r="C456" s="8" t="str">
        <f>'Components Data Source'!C456</f>
        <v>gLCD_ILI9341_SPI.fcpx</v>
      </c>
      <c r="D456" s="8" t="str">
        <f>'Components Data Source'!D456</f>
        <v>Components\IO_Source\displays\glcd_ILI9341_SPI.fcfx</v>
      </c>
      <c r="E456" s="8" t="str">
        <f>'Components Data Source'!E456</f>
        <v>DISPLAYS</v>
      </c>
      <c r="F456" s="8" t="str">
        <f>'Components Data Source'!F456</f>
        <v>GRAPHICAL COLOR</v>
      </c>
      <c r="G456" s="8">
        <f>'Components Data Source'!G456</f>
        <v>0</v>
      </c>
      <c r="H456" s="8">
        <f>'Components Data Source'!H456</f>
        <v>0</v>
      </c>
      <c r="I456" s="8" t="str">
        <f>'Components Data Source'!I456</f>
        <v xml:space="preserve">SPI </v>
      </c>
      <c r="J456" s="8">
        <f>'Components Data Source'!J456</f>
        <v>1</v>
      </c>
      <c r="K456" s="8">
        <f>'Components Data Source'!K456</f>
        <v>1</v>
      </c>
      <c r="L456" s="8">
        <f>'Components Data Source'!L456</f>
        <v>0</v>
      </c>
      <c r="M456" s="8" t="s">
        <v>1727</v>
      </c>
      <c r="N456" s="17" t="str">
        <f>HYPERLINK('Components Data Source'!M456)</f>
        <v>https://www.flowcode.co.uk/wiki/index.php?title=Component:_ID_7bd84555_ae51_40cc_8e1a_a7bcba661e52</v>
      </c>
      <c r="O456" s="8" t="s">
        <v>1721</v>
      </c>
      <c r="P456" s="8" t="s">
        <v>2776</v>
      </c>
      <c r="Q456" s="8" t="str">
        <f t="shared" si="14"/>
        <v/>
      </c>
      <c r="R456" s="8" t="s">
        <v>1727</v>
      </c>
      <c r="S456" s="8" t="s">
        <v>1727</v>
      </c>
      <c r="T456" s="8"/>
      <c r="U456" s="8"/>
      <c r="V456" s="8" t="s">
        <v>1730</v>
      </c>
      <c r="W456" s="8" t="s">
        <v>1730</v>
      </c>
      <c r="X456" s="8"/>
      <c r="Y456" s="8"/>
      <c r="Z456" s="18">
        <f t="shared" si="15"/>
        <v>2</v>
      </c>
      <c r="AA456" s="8"/>
      <c r="AB456" s="7"/>
      <c r="AC456" s="7"/>
      <c r="AD456" s="8" t="s">
        <v>1721</v>
      </c>
      <c r="AE456" s="8" t="s">
        <v>1727</v>
      </c>
      <c r="AF456" s="8" t="s">
        <v>1727</v>
      </c>
      <c r="AG456" s="8"/>
      <c r="AH456" s="47"/>
      <c r="AI456" s="47">
        <f>VLOOKUP(B456,'Components Usage'!A$2:C$603,3,FALSE)</f>
        <v>27</v>
      </c>
      <c r="AJ456" s="28" t="s">
        <v>2401</v>
      </c>
    </row>
    <row r="457" spans="1:36" hidden="1" x14ac:dyDescent="0.25">
      <c r="A457" s="16" t="str">
        <f>'Components Data Source'!A457</f>
        <v>GLCD (ILI9488)</v>
      </c>
      <c r="B457" s="8" t="str">
        <f>'Components Data Source'!B457</f>
        <v>B5148D9E-884C-488E-8536-741E7FC4306C</v>
      </c>
      <c r="C457" s="8" t="str">
        <f>'Components Data Source'!C457</f>
        <v>gLCD_ILI9488.fcpx</v>
      </c>
      <c r="D457" s="8" t="str">
        <f>'Components Data Source'!D457</f>
        <v>Components\IO_Source\displays\glcd_ILI9488.fcfx</v>
      </c>
      <c r="E457" s="8" t="str">
        <f>'Components Data Source'!E457</f>
        <v>DISPLAYS</v>
      </c>
      <c r="F457" s="8" t="str">
        <f>'Components Data Source'!F457</f>
        <v>GRAPHICAL COLOR</v>
      </c>
      <c r="G457" s="8">
        <f>'Components Data Source'!G457</f>
        <v>0</v>
      </c>
      <c r="H457" s="8">
        <f>'Components Data Source'!H457</f>
        <v>0</v>
      </c>
      <c r="I457" s="8">
        <f>'Components Data Source'!I457</f>
        <v>0</v>
      </c>
      <c r="J457" s="8">
        <f>'Components Data Source'!J457</f>
        <v>1</v>
      </c>
      <c r="K457" s="8">
        <f>'Components Data Source'!K457</f>
        <v>1</v>
      </c>
      <c r="L457" s="8">
        <f>'Components Data Source'!L457</f>
        <v>0</v>
      </c>
      <c r="M457" s="8" t="s">
        <v>1727</v>
      </c>
      <c r="N457" s="17" t="str">
        <f>HYPERLINK('Components Data Source'!M457)</f>
        <v>https://www.flowcode.co.uk/wiki/index.php?title=Component:_ID_b5148d9e_884c_488e_8536_741e7fc4306c</v>
      </c>
      <c r="O457" s="8" t="s">
        <v>1721</v>
      </c>
      <c r="P457" s="8"/>
      <c r="Q457" s="8" t="str">
        <f t="shared" si="14"/>
        <v/>
      </c>
      <c r="R457" s="8" t="s">
        <v>1727</v>
      </c>
      <c r="S457" s="8" t="s">
        <v>1727</v>
      </c>
      <c r="T457" s="8"/>
      <c r="U457" s="8"/>
      <c r="V457" s="8" t="s">
        <v>1730</v>
      </c>
      <c r="W457" s="8" t="s">
        <v>1730</v>
      </c>
      <c r="X457" s="8"/>
      <c r="Y457" s="8"/>
      <c r="Z457" s="18">
        <f t="shared" si="15"/>
        <v>2</v>
      </c>
      <c r="AA457" s="8"/>
      <c r="AB457" s="7"/>
      <c r="AC457" s="7"/>
      <c r="AD457" s="8" t="s">
        <v>1727</v>
      </c>
      <c r="AE457" s="8"/>
      <c r="AF457" s="8"/>
      <c r="AG457" s="8"/>
      <c r="AH457" s="47"/>
      <c r="AI457" s="47">
        <f>VLOOKUP(B457,'Components Usage'!A$2:C$603,3,FALSE)</f>
        <v>0</v>
      </c>
      <c r="AJ457" s="28"/>
    </row>
    <row r="458" spans="1:36" hidden="1" x14ac:dyDescent="0.25">
      <c r="A458" s="16" t="str">
        <f>'Components Data Source'!A458</f>
        <v>GLCD (ILI9488 SPI)</v>
      </c>
      <c r="B458" s="8" t="str">
        <f>'Components Data Source'!B458</f>
        <v>3408FDE0-F512-487B-8902-74CD56623191</v>
      </c>
      <c r="C458" s="8" t="str">
        <f>'Components Data Source'!C458</f>
        <v>gLCD_ILI9488_SPI.fcpx</v>
      </c>
      <c r="D458" s="8" t="str">
        <f>'Components Data Source'!D458</f>
        <v>Components\IO_Source\displays\glcd_ILI9488_SPI.fcfx</v>
      </c>
      <c r="E458" s="8" t="str">
        <f>'Components Data Source'!E458</f>
        <v>DISPLAYS</v>
      </c>
      <c r="F458" s="8" t="str">
        <f>'Components Data Source'!F458</f>
        <v>GRAPHICAL COLOR</v>
      </c>
      <c r="G458" s="8">
        <f>'Components Data Source'!G458</f>
        <v>0</v>
      </c>
      <c r="H458" s="8">
        <f>'Components Data Source'!H458</f>
        <v>0</v>
      </c>
      <c r="I458" s="8" t="str">
        <f>'Components Data Source'!I458</f>
        <v xml:space="preserve">SPI </v>
      </c>
      <c r="J458" s="8">
        <f>'Components Data Source'!J458</f>
        <v>1</v>
      </c>
      <c r="K458" s="8">
        <f>'Components Data Source'!K458</f>
        <v>1</v>
      </c>
      <c r="L458" s="8">
        <f>'Components Data Source'!L458</f>
        <v>0</v>
      </c>
      <c r="M458" s="8" t="s">
        <v>1727</v>
      </c>
      <c r="N458" s="17" t="str">
        <f>HYPERLINK('Components Data Source'!M458)</f>
        <v>https://www.flowcode.co.uk/wiki/index.php?title=Component:_ID_3408fde0_f512_487b_8902_74cd56623191</v>
      </c>
      <c r="O458" s="8" t="s">
        <v>1721</v>
      </c>
      <c r="P458" s="8"/>
      <c r="Q458" s="8" t="str">
        <f t="shared" si="14"/>
        <v/>
      </c>
      <c r="R458" s="8" t="s">
        <v>1727</v>
      </c>
      <c r="S458" s="8" t="s">
        <v>1727</v>
      </c>
      <c r="T458" s="8"/>
      <c r="U458" s="8"/>
      <c r="V458" s="8" t="s">
        <v>1730</v>
      </c>
      <c r="W458" s="8" t="s">
        <v>1730</v>
      </c>
      <c r="X458" s="8"/>
      <c r="Y458" s="8"/>
      <c r="Z458" s="18">
        <f t="shared" si="15"/>
        <v>2</v>
      </c>
      <c r="AA458" s="8"/>
      <c r="AB458" s="7"/>
      <c r="AC458" s="7"/>
      <c r="AD458" s="8" t="s">
        <v>1727</v>
      </c>
      <c r="AE458" s="8"/>
      <c r="AF458" s="8"/>
      <c r="AG458" s="8"/>
      <c r="AH458" s="47"/>
      <c r="AI458" s="47">
        <f>VLOOKUP(B458,'Components Usage'!A$2:C$603,3,FALSE)</f>
        <v>0</v>
      </c>
      <c r="AJ458" s="28"/>
    </row>
    <row r="459" spans="1:36" hidden="1" x14ac:dyDescent="0.25">
      <c r="A459" s="16" t="str">
        <f>'Components Data Source'!A459</f>
        <v>GLCD (KS0108)</v>
      </c>
      <c r="B459" s="8" t="str">
        <f>'Components Data Source'!B459</f>
        <v>C9D3B357-B914-4301-A741-0D13819E441C</v>
      </c>
      <c r="C459" s="8" t="str">
        <f>'Components Data Source'!C459</f>
        <v>gLCD_KS0108.fcpx</v>
      </c>
      <c r="D459" s="8" t="str">
        <f>'Components Data Source'!D459</f>
        <v>Components\IO_Source\displays\glcd_KS0108.fcfx</v>
      </c>
      <c r="E459" s="8" t="str">
        <f>'Components Data Source'!E459</f>
        <v>DISPLAYS</v>
      </c>
      <c r="F459" s="8" t="str">
        <f>'Components Data Source'!F459</f>
        <v>GRAPHICAL MONOCHROME</v>
      </c>
      <c r="G459" s="8">
        <f>'Components Data Source'!G459</f>
        <v>0</v>
      </c>
      <c r="H459" s="8">
        <f>'Components Data Source'!H459</f>
        <v>0</v>
      </c>
      <c r="I459" s="8">
        <f>'Components Data Source'!I459</f>
        <v>0</v>
      </c>
      <c r="J459" s="8">
        <f>'Components Data Source'!J459</f>
        <v>1</v>
      </c>
      <c r="K459" s="8">
        <f>'Components Data Source'!K459</f>
        <v>1</v>
      </c>
      <c r="L459" s="8">
        <f>'Components Data Source'!L459</f>
        <v>0</v>
      </c>
      <c r="M459" s="8" t="s">
        <v>1727</v>
      </c>
      <c r="N459" s="17" t="str">
        <f>HYPERLINK('Components Data Source'!M459)</f>
        <v>https://www.flowcode.co.uk/wiki/index.php?title=Component:_ID_c9d3b357_b914_4301_a741_0d13819e441c</v>
      </c>
      <c r="O459" s="8" t="s">
        <v>1721</v>
      </c>
      <c r="P459" s="8"/>
      <c r="Q459" s="8" t="str">
        <f t="shared" si="14"/>
        <v/>
      </c>
      <c r="R459" s="8" t="s">
        <v>1727</v>
      </c>
      <c r="S459" s="8" t="s">
        <v>1727</v>
      </c>
      <c r="T459" s="8"/>
      <c r="U459" s="8"/>
      <c r="V459" s="8" t="s">
        <v>1730</v>
      </c>
      <c r="W459" s="8" t="s">
        <v>1730</v>
      </c>
      <c r="X459" s="8"/>
      <c r="Y459" s="8"/>
      <c r="Z459" s="18">
        <f t="shared" si="15"/>
        <v>2</v>
      </c>
      <c r="AA459" s="8"/>
      <c r="AB459" s="7"/>
      <c r="AC459" s="7"/>
      <c r="AD459" s="8" t="s">
        <v>1721</v>
      </c>
      <c r="AE459" s="8" t="s">
        <v>1727</v>
      </c>
      <c r="AF459" s="8" t="s">
        <v>1727</v>
      </c>
      <c r="AG459" s="8"/>
      <c r="AH459" s="47"/>
      <c r="AI459" s="47">
        <f>VLOOKUP(B459,'Components Usage'!A$2:C$603,3,FALSE)</f>
        <v>3</v>
      </c>
      <c r="AJ459" s="28" t="s">
        <v>2401</v>
      </c>
    </row>
    <row r="460" spans="1:36" hidden="1" x14ac:dyDescent="0.25">
      <c r="A460" s="16" t="str">
        <f>'Components Data Source'!A460</f>
        <v>GLCD (LS020)</v>
      </c>
      <c r="B460" s="8" t="str">
        <f>'Components Data Source'!B460</f>
        <v>641B19BC-B941-46DE-843D-229CA347466D</v>
      </c>
      <c r="C460" s="8" t="str">
        <f>'Components Data Source'!C460</f>
        <v>gLCD_LS020.fcpx</v>
      </c>
      <c r="D460" s="8" t="str">
        <f>'Components Data Source'!D460</f>
        <v>Components\IO_Source\displays\glcd_S65_LS020.fcfx</v>
      </c>
      <c r="E460" s="8" t="str">
        <f>'Components Data Source'!E460</f>
        <v>DISPLAYS</v>
      </c>
      <c r="F460" s="8" t="str">
        <f>'Components Data Source'!F460</f>
        <v>GRAPHICAL COLOR</v>
      </c>
      <c r="G460" s="8">
        <f>'Components Data Source'!G460</f>
        <v>0</v>
      </c>
      <c r="H460" s="8">
        <f>'Components Data Source'!H460</f>
        <v>0</v>
      </c>
      <c r="I460" s="8">
        <f>'Components Data Source'!I460</f>
        <v>0</v>
      </c>
      <c r="J460" s="8">
        <f>'Components Data Source'!J460</f>
        <v>1</v>
      </c>
      <c r="K460" s="8">
        <f>'Components Data Source'!K460</f>
        <v>1</v>
      </c>
      <c r="L460" s="8">
        <f>'Components Data Source'!L460</f>
        <v>0</v>
      </c>
      <c r="M460" s="8" t="s">
        <v>1727</v>
      </c>
      <c r="N460" s="17" t="str">
        <f>HYPERLINK('Components Data Source'!M460)</f>
        <v>https://www.flowcode.co.uk/wiki/index.php?title=Component:_ID_641b19bc_b941_46de_843d_229ca347466d</v>
      </c>
      <c r="O460" s="8" t="s">
        <v>1721</v>
      </c>
      <c r="P460" s="8"/>
      <c r="Q460" s="8" t="str">
        <f t="shared" si="14"/>
        <v/>
      </c>
      <c r="R460" s="8" t="s">
        <v>1727</v>
      </c>
      <c r="S460" s="8" t="s">
        <v>1727</v>
      </c>
      <c r="T460" s="8"/>
      <c r="U460" s="8"/>
      <c r="V460" s="8" t="s">
        <v>1730</v>
      </c>
      <c r="W460" s="8" t="s">
        <v>1730</v>
      </c>
      <c r="X460" s="8"/>
      <c r="Y460" s="8"/>
      <c r="Z460" s="18">
        <f t="shared" si="15"/>
        <v>2</v>
      </c>
      <c r="AA460" s="8"/>
      <c r="AB460" s="7"/>
      <c r="AC460" s="7"/>
      <c r="AD460" s="8" t="s">
        <v>1721</v>
      </c>
      <c r="AE460" s="8" t="s">
        <v>1727</v>
      </c>
      <c r="AF460" s="8" t="s">
        <v>1727</v>
      </c>
      <c r="AG460" s="8"/>
      <c r="AH460" s="47"/>
      <c r="AI460" s="47">
        <f>VLOOKUP(B460,'Components Usage'!A$2:C$603,3,FALSE)</f>
        <v>0</v>
      </c>
      <c r="AJ460" s="28" t="s">
        <v>2401</v>
      </c>
    </row>
    <row r="461" spans="1:36" hidden="1" x14ac:dyDescent="0.25">
      <c r="A461" s="16" t="str">
        <f>'Components Data Source'!A461</f>
        <v>GLCD (PDC8544)</v>
      </c>
      <c r="B461" s="8" t="str">
        <f>'Components Data Source'!B461</f>
        <v>A1EDC3DF-71D0-4EC5-A511-05818570696F</v>
      </c>
      <c r="C461" s="8" t="str">
        <f>'Components Data Source'!C461</f>
        <v>gLCD_PCD8544.fcpx</v>
      </c>
      <c r="D461" s="8" t="str">
        <f>'Components Data Source'!D461</f>
        <v>Components\IO_Source\displays\glcd_PCD8544.fcfx</v>
      </c>
      <c r="E461" s="8" t="str">
        <f>'Components Data Source'!E461</f>
        <v>DISPLAYS</v>
      </c>
      <c r="F461" s="8" t="str">
        <f>'Components Data Source'!F461</f>
        <v>GRAPHICAL MONOCHROME</v>
      </c>
      <c r="G461" s="8">
        <f>'Components Data Source'!G461</f>
        <v>0</v>
      </c>
      <c r="H461" s="8">
        <f>'Components Data Source'!H461</f>
        <v>0</v>
      </c>
      <c r="I461" s="8">
        <f>'Components Data Source'!I461</f>
        <v>0</v>
      </c>
      <c r="J461" s="8">
        <f>'Components Data Source'!J461</f>
        <v>1</v>
      </c>
      <c r="K461" s="8">
        <f>'Components Data Source'!K461</f>
        <v>1</v>
      </c>
      <c r="L461" s="8">
        <f>'Components Data Source'!L461</f>
        <v>0</v>
      </c>
      <c r="M461" s="8" t="s">
        <v>1727</v>
      </c>
      <c r="N461" s="17" t="str">
        <f>HYPERLINK('Components Data Source'!M461)</f>
        <v>https://www.flowcode.co.uk/wiki/index.php?title=Component:_ID_a1edc3df_71d0_4ec5_a511_05818570696f</v>
      </c>
      <c r="O461" s="8" t="s">
        <v>1721</v>
      </c>
      <c r="P461" s="8"/>
      <c r="Q461" s="8" t="str">
        <f t="shared" si="14"/>
        <v/>
      </c>
      <c r="R461" s="8" t="s">
        <v>1727</v>
      </c>
      <c r="S461" s="8" t="s">
        <v>1727</v>
      </c>
      <c r="T461" s="8"/>
      <c r="U461" s="8"/>
      <c r="V461" s="8" t="s">
        <v>1730</v>
      </c>
      <c r="W461" s="8" t="s">
        <v>1730</v>
      </c>
      <c r="X461" s="8"/>
      <c r="Y461" s="8"/>
      <c r="Z461" s="18">
        <f t="shared" si="15"/>
        <v>2</v>
      </c>
      <c r="AA461" s="8"/>
      <c r="AB461" s="7"/>
      <c r="AC461" s="7"/>
      <c r="AD461" s="8" t="s">
        <v>1721</v>
      </c>
      <c r="AE461" s="8" t="s">
        <v>1727</v>
      </c>
      <c r="AF461" s="8" t="s">
        <v>1727</v>
      </c>
      <c r="AG461" s="8"/>
      <c r="AH461" s="47"/>
      <c r="AI461" s="47">
        <f>VLOOKUP(B461,'Components Usage'!A$2:C$603,3,FALSE)</f>
        <v>2</v>
      </c>
      <c r="AJ461" s="28" t="s">
        <v>2401</v>
      </c>
    </row>
    <row r="462" spans="1:36" hidden="1" x14ac:dyDescent="0.25">
      <c r="A462" s="16" t="str">
        <f>'Components Data Source'!A462</f>
        <v>Drawing Area</v>
      </c>
      <c r="B462" s="8" t="str">
        <f>'Components Data Source'!B462</f>
        <v>B0F3982E-7CA6-4504-AFE5-1B76FA09FAD1</v>
      </c>
      <c r="C462" s="8" t="str">
        <f>'Components Data Source'!C462</f>
        <v>gLCD_SCADA.fcpx</v>
      </c>
      <c r="D462" s="8" t="str">
        <f>'Components Data Source'!D462</f>
        <v>Components\IO_Source\SCADA\glcd_SCADA.fcsx</v>
      </c>
      <c r="E462" s="8" t="str">
        <f>'Components Data Source'!E462</f>
        <v>SCADA</v>
      </c>
      <c r="F462" s="8" t="str">
        <f>'Components Data Source'!F462</f>
        <v>GRAPHICAL COLOR</v>
      </c>
      <c r="G462" s="8">
        <f>'Components Data Source'!G462</f>
        <v>0</v>
      </c>
      <c r="H462" s="8">
        <f>'Components Data Source'!H462</f>
        <v>0</v>
      </c>
      <c r="I462" s="8">
        <f>'Components Data Source'!I462</f>
        <v>0</v>
      </c>
      <c r="J462" s="8">
        <f>'Components Data Source'!J462</f>
        <v>1</v>
      </c>
      <c r="K462" s="8">
        <f>'Components Data Source'!K462</f>
        <v>0</v>
      </c>
      <c r="L462" s="8">
        <f>'Components Data Source'!L462</f>
        <v>1</v>
      </c>
      <c r="M462" s="8" t="s">
        <v>1727</v>
      </c>
      <c r="N462" s="17" t="str">
        <f>HYPERLINK('Components Data Source'!M462)</f>
        <v>https://www.flowcode.co.uk/wiki/index.php?title=Component:_ID_b0f3982e_7ca6_4504_afe5_1b76fa09fad1</v>
      </c>
      <c r="O462" s="8" t="s">
        <v>2781</v>
      </c>
      <c r="P462" s="8"/>
      <c r="Q462" s="8">
        <f t="shared" si="14"/>
        <v>1</v>
      </c>
      <c r="R462" s="8" t="s">
        <v>2520</v>
      </c>
      <c r="S462" s="8"/>
      <c r="T462" s="8"/>
      <c r="U462" s="8"/>
      <c r="V462" s="8" t="s">
        <v>1730</v>
      </c>
      <c r="W462" s="8" t="s">
        <v>1730</v>
      </c>
      <c r="X462" s="8"/>
      <c r="Y462" s="8"/>
      <c r="Z462" s="18">
        <f t="shared" si="15"/>
        <v>0</v>
      </c>
      <c r="AA462" s="8"/>
      <c r="AB462" s="7" t="s">
        <v>2507</v>
      </c>
      <c r="AC462" s="7"/>
      <c r="AD462" s="8"/>
      <c r="AE462" s="8"/>
      <c r="AF462" s="8"/>
      <c r="AG462" s="8"/>
      <c r="AH462" s="47"/>
      <c r="AI462" s="47">
        <f>VLOOKUP(B462,'Components Usage'!A$2:C$603,3,FALSE)</f>
        <v>0</v>
      </c>
      <c r="AJ462" s="28"/>
    </row>
    <row r="463" spans="1:36" hidden="1" x14ac:dyDescent="0.25">
      <c r="A463" s="16" t="str">
        <f>'Components Data Source'!A463</f>
        <v>GLCD (SH1106) I2C</v>
      </c>
      <c r="B463" s="8" t="str">
        <f>'Components Data Source'!B463</f>
        <v>EBF9C18E-044E-41E2-B845-DA14E744B25F</v>
      </c>
      <c r="C463" s="8" t="str">
        <f>'Components Data Source'!C463</f>
        <v>gLCD_SH1106_I2C.fcpx</v>
      </c>
      <c r="D463" s="8" t="str">
        <f>'Components Data Source'!D463</f>
        <v>Components\IO_Source\displays\glcd_SH1106_I2C.fcfx</v>
      </c>
      <c r="E463" s="8" t="str">
        <f>'Components Data Source'!E463</f>
        <v>DISPLAYS</v>
      </c>
      <c r="F463" s="8" t="str">
        <f>'Components Data Source'!F463</f>
        <v>GRAPHICAL MONOCHROME</v>
      </c>
      <c r="G463" s="8">
        <f>'Components Data Source'!G463</f>
        <v>0</v>
      </c>
      <c r="H463" s="8">
        <f>'Components Data Source'!H463</f>
        <v>0</v>
      </c>
      <c r="I463" s="8" t="str">
        <f>'Components Data Source'!I463</f>
        <v xml:space="preserve">I2C </v>
      </c>
      <c r="J463" s="8">
        <f>'Components Data Source'!J463</f>
        <v>1</v>
      </c>
      <c r="K463" s="8">
        <f>'Components Data Source'!K463</f>
        <v>1</v>
      </c>
      <c r="L463" s="8">
        <f>'Components Data Source'!L463</f>
        <v>0</v>
      </c>
      <c r="M463" s="8" t="s">
        <v>1727</v>
      </c>
      <c r="N463" s="17" t="str">
        <f>HYPERLINK('Components Data Source'!M463)</f>
        <v>https://www.flowcode.co.uk/wiki/index.php?title=Component:_ID_ebf9c18e_044e_41e2_b845_da14e744b25f</v>
      </c>
      <c r="O463" s="8" t="s">
        <v>1721</v>
      </c>
      <c r="P463" s="8"/>
      <c r="Q463" s="8" t="str">
        <f t="shared" ref="Q463:Q526" si="16">IF(L463=1,IF(K463=1,"",1),"")</f>
        <v/>
      </c>
      <c r="R463" s="8" t="s">
        <v>1727</v>
      </c>
      <c r="S463" s="8" t="s">
        <v>1727</v>
      </c>
      <c r="T463" s="8"/>
      <c r="U463" s="8"/>
      <c r="V463" s="8" t="s">
        <v>1730</v>
      </c>
      <c r="W463" s="8" t="s">
        <v>1730</v>
      </c>
      <c r="X463" s="8"/>
      <c r="Y463" s="8"/>
      <c r="Z463" s="18">
        <f t="shared" si="15"/>
        <v>2</v>
      </c>
      <c r="AA463" s="8"/>
      <c r="AB463" s="7"/>
      <c r="AC463" s="7"/>
      <c r="AD463" s="8" t="s">
        <v>1721</v>
      </c>
      <c r="AE463" s="8" t="s">
        <v>1727</v>
      </c>
      <c r="AF463" s="8" t="s">
        <v>1727</v>
      </c>
      <c r="AG463" s="8"/>
      <c r="AH463" s="47"/>
      <c r="AI463" s="47">
        <f>VLOOKUP(B463,'Components Usage'!A$2:C$603,3,FALSE)</f>
        <v>26</v>
      </c>
      <c r="AJ463" s="28" t="s">
        <v>2401</v>
      </c>
    </row>
    <row r="464" spans="1:36" hidden="1" x14ac:dyDescent="0.25">
      <c r="A464" s="16" t="str">
        <f>'Components Data Source'!A464</f>
        <v>GLCD (SH1106) SPI</v>
      </c>
      <c r="B464" s="8" t="str">
        <f>'Components Data Source'!B464</f>
        <v>91C1B7F5-6974-4EA3-84B3-4E24A9784631</v>
      </c>
      <c r="C464" s="8" t="str">
        <f>'Components Data Source'!C464</f>
        <v>gLCD_SH1106_SPI.fcpx</v>
      </c>
      <c r="D464" s="8" t="str">
        <f>'Components Data Source'!D464</f>
        <v>Components\IO_Source\displays\glcd_SH1106_SPI.fcfx</v>
      </c>
      <c r="E464" s="8" t="str">
        <f>'Components Data Source'!E464</f>
        <v>DISPLAYS</v>
      </c>
      <c r="F464" s="8" t="str">
        <f>'Components Data Source'!F464</f>
        <v>GRAPHICAL MONOCHROME</v>
      </c>
      <c r="G464" s="8">
        <f>'Components Data Source'!G464</f>
        <v>0</v>
      </c>
      <c r="H464" s="8">
        <f>'Components Data Source'!H464</f>
        <v>0</v>
      </c>
      <c r="I464" s="8" t="str">
        <f>'Components Data Source'!I464</f>
        <v xml:space="preserve">SPI </v>
      </c>
      <c r="J464" s="8">
        <f>'Components Data Source'!J464</f>
        <v>1</v>
      </c>
      <c r="K464" s="8">
        <f>'Components Data Source'!K464</f>
        <v>1</v>
      </c>
      <c r="L464" s="8">
        <f>'Components Data Source'!L464</f>
        <v>0</v>
      </c>
      <c r="M464" s="8" t="s">
        <v>1727</v>
      </c>
      <c r="N464" s="17" t="str">
        <f>HYPERLINK('Components Data Source'!M464)</f>
        <v>https://www.flowcode.co.uk/wiki/index.php?title=Component:_ID_91c1b7f5_6974_4ea3_84b3_4e24a9784631</v>
      </c>
      <c r="O464" s="8" t="s">
        <v>1721</v>
      </c>
      <c r="P464" s="8"/>
      <c r="Q464" s="8" t="str">
        <f t="shared" si="16"/>
        <v/>
      </c>
      <c r="R464" s="8" t="s">
        <v>1727</v>
      </c>
      <c r="S464" s="8" t="s">
        <v>1727</v>
      </c>
      <c r="T464" s="8"/>
      <c r="U464" s="8"/>
      <c r="V464" s="8" t="s">
        <v>1730</v>
      </c>
      <c r="W464" s="8" t="s">
        <v>1730</v>
      </c>
      <c r="X464" s="8"/>
      <c r="Y464" s="8"/>
      <c r="Z464" s="18">
        <f t="shared" si="15"/>
        <v>2</v>
      </c>
      <c r="AA464" s="8"/>
      <c r="AB464" s="7"/>
      <c r="AC464" s="7"/>
      <c r="AD464" s="8" t="s">
        <v>1721</v>
      </c>
      <c r="AE464" s="8" t="s">
        <v>1727</v>
      </c>
      <c r="AF464" s="8" t="s">
        <v>1727</v>
      </c>
      <c r="AG464" s="8"/>
      <c r="AH464" s="47"/>
      <c r="AI464" s="47">
        <f>VLOOKUP(B464,'Components Usage'!A$2:C$603,3,FALSE)</f>
        <v>3</v>
      </c>
      <c r="AJ464" s="28" t="s">
        <v>2401</v>
      </c>
    </row>
    <row r="465" spans="1:36" hidden="1" x14ac:dyDescent="0.25">
      <c r="A465" s="16" t="str">
        <f>'Components Data Source'!A465</f>
        <v>GLCD (SSD1289)</v>
      </c>
      <c r="B465" s="8" t="str">
        <f>'Components Data Source'!B465</f>
        <v>0A432F5F-D9A0-4726-9B42-18DE4EEDDFD8</v>
      </c>
      <c r="C465" s="8" t="str">
        <f>'Components Data Source'!C465</f>
        <v>gLCD_SSD1289.fcpx</v>
      </c>
      <c r="D465" s="8" t="str">
        <f>'Components Data Source'!D465</f>
        <v>Components\IO_Source\displays\glcd_SSD1289.fcfx</v>
      </c>
      <c r="E465" s="8" t="str">
        <f>'Components Data Source'!E465</f>
        <v>DISPLAYS</v>
      </c>
      <c r="F465" s="8" t="str">
        <f>'Components Data Source'!F465</f>
        <v>GRAPHICAL COLOR</v>
      </c>
      <c r="G465" s="8">
        <f>'Components Data Source'!G465</f>
        <v>0</v>
      </c>
      <c r="H465" s="8">
        <f>'Components Data Source'!H465</f>
        <v>0</v>
      </c>
      <c r="I465" s="8">
        <f>'Components Data Source'!I465</f>
        <v>0</v>
      </c>
      <c r="J465" s="8">
        <f>'Components Data Source'!J465</f>
        <v>1</v>
      </c>
      <c r="K465" s="8">
        <f>'Components Data Source'!K465</f>
        <v>1</v>
      </c>
      <c r="L465" s="8">
        <f>'Components Data Source'!L465</f>
        <v>0</v>
      </c>
      <c r="M465" s="8" t="s">
        <v>1727</v>
      </c>
      <c r="N465" s="17" t="str">
        <f>HYPERLINK('Components Data Source'!M465)</f>
        <v>https://www.flowcode.co.uk/wiki/index.php?title=Component:_ID_0a432f5f_d9a0_4726_9b42_18de4eeddfd8</v>
      </c>
      <c r="O465" s="8" t="s">
        <v>2590</v>
      </c>
      <c r="P465" s="8" t="s">
        <v>2921</v>
      </c>
      <c r="Q465" s="8" t="str">
        <f t="shared" si="16"/>
        <v/>
      </c>
      <c r="R465" s="8" t="s">
        <v>1727</v>
      </c>
      <c r="S465" s="8" t="s">
        <v>1727</v>
      </c>
      <c r="T465" s="8"/>
      <c r="U465" s="8"/>
      <c r="V465" s="8" t="s">
        <v>1730</v>
      </c>
      <c r="W465" s="8" t="s">
        <v>1730</v>
      </c>
      <c r="X465" s="8"/>
      <c r="Y465" s="8"/>
      <c r="Z465" s="18">
        <f t="shared" si="15"/>
        <v>2</v>
      </c>
      <c r="AA465" s="8"/>
      <c r="AB465" s="7"/>
      <c r="AC465" s="7"/>
      <c r="AD465" s="8" t="s">
        <v>1721</v>
      </c>
      <c r="AE465" s="8" t="s">
        <v>1727</v>
      </c>
      <c r="AF465" s="8" t="s">
        <v>1727</v>
      </c>
      <c r="AG465" s="8"/>
      <c r="AH465" s="47"/>
      <c r="AI465" s="47">
        <f>VLOOKUP(B465,'Components Usage'!A$2:C$603,3,FALSE)</f>
        <v>0</v>
      </c>
      <c r="AJ465" s="28" t="s">
        <v>2401</v>
      </c>
    </row>
    <row r="466" spans="1:36" hidden="1" x14ac:dyDescent="0.25">
      <c r="A466" s="16" t="str">
        <f>'Components Data Source'!A466</f>
        <v>GLCD (SSD1305)</v>
      </c>
      <c r="B466" s="8" t="str">
        <f>'Components Data Source'!B466</f>
        <v>5ED21FC4-3979-4825-8C8E-95944D1101D9</v>
      </c>
      <c r="C466" s="8" t="str">
        <f>'Components Data Source'!C466</f>
        <v>gLCD_SSD1305.fcpx</v>
      </c>
      <c r="D466" s="8" t="str">
        <f>'Components Data Source'!D466</f>
        <v>Components\IO_Source\displays\glcd_SSD1305.fcfx</v>
      </c>
      <c r="E466" s="8" t="str">
        <f>'Components Data Source'!E466</f>
        <v>DISPLAYS</v>
      </c>
      <c r="F466" s="8" t="str">
        <f>'Components Data Source'!F466</f>
        <v>GRAPHICAL MONOCHROME</v>
      </c>
      <c r="G466" s="8">
        <f>'Components Data Source'!G466</f>
        <v>0</v>
      </c>
      <c r="H466" s="8">
        <f>'Components Data Source'!H466</f>
        <v>0</v>
      </c>
      <c r="I466" s="8">
        <f>'Components Data Source'!I466</f>
        <v>0</v>
      </c>
      <c r="J466" s="8">
        <f>'Components Data Source'!J466</f>
        <v>1</v>
      </c>
      <c r="K466" s="8">
        <f>'Components Data Source'!K466</f>
        <v>1</v>
      </c>
      <c r="L466" s="8">
        <f>'Components Data Source'!L466</f>
        <v>0</v>
      </c>
      <c r="M466" s="8" t="s">
        <v>1727</v>
      </c>
      <c r="N466" s="17" t="str">
        <f>HYPERLINK('Components Data Source'!M466)</f>
        <v>https://www.flowcode.co.uk/wiki/index.php?title=Component:_ID_5ed21fc4_3979_4825_8c8e_95944d1101d9</v>
      </c>
      <c r="O466" s="8" t="s">
        <v>1721</v>
      </c>
      <c r="P466" s="8"/>
      <c r="Q466" s="8" t="str">
        <f t="shared" si="16"/>
        <v/>
      </c>
      <c r="R466" s="8" t="s">
        <v>1727</v>
      </c>
      <c r="S466" s="8" t="s">
        <v>1727</v>
      </c>
      <c r="T466" s="8"/>
      <c r="U466" s="8"/>
      <c r="V466" s="8" t="s">
        <v>1730</v>
      </c>
      <c r="W466" s="8" t="s">
        <v>1730</v>
      </c>
      <c r="X466" s="8"/>
      <c r="Y466" s="8"/>
      <c r="Z466" s="18">
        <f t="shared" si="15"/>
        <v>2</v>
      </c>
      <c r="AA466" s="8"/>
      <c r="AB466" s="7"/>
      <c r="AC466" s="7"/>
      <c r="AD466" s="8" t="s">
        <v>1721</v>
      </c>
      <c r="AE466" s="8" t="s">
        <v>1727</v>
      </c>
      <c r="AF466" s="8" t="s">
        <v>1727</v>
      </c>
      <c r="AG466" s="8"/>
      <c r="AH466" s="47"/>
      <c r="AI466" s="47">
        <f>VLOOKUP(B466,'Components Usage'!A$2:C$603,3,FALSE)</f>
        <v>1</v>
      </c>
      <c r="AJ466" s="28" t="s">
        <v>2401</v>
      </c>
    </row>
    <row r="467" spans="1:36" hidden="1" x14ac:dyDescent="0.25">
      <c r="A467" s="16" t="str">
        <f>'Components Data Source'!A467</f>
        <v>GLCD (SSD1305) Buffered</v>
      </c>
      <c r="B467" s="8" t="str">
        <f>'Components Data Source'!B467</f>
        <v>8FCCB5EB-1664-4DD5-9D2E-5C62294A7151</v>
      </c>
      <c r="C467" s="8" t="str">
        <f>'Components Data Source'!C467</f>
        <v>gLCD_SSD1305_buffered.fcpx</v>
      </c>
      <c r="D467" s="8" t="str">
        <f>'Components Data Source'!D467</f>
        <v>Components\IO_Source\displays\glcd_SSD1305_buffered.fcfx</v>
      </c>
      <c r="E467" s="8" t="str">
        <f>'Components Data Source'!E467</f>
        <v>DISPLAYS</v>
      </c>
      <c r="F467" s="8" t="str">
        <f>'Components Data Source'!F467</f>
        <v>GRAPHICAL MONOCHROME</v>
      </c>
      <c r="G467" s="8">
        <f>'Components Data Source'!G467</f>
        <v>0</v>
      </c>
      <c r="H467" s="8">
        <f>'Components Data Source'!H467</f>
        <v>0</v>
      </c>
      <c r="I467" s="8">
        <f>'Components Data Source'!I467</f>
        <v>0</v>
      </c>
      <c r="J467" s="8">
        <f>'Components Data Source'!J467</f>
        <v>1</v>
      </c>
      <c r="K467" s="8">
        <f>'Components Data Source'!K467</f>
        <v>1</v>
      </c>
      <c r="L467" s="8">
        <f>'Components Data Source'!L467</f>
        <v>0</v>
      </c>
      <c r="M467" s="8" t="s">
        <v>1727</v>
      </c>
      <c r="N467" s="17" t="str">
        <f>HYPERLINK('Components Data Source'!M467)</f>
        <v>https://www.flowcode.co.uk/wiki/index.php?title=Component:_ID_8fccb5eb_1664_4dd5_9d2e_5c62294a7151</v>
      </c>
      <c r="O467" s="8" t="s">
        <v>1721</v>
      </c>
      <c r="P467" s="8"/>
      <c r="Q467" s="8" t="str">
        <f t="shared" si="16"/>
        <v/>
      </c>
      <c r="R467" s="8" t="s">
        <v>1727</v>
      </c>
      <c r="S467" s="8" t="s">
        <v>1727</v>
      </c>
      <c r="T467" s="8"/>
      <c r="U467" s="8"/>
      <c r="V467" s="8" t="s">
        <v>1730</v>
      </c>
      <c r="W467" s="8" t="s">
        <v>1730</v>
      </c>
      <c r="X467" s="8"/>
      <c r="Y467" s="8"/>
      <c r="Z467" s="18">
        <f t="shared" si="15"/>
        <v>2</v>
      </c>
      <c r="AA467" s="8"/>
      <c r="AB467" s="7"/>
      <c r="AC467" s="7"/>
      <c r="AD467" s="8" t="s">
        <v>1721</v>
      </c>
      <c r="AE467" s="8" t="s">
        <v>1727</v>
      </c>
      <c r="AF467" s="8" t="s">
        <v>1727</v>
      </c>
      <c r="AG467" s="8"/>
      <c r="AH467" s="47"/>
      <c r="AI467" s="47">
        <f>VLOOKUP(B467,'Components Usage'!A$2:C$603,3,FALSE)</f>
        <v>0</v>
      </c>
      <c r="AJ467" s="28" t="s">
        <v>2401</v>
      </c>
    </row>
    <row r="468" spans="1:36" hidden="1" x14ac:dyDescent="0.25">
      <c r="A468" s="16" t="str">
        <f>'Components Data Source'!A468</f>
        <v>GLCD (SSD1306)</v>
      </c>
      <c r="B468" s="8" t="str">
        <f>'Components Data Source'!B468</f>
        <v>7B1EF6F5-5C39-4B7F-9FAF-EED122FF2B3E</v>
      </c>
      <c r="C468" s="8" t="str">
        <f>'Components Data Source'!C468</f>
        <v>gLCD_SSD1306.fcpx</v>
      </c>
      <c r="D468" s="8" t="str">
        <f>'Components Data Source'!D468</f>
        <v>Components\IO_Source\displays\glcd_SSD1306.fcfx</v>
      </c>
      <c r="E468" s="8" t="str">
        <f>'Components Data Source'!E468</f>
        <v>DISPLAYS</v>
      </c>
      <c r="F468" s="8" t="str">
        <f>'Components Data Source'!F468</f>
        <v>GRAPHICAL MONOCHROME</v>
      </c>
      <c r="G468" s="8">
        <f>'Components Data Source'!G468</f>
        <v>0</v>
      </c>
      <c r="H468" s="8">
        <f>'Components Data Source'!H468</f>
        <v>0</v>
      </c>
      <c r="I468" s="8">
        <f>'Components Data Source'!I468</f>
        <v>0</v>
      </c>
      <c r="J468" s="8">
        <f>'Components Data Source'!J468</f>
        <v>1</v>
      </c>
      <c r="K468" s="8">
        <f>'Components Data Source'!K468</f>
        <v>1</v>
      </c>
      <c r="L468" s="8">
        <f>'Components Data Source'!L468</f>
        <v>0</v>
      </c>
      <c r="M468" s="8" t="s">
        <v>1727</v>
      </c>
      <c r="N468" s="17" t="str">
        <f>HYPERLINK('Components Data Source'!M468)</f>
        <v>https://www.flowcode.co.uk/wiki/index.php?title=Component:_ID_7b1ef6f5_5c39_4b7f_9faf_eed122ff2b3e</v>
      </c>
      <c r="O468" s="8" t="s">
        <v>1721</v>
      </c>
      <c r="P468" s="8"/>
      <c r="Q468" s="8" t="str">
        <f t="shared" si="16"/>
        <v/>
      </c>
      <c r="R468" s="8" t="s">
        <v>1727</v>
      </c>
      <c r="S468" s="8" t="s">
        <v>1727</v>
      </c>
      <c r="T468" s="8"/>
      <c r="U468" s="8"/>
      <c r="V468" s="8" t="s">
        <v>1730</v>
      </c>
      <c r="W468" s="8" t="s">
        <v>1730</v>
      </c>
      <c r="X468" s="8"/>
      <c r="Y468" s="8"/>
      <c r="Z468" s="18">
        <f t="shared" si="15"/>
        <v>2</v>
      </c>
      <c r="AA468" s="8"/>
      <c r="AB468" s="7"/>
      <c r="AC468" s="7"/>
      <c r="AD468" s="8" t="s">
        <v>1721</v>
      </c>
      <c r="AE468" s="8" t="s">
        <v>1727</v>
      </c>
      <c r="AF468" s="8" t="s">
        <v>1727</v>
      </c>
      <c r="AG468" s="8"/>
      <c r="AH468" s="47"/>
      <c r="AI468" s="47">
        <f>VLOOKUP(B468,'Components Usage'!A$2:C$603,3,FALSE)</f>
        <v>1</v>
      </c>
      <c r="AJ468" s="28" t="s">
        <v>2401</v>
      </c>
    </row>
    <row r="469" spans="1:36" x14ac:dyDescent="0.25">
      <c r="A469" s="16" t="str">
        <f>'Components Data Source'!A469</f>
        <v>GLCD (SSD1306) SPI</v>
      </c>
      <c r="B469" s="8" t="str">
        <f>'Components Data Source'!B469</f>
        <v>4CE64477-FD81-4ED6-BA31-176465949FD0</v>
      </c>
      <c r="C469" s="8" t="str">
        <f>'Components Data Source'!C469</f>
        <v>gLCD_SSD1306_SPI.fcpx</v>
      </c>
      <c r="D469" s="8" t="str">
        <f>'Components Data Source'!D469</f>
        <v>Components\IO_Source\displays\glcd_SSD1306_SPI_Mx.fcfx</v>
      </c>
      <c r="E469" s="8" t="str">
        <f>'Components Data Source'!E469</f>
        <v>FREE</v>
      </c>
      <c r="F469" s="8" t="str">
        <f>'Components Data Source'!F469</f>
        <v>GRAPHICAL MONOCHROME</v>
      </c>
      <c r="G469" s="8">
        <f>'Components Data Source'!G469</f>
        <v>0</v>
      </c>
      <c r="H469" s="8">
        <f>'Components Data Source'!H469</f>
        <v>0</v>
      </c>
      <c r="I469" s="8">
        <f>'Components Data Source'!I469</f>
        <v>0</v>
      </c>
      <c r="J469" s="8">
        <f>'Components Data Source'!J469</f>
        <v>1</v>
      </c>
      <c r="K469" s="8">
        <f>'Components Data Source'!K469</f>
        <v>1</v>
      </c>
      <c r="L469" s="8">
        <f>'Components Data Source'!L469</f>
        <v>0</v>
      </c>
      <c r="M469" s="8" t="s">
        <v>1727</v>
      </c>
      <c r="N469" s="17" t="str">
        <f>HYPERLINK('Components Data Source'!M469)</f>
        <v>https://www.flowcode.co.uk/wiki/index.php?title=Component:_ID_4ce64477_fd81_4ed6_ba31_176465949fd0</v>
      </c>
      <c r="O469" s="8" t="s">
        <v>2590</v>
      </c>
      <c r="P469" s="8" t="s">
        <v>2922</v>
      </c>
      <c r="Q469" s="8" t="str">
        <f t="shared" si="16"/>
        <v/>
      </c>
      <c r="R469" s="8" t="s">
        <v>1727</v>
      </c>
      <c r="S469" s="8" t="s">
        <v>1727</v>
      </c>
      <c r="T469" s="8"/>
      <c r="U469" s="8"/>
      <c r="V469" s="8" t="s">
        <v>1730</v>
      </c>
      <c r="W469" s="8" t="s">
        <v>1730</v>
      </c>
      <c r="X469" s="8"/>
      <c r="Y469" s="8"/>
      <c r="Z469" s="18">
        <f t="shared" si="15"/>
        <v>2</v>
      </c>
      <c r="AA469" s="8"/>
      <c r="AB469" s="7"/>
      <c r="AC469" s="7"/>
      <c r="AD469" s="8" t="s">
        <v>1721</v>
      </c>
      <c r="AE469" s="8" t="s">
        <v>1727</v>
      </c>
      <c r="AF469" s="8" t="s">
        <v>2401</v>
      </c>
      <c r="AG469" s="8"/>
      <c r="AH469" s="47"/>
      <c r="AI469" s="47">
        <f>VLOOKUP(B469,'Components Usage'!A$2:C$603,3,FALSE)</f>
        <v>7</v>
      </c>
      <c r="AJ469" s="28" t="s">
        <v>2401</v>
      </c>
    </row>
    <row r="470" spans="1:36" hidden="1" x14ac:dyDescent="0.25">
      <c r="A470" s="16" t="str">
        <f>'Components Data Source'!A470</f>
        <v>GLCD (SSD1306) Buffered</v>
      </c>
      <c r="B470" s="8" t="str">
        <f>'Components Data Source'!B470</f>
        <v>9E067700-36D1-4697-A165-9E8D60B45399</v>
      </c>
      <c r="C470" s="8" t="str">
        <f>'Components Data Source'!C470</f>
        <v>gLCD_SSD1306_buffered.fcpx</v>
      </c>
      <c r="D470" s="8" t="str">
        <f>'Components Data Source'!D470</f>
        <v>Components\IO_Source\displays\glcd_SSD1306_buffered.fcfx</v>
      </c>
      <c r="E470" s="8" t="str">
        <f>'Components Data Source'!E470</f>
        <v>DISPLAYS</v>
      </c>
      <c r="F470" s="8" t="str">
        <f>'Components Data Source'!F470</f>
        <v>GRAPHICAL MONOCHROME</v>
      </c>
      <c r="G470" s="8">
        <f>'Components Data Source'!G470</f>
        <v>0</v>
      </c>
      <c r="H470" s="8">
        <f>'Components Data Source'!H470</f>
        <v>0</v>
      </c>
      <c r="I470" s="8">
        <f>'Components Data Source'!I470</f>
        <v>0</v>
      </c>
      <c r="J470" s="8">
        <f>'Components Data Source'!J470</f>
        <v>1</v>
      </c>
      <c r="K470" s="8">
        <f>'Components Data Source'!K470</f>
        <v>1</v>
      </c>
      <c r="L470" s="8">
        <f>'Components Data Source'!L470</f>
        <v>0</v>
      </c>
      <c r="M470" s="8" t="s">
        <v>1727</v>
      </c>
      <c r="N470" s="17" t="str">
        <f>HYPERLINK('Components Data Source'!M470)</f>
        <v>https://www.flowcode.co.uk/wiki/index.php?title=Component:_ID_9e067700_36d1_4697_a165_9e8d60b45399</v>
      </c>
      <c r="O470" s="8" t="s">
        <v>1721</v>
      </c>
      <c r="P470" s="8"/>
      <c r="Q470" s="8" t="str">
        <f t="shared" si="16"/>
        <v/>
      </c>
      <c r="R470" s="8" t="s">
        <v>1727</v>
      </c>
      <c r="S470" s="8" t="s">
        <v>1727</v>
      </c>
      <c r="T470" s="8"/>
      <c r="U470" s="8"/>
      <c r="V470" s="8" t="s">
        <v>1730</v>
      </c>
      <c r="W470" s="8" t="s">
        <v>1730</v>
      </c>
      <c r="X470" s="8"/>
      <c r="Y470" s="8"/>
      <c r="Z470" s="18">
        <f t="shared" si="15"/>
        <v>2</v>
      </c>
      <c r="AA470" s="8"/>
      <c r="AB470" s="7"/>
      <c r="AC470" s="7"/>
      <c r="AD470" s="8" t="s">
        <v>1721</v>
      </c>
      <c r="AE470" s="8" t="s">
        <v>1727</v>
      </c>
      <c r="AF470" s="8" t="s">
        <v>1727</v>
      </c>
      <c r="AG470" s="8"/>
      <c r="AH470" s="47"/>
      <c r="AI470" s="47">
        <f>VLOOKUP(B470,'Components Usage'!A$2:C$603,3,FALSE)</f>
        <v>5</v>
      </c>
      <c r="AJ470" s="28" t="s">
        <v>2401</v>
      </c>
    </row>
    <row r="471" spans="1:36" hidden="1" x14ac:dyDescent="0.25">
      <c r="A471" s="16" t="str">
        <f>'Components Data Source'!A471</f>
        <v>GLCD (SSD1306) I2C</v>
      </c>
      <c r="B471" s="8" t="str">
        <f>'Components Data Source'!B471</f>
        <v>F6AB6074-68BA-4CD4-9274-F973102F8518</v>
      </c>
      <c r="C471" s="8" t="str">
        <f>'Components Data Source'!C471</f>
        <v>gLCD_SSD1306_i2c.fcpx</v>
      </c>
      <c r="D471" s="8" t="str">
        <f>'Components Data Source'!D471</f>
        <v>Components\IO_Source\displays\glcd_SSD1306_I2C.fcfx</v>
      </c>
      <c r="E471" s="8" t="str">
        <f>'Components Data Source'!E471</f>
        <v>DISPLAYS</v>
      </c>
      <c r="F471" s="8" t="str">
        <f>'Components Data Source'!F471</f>
        <v>GRAPHICAL MONOCHROME</v>
      </c>
      <c r="G471" s="8">
        <f>'Components Data Source'!G471</f>
        <v>0</v>
      </c>
      <c r="H471" s="8">
        <f>'Components Data Source'!H471</f>
        <v>0</v>
      </c>
      <c r="I471" s="8" t="str">
        <f>'Components Data Source'!I471</f>
        <v xml:space="preserve">I2C </v>
      </c>
      <c r="J471" s="8">
        <f>'Components Data Source'!J471</f>
        <v>1</v>
      </c>
      <c r="K471" s="8">
        <f>'Components Data Source'!K471</f>
        <v>1</v>
      </c>
      <c r="L471" s="8">
        <f>'Components Data Source'!L471</f>
        <v>0</v>
      </c>
      <c r="M471" s="8" t="s">
        <v>1727</v>
      </c>
      <c r="N471" s="17" t="str">
        <f>HYPERLINK('Components Data Source'!M471)</f>
        <v>https://www.flowcode.co.uk/wiki/index.php?title=Component:_ID_f6ab6074_68ba_4cd4_9274_f973102f8518</v>
      </c>
      <c r="O471" s="8" t="s">
        <v>1721</v>
      </c>
      <c r="P471" s="8"/>
      <c r="Q471" s="8" t="str">
        <f t="shared" si="16"/>
        <v/>
      </c>
      <c r="R471" s="8" t="s">
        <v>1727</v>
      </c>
      <c r="S471" s="8" t="s">
        <v>1727</v>
      </c>
      <c r="T471" s="8"/>
      <c r="U471" s="8"/>
      <c r="V471" s="8" t="s">
        <v>1730</v>
      </c>
      <c r="W471" s="8" t="s">
        <v>1730</v>
      </c>
      <c r="X471" s="8"/>
      <c r="Y471" s="8"/>
      <c r="Z471" s="18">
        <f t="shared" si="15"/>
        <v>2</v>
      </c>
      <c r="AA471" s="8"/>
      <c r="AB471" s="7"/>
      <c r="AC471" s="7"/>
      <c r="AD471" s="8" t="s">
        <v>1721</v>
      </c>
      <c r="AE471" s="8" t="s">
        <v>1727</v>
      </c>
      <c r="AF471" s="8" t="s">
        <v>1727</v>
      </c>
      <c r="AG471" s="8" t="s">
        <v>1727</v>
      </c>
      <c r="AH471" s="47"/>
      <c r="AI471" s="47">
        <f>VLOOKUP(B471,'Components Usage'!A$2:C$603,3,FALSE)</f>
        <v>98</v>
      </c>
      <c r="AJ471" s="28" t="s">
        <v>2401</v>
      </c>
    </row>
    <row r="472" spans="1:36" hidden="1" x14ac:dyDescent="0.25">
      <c r="A472" s="16" t="str">
        <f>'Components Data Source'!A472</f>
        <v>GLCD (SSD1322) Parallel</v>
      </c>
      <c r="B472" s="8" t="str">
        <f>'Components Data Source'!B472</f>
        <v>DBA19EA1-EFE2-46E4-90BE-18EE41930D1E</v>
      </c>
      <c r="C472" s="8" t="str">
        <f>'Components Data Source'!C472</f>
        <v>gLCD_SSD1322.fcpx</v>
      </c>
      <c r="D472" s="8" t="str">
        <f>'Components Data Source'!D472</f>
        <v>Components\IO_Source\displays\glcd_SSD1322.fcfx</v>
      </c>
      <c r="E472" s="8" t="str">
        <f>'Components Data Source'!E472</f>
        <v>DISPLAYS</v>
      </c>
      <c r="F472" s="8" t="str">
        <f>'Components Data Source'!F472</f>
        <v>GRAPHICAL MONOCHROME</v>
      </c>
      <c r="G472" s="8">
        <f>'Components Data Source'!G472</f>
        <v>0</v>
      </c>
      <c r="H472" s="8">
        <f>'Components Data Source'!H472</f>
        <v>0</v>
      </c>
      <c r="I472" s="8">
        <f>'Components Data Source'!I472</f>
        <v>0</v>
      </c>
      <c r="J472" s="8">
        <f>'Components Data Source'!J472</f>
        <v>1</v>
      </c>
      <c r="K472" s="8">
        <f>'Components Data Source'!K472</f>
        <v>1</v>
      </c>
      <c r="L472" s="8">
        <f>'Components Data Source'!L472</f>
        <v>0</v>
      </c>
      <c r="M472" s="8" t="s">
        <v>1727</v>
      </c>
      <c r="N472" s="17" t="str">
        <f>HYPERLINK('Components Data Source'!M472)</f>
        <v>https://www.flowcode.co.uk/wiki/index.php?title=Component:_ID_dba19ea1_efe2_46e4_90be_18ee41930d1e</v>
      </c>
      <c r="O472" s="8" t="s">
        <v>1721</v>
      </c>
      <c r="P472" s="8"/>
      <c r="Q472" s="8" t="str">
        <f t="shared" si="16"/>
        <v/>
      </c>
      <c r="R472" s="8" t="s">
        <v>1727</v>
      </c>
      <c r="S472" s="8" t="s">
        <v>1727</v>
      </c>
      <c r="T472" s="8"/>
      <c r="U472" s="8"/>
      <c r="V472" s="8" t="s">
        <v>1730</v>
      </c>
      <c r="W472" s="8" t="s">
        <v>1730</v>
      </c>
      <c r="X472" s="8"/>
      <c r="Y472" s="8"/>
      <c r="Z472" s="18">
        <f t="shared" si="15"/>
        <v>2</v>
      </c>
      <c r="AA472" s="8"/>
      <c r="AB472" s="7"/>
      <c r="AC472" s="7"/>
      <c r="AD472" s="8" t="s">
        <v>1721</v>
      </c>
      <c r="AE472" s="8" t="s">
        <v>1727</v>
      </c>
      <c r="AF472" s="8" t="s">
        <v>1727</v>
      </c>
      <c r="AG472" s="8"/>
      <c r="AH472" s="47"/>
      <c r="AI472" s="47">
        <f>VLOOKUP(B472,'Components Usage'!A$2:C$603,3,FALSE)</f>
        <v>1</v>
      </c>
      <c r="AJ472" s="28" t="s">
        <v>2401</v>
      </c>
    </row>
    <row r="473" spans="1:36" hidden="1" x14ac:dyDescent="0.25">
      <c r="A473" s="16" t="str">
        <f>'Components Data Source'!A473</f>
        <v>GLCD (SSD1322) Buffered</v>
      </c>
      <c r="B473" s="8" t="str">
        <f>'Components Data Source'!B473</f>
        <v>F0F2F410-3216-4A3F-A2DC-DB35F4A2821D</v>
      </c>
      <c r="C473" s="8" t="str">
        <f>'Components Data Source'!C473</f>
        <v>gLCD_SSD1322_buffered.fcpx</v>
      </c>
      <c r="D473" s="8" t="str">
        <f>'Components Data Source'!D473</f>
        <v>Components\IO_Source\displays\glcd_SSD1322_buffered.fcfx</v>
      </c>
      <c r="E473" s="8" t="str">
        <f>'Components Data Source'!E473</f>
        <v>DISPLAYS</v>
      </c>
      <c r="F473" s="8" t="str">
        <f>'Components Data Source'!F473</f>
        <v>GRAPHICAL MONOCHROME</v>
      </c>
      <c r="G473" s="8">
        <f>'Components Data Source'!G473</f>
        <v>0</v>
      </c>
      <c r="H473" s="8">
        <f>'Components Data Source'!H473</f>
        <v>0</v>
      </c>
      <c r="I473" s="8">
        <f>'Components Data Source'!I473</f>
        <v>0</v>
      </c>
      <c r="J473" s="8">
        <f>'Components Data Source'!J473</f>
        <v>1</v>
      </c>
      <c r="K473" s="8">
        <f>'Components Data Source'!K473</f>
        <v>1</v>
      </c>
      <c r="L473" s="8">
        <f>'Components Data Source'!L473</f>
        <v>0</v>
      </c>
      <c r="M473" s="8" t="s">
        <v>1727</v>
      </c>
      <c r="N473" s="17" t="str">
        <f>HYPERLINK('Components Data Source'!M473)</f>
        <v>https://www.flowcode.co.uk/wiki/index.php?title=Component:_ID_f0f2f410_3216_4a3f_a2dc_db35f4a2821d</v>
      </c>
      <c r="O473" s="8" t="s">
        <v>1721</v>
      </c>
      <c r="P473" s="8"/>
      <c r="Q473" s="8" t="str">
        <f t="shared" si="16"/>
        <v/>
      </c>
      <c r="R473" s="8" t="s">
        <v>1727</v>
      </c>
      <c r="S473" s="8" t="s">
        <v>1727</v>
      </c>
      <c r="T473" s="8"/>
      <c r="U473" s="8"/>
      <c r="V473" s="8" t="s">
        <v>1730</v>
      </c>
      <c r="W473" s="8" t="s">
        <v>1730</v>
      </c>
      <c r="X473" s="8"/>
      <c r="Y473" s="8"/>
      <c r="Z473" s="18">
        <f t="shared" si="15"/>
        <v>2</v>
      </c>
      <c r="AA473" s="8"/>
      <c r="AB473" s="7"/>
      <c r="AC473" s="7"/>
      <c r="AD473" s="8" t="s">
        <v>1721</v>
      </c>
      <c r="AE473" s="8" t="s">
        <v>1727</v>
      </c>
      <c r="AF473" s="8" t="s">
        <v>1727</v>
      </c>
      <c r="AG473" s="8"/>
      <c r="AH473" s="47"/>
      <c r="AI473" s="47">
        <f>VLOOKUP(B473,'Components Usage'!A$2:C$603,3,FALSE)</f>
        <v>0</v>
      </c>
      <c r="AJ473" s="28" t="s">
        <v>2401</v>
      </c>
    </row>
    <row r="474" spans="1:36" hidden="1" x14ac:dyDescent="0.25">
      <c r="A474" s="16" t="str">
        <f>'Components Data Source'!A474</f>
        <v>GLCD (SSD1327) I2C</v>
      </c>
      <c r="B474" s="8" t="str">
        <f>'Components Data Source'!B474</f>
        <v>6548A7DA-7E0B-4D45-AD92-F61BF5713442</v>
      </c>
      <c r="C474" s="8" t="str">
        <f>'Components Data Source'!C474</f>
        <v>gLCD_SSD1327_i2c.fcpx</v>
      </c>
      <c r="D474" s="8" t="str">
        <f>'Components Data Source'!D474</f>
        <v>Components\IO_Source\displays\glcd_SSD1327_I2C.fcfx</v>
      </c>
      <c r="E474" s="8" t="str">
        <f>'Components Data Source'!E474</f>
        <v>DISPLAYS</v>
      </c>
      <c r="F474" s="8" t="str">
        <f>'Components Data Source'!F474</f>
        <v>GRAPHICAL MONOCHROME</v>
      </c>
      <c r="G474" s="8">
        <f>'Components Data Source'!G474</f>
        <v>0</v>
      </c>
      <c r="H474" s="8">
        <f>'Components Data Source'!H474</f>
        <v>0</v>
      </c>
      <c r="I474" s="8" t="str">
        <f>'Components Data Source'!I474</f>
        <v xml:space="preserve">I2C </v>
      </c>
      <c r="J474" s="8">
        <f>'Components Data Source'!J474</f>
        <v>1</v>
      </c>
      <c r="K474" s="8">
        <f>'Components Data Source'!K474</f>
        <v>1</v>
      </c>
      <c r="L474" s="8">
        <f>'Components Data Source'!L474</f>
        <v>0</v>
      </c>
      <c r="M474" s="8" t="s">
        <v>1727</v>
      </c>
      <c r="N474" s="17" t="str">
        <f>HYPERLINK('Components Data Source'!M474)</f>
        <v>https://www.flowcode.co.uk/wiki/index.php?title=Component:_ID_6548a7da_7e0b_4d45_ad92_f61bf5713442</v>
      </c>
      <c r="O474" s="8" t="s">
        <v>1721</v>
      </c>
      <c r="P474" s="8"/>
      <c r="Q474" s="8" t="str">
        <f t="shared" si="16"/>
        <v/>
      </c>
      <c r="R474" s="8" t="s">
        <v>1727</v>
      </c>
      <c r="S474" s="8" t="s">
        <v>1727</v>
      </c>
      <c r="T474" s="8"/>
      <c r="U474" s="8"/>
      <c r="V474" s="8" t="s">
        <v>1730</v>
      </c>
      <c r="W474" s="8" t="s">
        <v>1730</v>
      </c>
      <c r="X474" s="8"/>
      <c r="Y474" s="8"/>
      <c r="Z474" s="18">
        <f t="shared" si="15"/>
        <v>2</v>
      </c>
      <c r="AA474" s="8"/>
      <c r="AB474" s="7"/>
      <c r="AC474" s="7"/>
      <c r="AD474" s="8" t="s">
        <v>1727</v>
      </c>
      <c r="AE474" s="8"/>
      <c r="AF474" s="8"/>
      <c r="AG474" s="8"/>
      <c r="AH474" s="47"/>
      <c r="AI474" s="47">
        <f>VLOOKUP(B474,'Components Usage'!A$2:C$603,3,FALSE)</f>
        <v>1</v>
      </c>
      <c r="AJ474" s="28"/>
    </row>
    <row r="475" spans="1:36" hidden="1" x14ac:dyDescent="0.25">
      <c r="A475" s="16" t="str">
        <f>'Components Data Source'!A475</f>
        <v>GLCD (SSD1331)</v>
      </c>
      <c r="B475" s="8" t="str">
        <f>'Components Data Source'!B475</f>
        <v>E635704B-9D69-466C-BE7F-A03543F011A6</v>
      </c>
      <c r="C475" s="8" t="str">
        <f>'Components Data Source'!C475</f>
        <v>gLCD_SSD1331.fcpx</v>
      </c>
      <c r="D475" s="8" t="str">
        <f>'Components Data Source'!D475</f>
        <v>Components\IO_Source\displays\glcd_SSD1331.fcfx</v>
      </c>
      <c r="E475" s="8" t="str">
        <f>'Components Data Source'!E475</f>
        <v>DISPLAYS</v>
      </c>
      <c r="F475" s="8" t="str">
        <f>'Components Data Source'!F475</f>
        <v>GRAPHICAL COLOR</v>
      </c>
      <c r="G475" s="8">
        <f>'Components Data Source'!G475</f>
        <v>0</v>
      </c>
      <c r="H475" s="8">
        <f>'Components Data Source'!H475</f>
        <v>0</v>
      </c>
      <c r="I475" s="8" t="str">
        <f>'Components Data Source'!I475</f>
        <v xml:space="preserve">SPI </v>
      </c>
      <c r="J475" s="8">
        <f>'Components Data Source'!J475</f>
        <v>1</v>
      </c>
      <c r="K475" s="8">
        <f>'Components Data Source'!K475</f>
        <v>1</v>
      </c>
      <c r="L475" s="8">
        <f>'Components Data Source'!L475</f>
        <v>0</v>
      </c>
      <c r="M475" s="8" t="s">
        <v>1727</v>
      </c>
      <c r="N475" s="17" t="str">
        <f>HYPERLINK('Components Data Source'!M475)</f>
        <v>https://www.flowcode.co.uk/wiki/index.php?title=Component:_ID_e635704b_9d69_466c_be7f_a03543f011a6</v>
      </c>
      <c r="O475" s="8" t="s">
        <v>1721</v>
      </c>
      <c r="P475" s="8"/>
      <c r="Q475" s="8" t="str">
        <f t="shared" si="16"/>
        <v/>
      </c>
      <c r="R475" s="8" t="s">
        <v>1727</v>
      </c>
      <c r="S475" s="8" t="s">
        <v>1727</v>
      </c>
      <c r="T475" s="8"/>
      <c r="U475" s="8"/>
      <c r="V475" s="8" t="s">
        <v>1730</v>
      </c>
      <c r="W475" s="8" t="s">
        <v>1730</v>
      </c>
      <c r="X475" s="8"/>
      <c r="Y475" s="8"/>
      <c r="Z475" s="18">
        <f t="shared" si="15"/>
        <v>2</v>
      </c>
      <c r="AA475" s="8"/>
      <c r="AB475" s="7"/>
      <c r="AC475" s="7"/>
      <c r="AD475" s="8" t="s">
        <v>1721</v>
      </c>
      <c r="AE475" s="8" t="s">
        <v>1727</v>
      </c>
      <c r="AF475" s="8" t="s">
        <v>1727</v>
      </c>
      <c r="AG475" s="8"/>
      <c r="AH475" s="47"/>
      <c r="AI475" s="47">
        <f>VLOOKUP(B475,'Components Usage'!A$2:C$603,3,FALSE)</f>
        <v>1</v>
      </c>
      <c r="AJ475" s="28" t="s">
        <v>2401</v>
      </c>
    </row>
    <row r="476" spans="1:36" hidden="1" x14ac:dyDescent="0.25">
      <c r="A476" s="16" t="str">
        <f>'Components Data Source'!A476</f>
        <v>GLCD (SSD1351)</v>
      </c>
      <c r="B476" s="8" t="str">
        <f>'Components Data Source'!B476</f>
        <v>FD1A193B-149F-4BA8-B1CE-CE39CA863975</v>
      </c>
      <c r="C476" s="8" t="str">
        <f>'Components Data Source'!C476</f>
        <v>gLCD_SSD1351.fcpx</v>
      </c>
      <c r="D476" s="8" t="str">
        <f>'Components Data Source'!D476</f>
        <v>Components\IO_Source\displays\glcd_SSD1351.fcfx</v>
      </c>
      <c r="E476" s="8" t="str">
        <f>'Components Data Source'!E476</f>
        <v>DISPLAYS</v>
      </c>
      <c r="F476" s="8" t="str">
        <f>'Components Data Source'!F476</f>
        <v>GRAPHICAL COLOR</v>
      </c>
      <c r="G476" s="8">
        <f>'Components Data Source'!G476</f>
        <v>0</v>
      </c>
      <c r="H476" s="8">
        <f>'Components Data Source'!H476</f>
        <v>0</v>
      </c>
      <c r="I476" s="8">
        <f>'Components Data Source'!I476</f>
        <v>0</v>
      </c>
      <c r="J476" s="8">
        <f>'Components Data Source'!J476</f>
        <v>1</v>
      </c>
      <c r="K476" s="8">
        <f>'Components Data Source'!K476</f>
        <v>1</v>
      </c>
      <c r="L476" s="8">
        <f>'Components Data Source'!L476</f>
        <v>0</v>
      </c>
      <c r="M476" s="8" t="s">
        <v>1727</v>
      </c>
      <c r="N476" s="17" t="str">
        <f>HYPERLINK('Components Data Source'!M476)</f>
        <v>https://www.flowcode.co.uk/wiki/index.php?title=Component:_ID_fd1a193b_149f_4ba8_b1ce_ce39ca863975</v>
      </c>
      <c r="O476" s="8" t="s">
        <v>1721</v>
      </c>
      <c r="P476" s="8"/>
      <c r="Q476" s="8" t="str">
        <f t="shared" si="16"/>
        <v/>
      </c>
      <c r="R476" s="8" t="s">
        <v>1727</v>
      </c>
      <c r="S476" s="8" t="s">
        <v>1727</v>
      </c>
      <c r="T476" s="8"/>
      <c r="U476" s="8"/>
      <c r="V476" s="8" t="s">
        <v>1730</v>
      </c>
      <c r="W476" s="8" t="s">
        <v>1730</v>
      </c>
      <c r="X476" s="8"/>
      <c r="Y476" s="8"/>
      <c r="Z476" s="18">
        <f t="shared" si="15"/>
        <v>2</v>
      </c>
      <c r="AA476" s="8"/>
      <c r="AB476" s="7"/>
      <c r="AC476" s="7"/>
      <c r="AD476" s="8" t="s">
        <v>1721</v>
      </c>
      <c r="AE476" s="8" t="s">
        <v>1721</v>
      </c>
      <c r="AF476" s="8" t="s">
        <v>1727</v>
      </c>
      <c r="AG476" s="8"/>
      <c r="AH476" s="47"/>
      <c r="AI476" s="47">
        <f>VLOOKUP(B476,'Components Usage'!A$2:C$603,3,FALSE)</f>
        <v>1</v>
      </c>
      <c r="AJ476" s="28" t="s">
        <v>2401</v>
      </c>
    </row>
    <row r="477" spans="1:36" hidden="1" x14ac:dyDescent="0.25">
      <c r="A477" s="16" t="str">
        <f>'Components Data Source'!A477</f>
        <v>GLCD (SSD1351 SPI)</v>
      </c>
      <c r="B477" s="8" t="str">
        <f>'Components Data Source'!B477</f>
        <v>8AF7F5EC-2E7A-4080-9566-B816C24EBBFA</v>
      </c>
      <c r="C477" s="8" t="str">
        <f>'Components Data Source'!C477</f>
        <v>gLCD_SSD1351_SPI.fcpx</v>
      </c>
      <c r="D477" s="8" t="str">
        <f>'Components Data Source'!D477</f>
        <v>Components\IO_Source\displays\glcd_SSD1351_SPI.fcfx</v>
      </c>
      <c r="E477" s="8" t="str">
        <f>'Components Data Source'!E477</f>
        <v>DISPLAYS</v>
      </c>
      <c r="F477" s="8" t="str">
        <f>'Components Data Source'!F477</f>
        <v>GRAPHICAL COLOR</v>
      </c>
      <c r="G477" s="8">
        <f>'Components Data Source'!G477</f>
        <v>0</v>
      </c>
      <c r="H477" s="8">
        <f>'Components Data Source'!H477</f>
        <v>0</v>
      </c>
      <c r="I477" s="8" t="str">
        <f>'Components Data Source'!I477</f>
        <v xml:space="preserve">SPI </v>
      </c>
      <c r="J477" s="8">
        <f>'Components Data Source'!J477</f>
        <v>1</v>
      </c>
      <c r="K477" s="8">
        <f>'Components Data Source'!K477</f>
        <v>1</v>
      </c>
      <c r="L477" s="8">
        <f>'Components Data Source'!L477</f>
        <v>0</v>
      </c>
      <c r="M477" s="8" t="s">
        <v>1727</v>
      </c>
      <c r="N477" s="17" t="str">
        <f>HYPERLINK('Components Data Source'!M477)</f>
        <v>https://www.flowcode.co.uk/wiki/index.php?title=Component:_ID_8af7f5ec_2e7a_4080_9566_b816c24ebbfa</v>
      </c>
      <c r="O477" s="8" t="s">
        <v>1721</v>
      </c>
      <c r="P477" s="8"/>
      <c r="Q477" s="8" t="str">
        <f t="shared" si="16"/>
        <v/>
      </c>
      <c r="R477" s="8" t="s">
        <v>1727</v>
      </c>
      <c r="S477" s="8" t="s">
        <v>1727</v>
      </c>
      <c r="T477" s="8"/>
      <c r="U477" s="8"/>
      <c r="V477" s="8" t="s">
        <v>1730</v>
      </c>
      <c r="W477" s="8" t="s">
        <v>1730</v>
      </c>
      <c r="X477" s="8"/>
      <c r="Y477" s="8"/>
      <c r="Z477" s="18">
        <f t="shared" si="15"/>
        <v>2</v>
      </c>
      <c r="AA477" s="8"/>
      <c r="AB477" s="7"/>
      <c r="AC477" s="7"/>
      <c r="AD477" s="8" t="s">
        <v>1721</v>
      </c>
      <c r="AE477" s="8" t="s">
        <v>1727</v>
      </c>
      <c r="AF477" s="8" t="s">
        <v>1727</v>
      </c>
      <c r="AG477" s="8"/>
      <c r="AH477" s="47"/>
      <c r="AI477" s="47">
        <f>VLOOKUP(B477,'Components Usage'!A$2:C$603,3,FALSE)</f>
        <v>8</v>
      </c>
      <c r="AJ477" s="28" t="s">
        <v>2401</v>
      </c>
    </row>
    <row r="478" spans="1:36" hidden="1" x14ac:dyDescent="0.25">
      <c r="A478" s="16" t="str">
        <f>'Components Data Source'!A478</f>
        <v>GLCD (SSD1963) Parallel</v>
      </c>
      <c r="B478" s="8" t="str">
        <f>'Components Data Source'!B478</f>
        <v>9D414A42-FD9B-4AFD-9493-DBF80EECE14A</v>
      </c>
      <c r="C478" s="8" t="str">
        <f>'Components Data Source'!C478</f>
        <v>gLCD_SSD1963.fcpx</v>
      </c>
      <c r="D478" s="8" t="str">
        <f>'Components Data Source'!D478</f>
        <v>Components\IO_Source\displays\glcd_SSD1963.fcfx</v>
      </c>
      <c r="E478" s="8" t="str">
        <f>'Components Data Source'!E478</f>
        <v>DISPLAYS</v>
      </c>
      <c r="F478" s="8" t="str">
        <f>'Components Data Source'!F478</f>
        <v>GRAPHICAL COLOR</v>
      </c>
      <c r="G478" s="8">
        <f>'Components Data Source'!G478</f>
        <v>0</v>
      </c>
      <c r="H478" s="8">
        <f>'Components Data Source'!H478</f>
        <v>0</v>
      </c>
      <c r="I478" s="8">
        <f>'Components Data Source'!I478</f>
        <v>0</v>
      </c>
      <c r="J478" s="8">
        <f>'Components Data Source'!J478</f>
        <v>1</v>
      </c>
      <c r="K478" s="8">
        <f>'Components Data Source'!K478</f>
        <v>1</v>
      </c>
      <c r="L478" s="8">
        <f>'Components Data Source'!L478</f>
        <v>0</v>
      </c>
      <c r="M478" s="8" t="s">
        <v>1727</v>
      </c>
      <c r="N478" s="17" t="str">
        <f>HYPERLINK('Components Data Source'!M478)</f>
        <v>https://www.flowcode.co.uk/wiki/index.php?title=Component:_ID_9d414a42_fd9b_4afd_9493_dbf80eece14a</v>
      </c>
      <c r="O478" s="8" t="s">
        <v>2590</v>
      </c>
      <c r="P478" s="8" t="s">
        <v>2921</v>
      </c>
      <c r="Q478" s="8" t="str">
        <f t="shared" si="16"/>
        <v/>
      </c>
      <c r="R478" s="8" t="s">
        <v>1727</v>
      </c>
      <c r="S478" s="8" t="s">
        <v>1727</v>
      </c>
      <c r="T478" s="8"/>
      <c r="U478" s="8"/>
      <c r="V478" s="8" t="s">
        <v>1730</v>
      </c>
      <c r="W478" s="8" t="s">
        <v>1730</v>
      </c>
      <c r="X478" s="8"/>
      <c r="Y478" s="8"/>
      <c r="Z478" s="18">
        <f t="shared" si="15"/>
        <v>2</v>
      </c>
      <c r="AA478" s="8"/>
      <c r="AB478" s="7"/>
      <c r="AC478" s="7"/>
      <c r="AD478" s="8" t="s">
        <v>1721</v>
      </c>
      <c r="AE478" s="8" t="s">
        <v>1721</v>
      </c>
      <c r="AF478" s="8" t="s">
        <v>1727</v>
      </c>
      <c r="AG478" s="8"/>
      <c r="AH478" s="47"/>
      <c r="AI478" s="47">
        <f>VLOOKUP(B478,'Components Usage'!A$2:C$603,3,FALSE)</f>
        <v>7</v>
      </c>
      <c r="AJ478" s="28" t="s">
        <v>2401</v>
      </c>
    </row>
    <row r="479" spans="1:36" hidden="1" x14ac:dyDescent="0.25">
      <c r="A479" s="16" t="str">
        <f>'Components Data Source'!A479</f>
        <v>GLCD (ST7036) I2C</v>
      </c>
      <c r="B479" s="8" t="str">
        <f>'Components Data Source'!B479</f>
        <v>496CF2F0-4220-4F70-9219-7C67C672E36E</v>
      </c>
      <c r="C479" s="8" t="str">
        <f>'Components Data Source'!C479</f>
        <v>gLCD_ST7036_i2c.fcpx</v>
      </c>
      <c r="D479" s="8" t="str">
        <f>'Components Data Source'!D479</f>
        <v>Components\IO_Source\displays\glcd_ST7036_I2C.fcfx</v>
      </c>
      <c r="E479" s="8" t="str">
        <f>'Components Data Source'!E479</f>
        <v>DISPLAYS</v>
      </c>
      <c r="F479" s="8" t="str">
        <f>'Components Data Source'!F479</f>
        <v>GRAPHICAL MONOCHROME</v>
      </c>
      <c r="G479" s="8">
        <f>'Components Data Source'!G479</f>
        <v>0</v>
      </c>
      <c r="H479" s="8">
        <f>'Components Data Source'!H479</f>
        <v>0</v>
      </c>
      <c r="I479" s="8" t="str">
        <f>'Components Data Source'!I479</f>
        <v xml:space="preserve">I2C </v>
      </c>
      <c r="J479" s="8">
        <f>'Components Data Source'!J479</f>
        <v>1</v>
      </c>
      <c r="K479" s="8">
        <f>'Components Data Source'!K479</f>
        <v>1</v>
      </c>
      <c r="L479" s="8">
        <f>'Components Data Source'!L479</f>
        <v>0</v>
      </c>
      <c r="M479" s="8" t="s">
        <v>1727</v>
      </c>
      <c r="N479" s="17" t="str">
        <f>HYPERLINK('Components Data Source'!M479)</f>
        <v>https://www.flowcode.co.uk/wiki/index.php?title=Component:_ID_496cf2f0_4220_4f70_9219_7c67c672e36e</v>
      </c>
      <c r="O479" s="8" t="s">
        <v>1721</v>
      </c>
      <c r="P479" s="8"/>
      <c r="Q479" s="8" t="str">
        <f t="shared" si="16"/>
        <v/>
      </c>
      <c r="R479" s="8" t="s">
        <v>1727</v>
      </c>
      <c r="S479" s="8" t="s">
        <v>1727</v>
      </c>
      <c r="T479" s="8"/>
      <c r="U479" s="8"/>
      <c r="V479" s="8" t="s">
        <v>1730</v>
      </c>
      <c r="W479" s="8" t="s">
        <v>1730</v>
      </c>
      <c r="X479" s="8"/>
      <c r="Y479" s="8" t="s">
        <v>1727</v>
      </c>
      <c r="Z479" s="18">
        <f t="shared" si="15"/>
        <v>2</v>
      </c>
      <c r="AA479" s="8"/>
      <c r="AB479" s="7" t="s">
        <v>2509</v>
      </c>
      <c r="AC479" s="7"/>
      <c r="AD479" s="8" t="s">
        <v>1721</v>
      </c>
      <c r="AE479" s="8" t="s">
        <v>1727</v>
      </c>
      <c r="AF479" s="8" t="s">
        <v>1727</v>
      </c>
      <c r="AG479" s="8"/>
      <c r="AH479" s="47"/>
      <c r="AI479" s="47">
        <f>VLOOKUP(B479,'Components Usage'!A$2:C$603,3,FALSE)</f>
        <v>1</v>
      </c>
      <c r="AJ479" s="28" t="s">
        <v>2401</v>
      </c>
    </row>
    <row r="480" spans="1:36" hidden="1" x14ac:dyDescent="0.25">
      <c r="A480" s="16" t="str">
        <f>'Components Data Source'!A480</f>
        <v>GLCD (ST7565R) Parallel</v>
      </c>
      <c r="B480" s="8" t="str">
        <f>'Components Data Source'!B480</f>
        <v>889A6AC6-12D0-40C0-9882-075CE9801EEB</v>
      </c>
      <c r="C480" s="8" t="str">
        <f>'Components Data Source'!C480</f>
        <v>gLCD_ST7565R.fcpx</v>
      </c>
      <c r="D480" s="8" t="str">
        <f>'Components Data Source'!D480</f>
        <v>Components\IO_Source\displays\glcd_ST7565R.fcfx</v>
      </c>
      <c r="E480" s="8" t="str">
        <f>'Components Data Source'!E480</f>
        <v>DISPLAYS</v>
      </c>
      <c r="F480" s="8" t="str">
        <f>'Components Data Source'!F480</f>
        <v>GRAPHICAL MONOCHROME</v>
      </c>
      <c r="G480" s="8">
        <f>'Components Data Source'!G480</f>
        <v>0</v>
      </c>
      <c r="H480" s="8">
        <f>'Components Data Source'!H480</f>
        <v>0</v>
      </c>
      <c r="I480" s="8">
        <f>'Components Data Source'!I480</f>
        <v>0</v>
      </c>
      <c r="J480" s="8">
        <f>'Components Data Source'!J480</f>
        <v>1</v>
      </c>
      <c r="K480" s="8">
        <f>'Components Data Source'!K480</f>
        <v>1</v>
      </c>
      <c r="L480" s="8">
        <f>'Components Data Source'!L480</f>
        <v>0</v>
      </c>
      <c r="M480" s="8" t="s">
        <v>1727</v>
      </c>
      <c r="N480" s="17" t="str">
        <f>HYPERLINK('Components Data Source'!M480)</f>
        <v>https://www.flowcode.co.uk/wiki/index.php?title=Component:_ID_889a6ac6_12d0_40c0_9882_075ce9801eeb</v>
      </c>
      <c r="O480" s="8" t="s">
        <v>2590</v>
      </c>
      <c r="P480" s="8" t="s">
        <v>2921</v>
      </c>
      <c r="Q480" s="8" t="str">
        <f t="shared" si="16"/>
        <v/>
      </c>
      <c r="R480" s="8" t="s">
        <v>1727</v>
      </c>
      <c r="S480" s="8" t="s">
        <v>1727</v>
      </c>
      <c r="T480" s="8"/>
      <c r="U480" s="8"/>
      <c r="V480" s="8" t="s">
        <v>1730</v>
      </c>
      <c r="W480" s="8" t="s">
        <v>1730</v>
      </c>
      <c r="X480" s="8"/>
      <c r="Y480" s="8"/>
      <c r="Z480" s="18">
        <f t="shared" si="15"/>
        <v>2</v>
      </c>
      <c r="AA480" s="8"/>
      <c r="AB480" s="7"/>
      <c r="AC480" s="7"/>
      <c r="AD480" s="8" t="s">
        <v>1721</v>
      </c>
      <c r="AE480" s="8" t="s">
        <v>1727</v>
      </c>
      <c r="AF480" s="8" t="s">
        <v>1727</v>
      </c>
      <c r="AG480" s="8"/>
      <c r="AH480" s="47"/>
      <c r="AI480" s="47">
        <f>VLOOKUP(B480,'Components Usage'!A$2:C$603,3,FALSE)</f>
        <v>1</v>
      </c>
      <c r="AJ480" s="28" t="s">
        <v>2401</v>
      </c>
    </row>
    <row r="481" spans="1:36" hidden="1" x14ac:dyDescent="0.25">
      <c r="A481" s="16" t="str">
        <f>'Components Data Source'!A481</f>
        <v>GLCD (ST7565R) SPI</v>
      </c>
      <c r="B481" s="8" t="str">
        <f>'Components Data Source'!B481</f>
        <v>2149FDEF-84E9-407D-B68D-FC7F39E6F41E</v>
      </c>
      <c r="C481" s="8" t="str">
        <f>'Components Data Source'!C481</f>
        <v>gLCD_ST7565R_SPI.fcpx</v>
      </c>
      <c r="D481" s="8" t="str">
        <f>'Components Data Source'!D481</f>
        <v>Components\IO_Source\displays\glcd_ST7565R_SPI.fcfx</v>
      </c>
      <c r="E481" s="8" t="str">
        <f>'Components Data Source'!E481</f>
        <v>DISPLAYS</v>
      </c>
      <c r="F481" s="8" t="str">
        <f>'Components Data Source'!F481</f>
        <v>GRAPHICAL MONOCHROME</v>
      </c>
      <c r="G481" s="8">
        <f>'Components Data Source'!G481</f>
        <v>0</v>
      </c>
      <c r="H481" s="8">
        <f>'Components Data Source'!H481</f>
        <v>0</v>
      </c>
      <c r="I481" s="8" t="str">
        <f>'Components Data Source'!I481</f>
        <v xml:space="preserve">SPI </v>
      </c>
      <c r="J481" s="8">
        <f>'Components Data Source'!J481</f>
        <v>1</v>
      </c>
      <c r="K481" s="8">
        <f>'Components Data Source'!K481</f>
        <v>1</v>
      </c>
      <c r="L481" s="8">
        <f>'Components Data Source'!L481</f>
        <v>0</v>
      </c>
      <c r="M481" s="8" t="s">
        <v>1727</v>
      </c>
      <c r="N481" s="17" t="str">
        <f>HYPERLINK('Components Data Source'!M481)</f>
        <v>https://www.flowcode.co.uk/wiki/index.php?title=Component:_ID_2149fdef_84e9_407d_b68d_fc7f39e6f41e</v>
      </c>
      <c r="O481" s="8" t="s">
        <v>1721</v>
      </c>
      <c r="P481" s="8"/>
      <c r="Q481" s="8" t="str">
        <f t="shared" si="16"/>
        <v/>
      </c>
      <c r="R481" s="8" t="s">
        <v>1727</v>
      </c>
      <c r="S481" s="8" t="s">
        <v>1727</v>
      </c>
      <c r="T481" s="8"/>
      <c r="U481" s="8"/>
      <c r="V481" s="8" t="s">
        <v>1730</v>
      </c>
      <c r="W481" s="8" t="s">
        <v>1730</v>
      </c>
      <c r="X481" s="8"/>
      <c r="Y481" s="8" t="s">
        <v>1727</v>
      </c>
      <c r="Z481" s="18">
        <f t="shared" si="15"/>
        <v>2</v>
      </c>
      <c r="AA481" s="8"/>
      <c r="AB481" s="7" t="s">
        <v>2508</v>
      </c>
      <c r="AC481" s="7"/>
      <c r="AD481" s="8" t="s">
        <v>1721</v>
      </c>
      <c r="AE481" s="8" t="s">
        <v>1727</v>
      </c>
      <c r="AF481" s="8" t="s">
        <v>1727</v>
      </c>
      <c r="AG481" s="8"/>
      <c r="AH481" s="47"/>
      <c r="AI481" s="47">
        <f>VLOOKUP(B481,'Components Usage'!A$2:C$603,3,FALSE)</f>
        <v>1</v>
      </c>
      <c r="AJ481" s="28" t="s">
        <v>2401</v>
      </c>
    </row>
    <row r="482" spans="1:36" hidden="1" x14ac:dyDescent="0.25">
      <c r="A482" s="16" t="str">
        <f>'Components Data Source'!A482</f>
        <v>GLCD (ST7567) SPI</v>
      </c>
      <c r="B482" s="8" t="str">
        <f>'Components Data Source'!B482</f>
        <v>7E19B0EE-6CFD-49D3-8EFB-67E7B145DFBA</v>
      </c>
      <c r="C482" s="8" t="str">
        <f>'Components Data Source'!C482</f>
        <v>gLCD_ST7567_SPI.fcpx</v>
      </c>
      <c r="D482" s="8" t="str">
        <f>'Components Data Source'!D482</f>
        <v>Components\IO_Source\displays\glcd_ST7567_SPI.fcfx</v>
      </c>
      <c r="E482" s="8" t="str">
        <f>'Components Data Source'!E482</f>
        <v>DISPLAYS</v>
      </c>
      <c r="F482" s="8" t="str">
        <f>'Components Data Source'!F482</f>
        <v>GRAPHICAL MONOCHROME</v>
      </c>
      <c r="G482" s="8">
        <f>'Components Data Source'!G482</f>
        <v>0</v>
      </c>
      <c r="H482" s="8">
        <f>'Components Data Source'!H482</f>
        <v>0</v>
      </c>
      <c r="I482" s="8">
        <f>'Components Data Source'!I482</f>
        <v>0</v>
      </c>
      <c r="J482" s="8">
        <f>'Components Data Source'!J482</f>
        <v>1</v>
      </c>
      <c r="K482" s="8">
        <f>'Components Data Source'!K482</f>
        <v>1</v>
      </c>
      <c r="L482" s="8">
        <f>'Components Data Source'!L482</f>
        <v>0</v>
      </c>
      <c r="M482" s="8" t="s">
        <v>1727</v>
      </c>
      <c r="N482" s="17" t="str">
        <f>HYPERLINK('Components Data Source'!M482)</f>
        <v>https://www.flowcode.co.uk/wiki/index.php?title=Component:_ID_7e19b0ee_6cfd_49d3_8efb_67e7b145dfba</v>
      </c>
      <c r="O482" s="8" t="s">
        <v>1721</v>
      </c>
      <c r="P482" s="8"/>
      <c r="Q482" s="8" t="str">
        <f t="shared" si="16"/>
        <v/>
      </c>
      <c r="R482" s="8" t="s">
        <v>1727</v>
      </c>
      <c r="S482" s="8" t="s">
        <v>1727</v>
      </c>
      <c r="T482" s="8"/>
      <c r="U482" s="8"/>
      <c r="V482" s="8" t="s">
        <v>1730</v>
      </c>
      <c r="W482" s="8" t="s">
        <v>1730</v>
      </c>
      <c r="X482" s="8"/>
      <c r="Y482" s="8"/>
      <c r="Z482" s="18">
        <f t="shared" si="15"/>
        <v>2</v>
      </c>
      <c r="AA482" s="8"/>
      <c r="AB482" s="7"/>
      <c r="AC482" s="7"/>
      <c r="AD482" s="8" t="s">
        <v>1721</v>
      </c>
      <c r="AE482" s="8" t="s">
        <v>1727</v>
      </c>
      <c r="AF482" s="8" t="s">
        <v>1727</v>
      </c>
      <c r="AG482" s="8"/>
      <c r="AH482" s="47"/>
      <c r="AI482" s="47">
        <f>VLOOKUP(B482,'Components Usage'!A$2:C$603,3,FALSE)</f>
        <v>0</v>
      </c>
      <c r="AJ482" s="28" t="s">
        <v>2401</v>
      </c>
    </row>
    <row r="483" spans="1:36" hidden="1" x14ac:dyDescent="0.25">
      <c r="A483" s="16" t="str">
        <f>'Components Data Source'!A483</f>
        <v>GLCD (ST7789V)</v>
      </c>
      <c r="B483" s="8" t="str">
        <f>'Components Data Source'!B483</f>
        <v>4E30B15E-2507-4583-995D-B2056E04A286</v>
      </c>
      <c r="C483" s="8" t="str">
        <f>'Components Data Source'!C483</f>
        <v>gLCD_ST7789V.fcpx</v>
      </c>
      <c r="D483" s="8" t="str">
        <f>'Components Data Source'!D483</f>
        <v>Components\IO_Source\displays\glcd_ST7789V.fcfx</v>
      </c>
      <c r="E483" s="8" t="str">
        <f>'Components Data Source'!E483</f>
        <v>DISPLAYS</v>
      </c>
      <c r="F483" s="8" t="str">
        <f>'Components Data Source'!F483</f>
        <v>GRAPHICAL COLOR</v>
      </c>
      <c r="G483" s="8">
        <f>'Components Data Source'!G483</f>
        <v>0</v>
      </c>
      <c r="H483" s="8">
        <f>'Components Data Source'!H483</f>
        <v>0</v>
      </c>
      <c r="I483" s="8">
        <f>'Components Data Source'!I483</f>
        <v>0</v>
      </c>
      <c r="J483" s="8">
        <f>'Components Data Source'!J483</f>
        <v>1</v>
      </c>
      <c r="K483" s="8">
        <f>'Components Data Source'!K483</f>
        <v>1</v>
      </c>
      <c r="L483" s="8">
        <f>'Components Data Source'!L483</f>
        <v>0</v>
      </c>
      <c r="M483" s="8" t="s">
        <v>1727</v>
      </c>
      <c r="N483" s="17" t="str">
        <f>HYPERLINK('Components Data Source'!M483)</f>
        <v>https://www.flowcode.co.uk/wiki/index.php?title=Component:_ID_4e30b15e_2507_4583_995d_b2056e04a286</v>
      </c>
      <c r="O483" s="8" t="s">
        <v>1721</v>
      </c>
      <c r="P483" s="8"/>
      <c r="Q483" s="8" t="str">
        <f t="shared" si="16"/>
        <v/>
      </c>
      <c r="R483" s="8" t="s">
        <v>1727</v>
      </c>
      <c r="S483" s="8" t="s">
        <v>1727</v>
      </c>
      <c r="T483" s="8"/>
      <c r="U483" s="8"/>
      <c r="V483" s="8" t="s">
        <v>1730</v>
      </c>
      <c r="W483" s="8" t="s">
        <v>1730</v>
      </c>
      <c r="X483" s="8"/>
      <c r="Y483" s="8"/>
      <c r="Z483" s="18">
        <f t="shared" si="15"/>
        <v>2</v>
      </c>
      <c r="AA483" s="8"/>
      <c r="AB483" s="7"/>
      <c r="AC483" s="7"/>
      <c r="AD483" s="8" t="s">
        <v>1721</v>
      </c>
      <c r="AE483" s="8" t="s">
        <v>1727</v>
      </c>
      <c r="AF483" s="8" t="s">
        <v>1727</v>
      </c>
      <c r="AG483" s="8"/>
      <c r="AH483" s="47"/>
      <c r="AI483" s="47">
        <f>VLOOKUP(B483,'Components Usage'!A$2:C$603,3,FALSE)</f>
        <v>4</v>
      </c>
      <c r="AJ483" s="28" t="s">
        <v>2401</v>
      </c>
    </row>
    <row r="484" spans="1:36" hidden="1" x14ac:dyDescent="0.25">
      <c r="A484" s="16" t="str">
        <f>'Components Data Source'!A484</f>
        <v>GLCD (ST7920) Parallel</v>
      </c>
      <c r="B484" s="8" t="str">
        <f>'Components Data Source'!B484</f>
        <v>804DE427-4B97-4468-9EA9-B5ADF7B98771</v>
      </c>
      <c r="C484" s="8" t="str">
        <f>'Components Data Source'!C484</f>
        <v>gLCD_ST7920.fcpx</v>
      </c>
      <c r="D484" s="8" t="str">
        <f>'Components Data Source'!D484</f>
        <v>Components\IO_Source\displays\glcd_ST7920.fcfx</v>
      </c>
      <c r="E484" s="8" t="str">
        <f>'Components Data Source'!E484</f>
        <v>DISPLAYS</v>
      </c>
      <c r="F484" s="8" t="str">
        <f>'Components Data Source'!F484</f>
        <v>GRAPHICAL MONOCHROME</v>
      </c>
      <c r="G484" s="8">
        <f>'Components Data Source'!G484</f>
        <v>0</v>
      </c>
      <c r="H484" s="8">
        <f>'Components Data Source'!H484</f>
        <v>0</v>
      </c>
      <c r="I484" s="8">
        <f>'Components Data Source'!I484</f>
        <v>0</v>
      </c>
      <c r="J484" s="8">
        <f>'Components Data Source'!J484</f>
        <v>1</v>
      </c>
      <c r="K484" s="8">
        <f>'Components Data Source'!K484</f>
        <v>1</v>
      </c>
      <c r="L484" s="8">
        <f>'Components Data Source'!L484</f>
        <v>0</v>
      </c>
      <c r="M484" s="8" t="s">
        <v>1727</v>
      </c>
      <c r="N484" s="17" t="str">
        <f>HYPERLINK('Components Data Source'!M484)</f>
        <v>https://www.flowcode.co.uk/wiki/index.php?title=Component:_ID_804de427_4b97_4468_9ea9_b5adf7b98771</v>
      </c>
      <c r="O484" s="8" t="s">
        <v>1721</v>
      </c>
      <c r="P484" s="8"/>
      <c r="Q484" s="8" t="str">
        <f t="shared" si="16"/>
        <v/>
      </c>
      <c r="R484" s="8" t="s">
        <v>1727</v>
      </c>
      <c r="S484" s="8" t="s">
        <v>1727</v>
      </c>
      <c r="T484" s="8"/>
      <c r="U484" s="8"/>
      <c r="V484" s="8" t="s">
        <v>1730</v>
      </c>
      <c r="W484" s="8" t="s">
        <v>1730</v>
      </c>
      <c r="X484" s="8"/>
      <c r="Y484" s="8" t="s">
        <v>1727</v>
      </c>
      <c r="Z484" s="18">
        <f t="shared" si="15"/>
        <v>2</v>
      </c>
      <c r="AA484" s="8"/>
      <c r="AB484" s="7" t="s">
        <v>2510</v>
      </c>
      <c r="AC484" s="7"/>
      <c r="AD484" s="8" t="s">
        <v>1721</v>
      </c>
      <c r="AE484" s="8" t="s">
        <v>1727</v>
      </c>
      <c r="AF484" s="8" t="s">
        <v>1727</v>
      </c>
      <c r="AG484" s="8"/>
      <c r="AH484" s="47"/>
      <c r="AI484" s="47">
        <f>VLOOKUP(B484,'Components Usage'!A$2:C$603,3,FALSE)</f>
        <v>3</v>
      </c>
      <c r="AJ484" s="28" t="s">
        <v>2401</v>
      </c>
    </row>
    <row r="485" spans="1:36" hidden="1" x14ac:dyDescent="0.25">
      <c r="A485" s="16" t="str">
        <f>'Components Data Source'!A485</f>
        <v>GLCD (STM32F469NI)</v>
      </c>
      <c r="B485" s="8" t="str">
        <f>'Components Data Source'!B485</f>
        <v>5BD73E47-8060-4677-A1A3-6191CEB924B7</v>
      </c>
      <c r="C485" s="8" t="str">
        <f>'Components Data Source'!C485</f>
        <v>gLCD_STM32F469NI.fcpx</v>
      </c>
      <c r="D485" s="8" t="str">
        <f>'Components Data Source'!D485</f>
        <v>Components\IO_Source\displays\glcd_STM32F469NI.fcfx</v>
      </c>
      <c r="E485" s="8" t="str">
        <f>'Components Data Source'!E485</f>
        <v>DISPLAYS</v>
      </c>
      <c r="F485" s="8" t="str">
        <f>'Components Data Source'!F485</f>
        <v>GRAPHICAL COLOR</v>
      </c>
      <c r="G485" s="8">
        <f>'Components Data Source'!G485</f>
        <v>0</v>
      </c>
      <c r="H485" s="8">
        <f>'Components Data Source'!H485</f>
        <v>0</v>
      </c>
      <c r="I485" s="8">
        <f>'Components Data Source'!I485</f>
        <v>0</v>
      </c>
      <c r="J485" s="8">
        <f>'Components Data Source'!J485</f>
        <v>1</v>
      </c>
      <c r="K485" s="8">
        <f>'Components Data Source'!K485</f>
        <v>1</v>
      </c>
      <c r="L485" s="8">
        <f>'Components Data Source'!L485</f>
        <v>0</v>
      </c>
      <c r="M485" s="8" t="s">
        <v>1727</v>
      </c>
      <c r="N485" s="17" t="str">
        <f>HYPERLINK('Components Data Source'!M485)</f>
        <v>https://www.flowcode.co.uk/wiki/index.php?title=Component:_ID_5bd73e47_8060_4677_a1a3_6191ceb924b7</v>
      </c>
      <c r="O485" s="8" t="s">
        <v>1721</v>
      </c>
      <c r="P485" s="8"/>
      <c r="Q485" s="8" t="str">
        <f t="shared" si="16"/>
        <v/>
      </c>
      <c r="R485" s="8" t="s">
        <v>1727</v>
      </c>
      <c r="S485" s="8" t="s">
        <v>1727</v>
      </c>
      <c r="T485" s="8"/>
      <c r="U485" s="8"/>
      <c r="V485" s="8" t="s">
        <v>1730</v>
      </c>
      <c r="W485" s="8" t="s">
        <v>1730</v>
      </c>
      <c r="X485" s="8"/>
      <c r="Y485" s="8"/>
      <c r="Z485" s="18">
        <f t="shared" si="15"/>
        <v>2</v>
      </c>
      <c r="AA485" s="8"/>
      <c r="AB485" s="7"/>
      <c r="AC485" s="7"/>
      <c r="AD485" s="8" t="s">
        <v>1721</v>
      </c>
      <c r="AE485" s="8" t="s">
        <v>1721</v>
      </c>
      <c r="AF485" s="8" t="s">
        <v>1727</v>
      </c>
      <c r="AG485" s="8"/>
      <c r="AH485" s="47"/>
      <c r="AI485" s="47">
        <f>VLOOKUP(B485,'Components Usage'!A$2:C$603,3,FALSE)</f>
        <v>1</v>
      </c>
      <c r="AJ485" s="28" t="s">
        <v>2401</v>
      </c>
    </row>
    <row r="486" spans="1:36" hidden="1" x14ac:dyDescent="0.25">
      <c r="A486" s="16" t="str">
        <f>'Components Data Source'!A486</f>
        <v>GLCD (STM32F746NG)</v>
      </c>
      <c r="B486" s="8" t="str">
        <f>'Components Data Source'!B486</f>
        <v>6A2520BC-D8DD-4001-937E-21925253291A</v>
      </c>
      <c r="C486" s="8" t="str">
        <f>'Components Data Source'!C486</f>
        <v>gLCD_STM32F746NG.fcpx</v>
      </c>
      <c r="D486" s="8" t="str">
        <f>'Components Data Source'!D486</f>
        <v>Components\IO_Source\displays\glcd_STM32F746NG.fcfx</v>
      </c>
      <c r="E486" s="8" t="str">
        <f>'Components Data Source'!E486</f>
        <v>DISPLAYS</v>
      </c>
      <c r="F486" s="8" t="str">
        <f>'Components Data Source'!F486</f>
        <v>GRAPHICAL COLOR</v>
      </c>
      <c r="G486" s="8">
        <f>'Components Data Source'!G486</f>
        <v>0</v>
      </c>
      <c r="H486" s="8">
        <f>'Components Data Source'!H486</f>
        <v>0</v>
      </c>
      <c r="I486" s="8">
        <f>'Components Data Source'!I486</f>
        <v>0</v>
      </c>
      <c r="J486" s="8">
        <f>'Components Data Source'!J486</f>
        <v>1</v>
      </c>
      <c r="K486" s="8">
        <f>'Components Data Source'!K486</f>
        <v>1</v>
      </c>
      <c r="L486" s="8">
        <f>'Components Data Source'!L486</f>
        <v>0</v>
      </c>
      <c r="M486" s="8" t="s">
        <v>1727</v>
      </c>
      <c r="N486" s="17" t="str">
        <f>HYPERLINK('Components Data Source'!M486)</f>
        <v>https://www.flowcode.co.uk/wiki/index.php?title=Component:_ID_6a2520bc_d8dd_4001_937e_21925253291a</v>
      </c>
      <c r="O486" s="8" t="s">
        <v>1721</v>
      </c>
      <c r="P486" s="8"/>
      <c r="Q486" s="8" t="str">
        <f t="shared" si="16"/>
        <v/>
      </c>
      <c r="R486" s="8" t="s">
        <v>1727</v>
      </c>
      <c r="S486" s="8" t="s">
        <v>1727</v>
      </c>
      <c r="T486" s="8"/>
      <c r="U486" s="8"/>
      <c r="V486" s="8" t="s">
        <v>1730</v>
      </c>
      <c r="W486" s="8" t="s">
        <v>1730</v>
      </c>
      <c r="X486" s="8"/>
      <c r="Y486" s="8"/>
      <c r="Z486" s="18">
        <f t="shared" si="15"/>
        <v>2</v>
      </c>
      <c r="AA486" s="8"/>
      <c r="AB486" s="7"/>
      <c r="AC486" s="7"/>
      <c r="AD486" s="8" t="s">
        <v>1721</v>
      </c>
      <c r="AE486" s="8" t="s">
        <v>1721</v>
      </c>
      <c r="AF486" s="8" t="s">
        <v>1727</v>
      </c>
      <c r="AG486" s="8"/>
      <c r="AH486" s="47"/>
      <c r="AI486" s="47">
        <f>VLOOKUP(B486,'Components Usage'!A$2:C$603,3,FALSE)</f>
        <v>0</v>
      </c>
      <c r="AJ486" s="28" t="s">
        <v>2401</v>
      </c>
    </row>
    <row r="487" spans="1:36" hidden="1" x14ac:dyDescent="0.25">
      <c r="A487" s="16" t="str">
        <f>'Components Data Source'!A487</f>
        <v>GLCD (Grove OLED)</v>
      </c>
      <c r="B487" s="8" t="str">
        <f>'Components Data Source'!B487</f>
        <v>8A7A90D2-3274-4433-8609-699E976E0719</v>
      </c>
      <c r="C487" s="8" t="str">
        <f>'Components Data Source'!C487</f>
        <v>gLCD_SeeedGreyOLED.fcpx</v>
      </c>
      <c r="D487" s="8" t="str">
        <f>'Components Data Source'!D487</f>
        <v>Components\IO_Source\displays\Grove_OLEDDisplay.fcfx</v>
      </c>
      <c r="E487" s="8" t="str">
        <f>'Components Data Source'!E487</f>
        <v>DISPLAYS</v>
      </c>
      <c r="F487" s="8" t="str">
        <f>'Components Data Source'!F487</f>
        <v>GRAPHICAL MONOCHROME</v>
      </c>
      <c r="G487" s="8">
        <f>'Components Data Source'!G487</f>
        <v>0</v>
      </c>
      <c r="H487" s="8">
        <f>'Components Data Source'!H487</f>
        <v>0</v>
      </c>
      <c r="I487" s="8" t="str">
        <f>'Components Data Source'!I487</f>
        <v xml:space="preserve">I2C </v>
      </c>
      <c r="J487" s="8">
        <f>'Components Data Source'!J487</f>
        <v>1</v>
      </c>
      <c r="K487" s="8">
        <f>'Components Data Source'!K487</f>
        <v>1</v>
      </c>
      <c r="L487" s="8">
        <f>'Components Data Source'!L487</f>
        <v>0</v>
      </c>
      <c r="M487" s="8" t="s">
        <v>1727</v>
      </c>
      <c r="N487" s="17" t="str">
        <f>HYPERLINK('Components Data Source'!M487)</f>
        <v>https://www.flowcode.co.uk/wiki/index.php?title=Component:_ID_8a7a90d2_3274_4433_8609_699e976e0719</v>
      </c>
      <c r="O487" s="8" t="s">
        <v>1721</v>
      </c>
      <c r="P487" s="8"/>
      <c r="Q487" s="8" t="str">
        <f t="shared" si="16"/>
        <v/>
      </c>
      <c r="R487" s="8" t="s">
        <v>1727</v>
      </c>
      <c r="S487" s="8" t="s">
        <v>1727</v>
      </c>
      <c r="T487" s="8"/>
      <c r="U487" s="8"/>
      <c r="V487" s="8" t="s">
        <v>1730</v>
      </c>
      <c r="W487" s="8" t="s">
        <v>1730</v>
      </c>
      <c r="X487" s="8"/>
      <c r="Y487" s="8"/>
      <c r="Z487" s="18">
        <f t="shared" si="15"/>
        <v>2</v>
      </c>
      <c r="AA487" s="8"/>
      <c r="AB487" s="7"/>
      <c r="AC487" s="7"/>
      <c r="AD487" s="8" t="s">
        <v>1721</v>
      </c>
      <c r="AE487" s="8" t="s">
        <v>1727</v>
      </c>
      <c r="AF487" s="8" t="s">
        <v>1727</v>
      </c>
      <c r="AG487" s="8"/>
      <c r="AH487" s="47"/>
      <c r="AI487" s="47">
        <f>VLOOKUP(B487,'Components Usage'!A$2:C$603,3,FALSE)</f>
        <v>4</v>
      </c>
      <c r="AJ487" s="28" t="s">
        <v>2401</v>
      </c>
    </row>
    <row r="488" spans="1:36" hidden="1" x14ac:dyDescent="0.25">
      <c r="A488" s="16" t="str">
        <f>'Components Data Source'!A488</f>
        <v>GLCD (T6963C)</v>
      </c>
      <c r="B488" s="8" t="str">
        <f>'Components Data Source'!B488</f>
        <v>C9D3B357-B914-4301-A741-0D13819E452E</v>
      </c>
      <c r="C488" s="8" t="str">
        <f>'Components Data Source'!C488</f>
        <v>gLCD_T6963C.fcpx</v>
      </c>
      <c r="D488" s="8" t="str">
        <f>'Components Data Source'!D488</f>
        <v>Components\IO_Source\displays\glcd_T6963C.fcfx</v>
      </c>
      <c r="E488" s="8" t="str">
        <f>'Components Data Source'!E488</f>
        <v>DISPLAYS</v>
      </c>
      <c r="F488" s="8" t="str">
        <f>'Components Data Source'!F488</f>
        <v>GRAPHICAL MONOCHROME</v>
      </c>
      <c r="G488" s="8">
        <f>'Components Data Source'!G488</f>
        <v>0</v>
      </c>
      <c r="H488" s="8">
        <f>'Components Data Source'!H488</f>
        <v>0</v>
      </c>
      <c r="I488" s="8">
        <f>'Components Data Source'!I488</f>
        <v>0</v>
      </c>
      <c r="J488" s="8">
        <f>'Components Data Source'!J488</f>
        <v>1</v>
      </c>
      <c r="K488" s="8">
        <f>'Components Data Source'!K488</f>
        <v>1</v>
      </c>
      <c r="L488" s="8">
        <f>'Components Data Source'!L488</f>
        <v>0</v>
      </c>
      <c r="M488" s="8" t="s">
        <v>1727</v>
      </c>
      <c r="N488" s="17" t="str">
        <f>HYPERLINK('Components Data Source'!M488)</f>
        <v>https://www.flowcode.co.uk/wiki/index.php?title=Component:_ID_c9d3b357_b914_4301_a741_0d13819e452e</v>
      </c>
      <c r="O488" s="8" t="s">
        <v>2590</v>
      </c>
      <c r="P488" s="8" t="s">
        <v>2921</v>
      </c>
      <c r="Q488" s="8" t="str">
        <f t="shared" si="16"/>
        <v/>
      </c>
      <c r="R488" s="8" t="s">
        <v>1727</v>
      </c>
      <c r="S488" s="8" t="s">
        <v>1727</v>
      </c>
      <c r="T488" s="8"/>
      <c r="U488" s="8"/>
      <c r="V488" s="8" t="s">
        <v>1730</v>
      </c>
      <c r="W488" s="8" t="s">
        <v>1730</v>
      </c>
      <c r="X488" s="8"/>
      <c r="Y488" s="8"/>
      <c r="Z488" s="18">
        <f t="shared" si="15"/>
        <v>2</v>
      </c>
      <c r="AA488" s="8"/>
      <c r="AB488" s="7"/>
      <c r="AC488" s="7"/>
      <c r="AD488" s="8" t="s">
        <v>1721</v>
      </c>
      <c r="AE488" s="8" t="s">
        <v>1727</v>
      </c>
      <c r="AF488" s="8" t="s">
        <v>1727</v>
      </c>
      <c r="AG488" s="8"/>
      <c r="AH488" s="47"/>
      <c r="AI488" s="47">
        <f>VLOOKUP(B488,'Components Usage'!A$2:C$603,3,FALSE)</f>
        <v>0</v>
      </c>
      <c r="AJ488" s="28" t="s">
        <v>2401</v>
      </c>
    </row>
    <row r="489" spans="1:36" hidden="1" x14ac:dyDescent="0.25">
      <c r="A489" s="16" t="str">
        <f>'Components Data Source'!A489</f>
        <v>GLCD (TLS8201)</v>
      </c>
      <c r="B489" s="8" t="str">
        <f>'Components Data Source'!B489</f>
        <v>71BA0CDD-E003-4F6D-9DAE-8EECFFD1774B</v>
      </c>
      <c r="C489" s="8" t="str">
        <f>'Components Data Source'!C489</f>
        <v>gLCD_TLS8201.fcpx</v>
      </c>
      <c r="D489" s="8" t="str">
        <f>'Components Data Source'!D489</f>
        <v>Components\IO_Source\displays\glcd_TLS8201.fcfx</v>
      </c>
      <c r="E489" s="8" t="str">
        <f>'Components Data Source'!E489</f>
        <v>DISPLAYS</v>
      </c>
      <c r="F489" s="8" t="str">
        <f>'Components Data Source'!F489</f>
        <v>GRAPHICAL MONOCHROME</v>
      </c>
      <c r="G489" s="8">
        <f>'Components Data Source'!G489</f>
        <v>0</v>
      </c>
      <c r="H489" s="8">
        <f>'Components Data Source'!H489</f>
        <v>0</v>
      </c>
      <c r="I489" s="8">
        <f>'Components Data Source'!I489</f>
        <v>0</v>
      </c>
      <c r="J489" s="8">
        <f>'Components Data Source'!J489</f>
        <v>1</v>
      </c>
      <c r="K489" s="8">
        <f>'Components Data Source'!K489</f>
        <v>1</v>
      </c>
      <c r="L489" s="8">
        <f>'Components Data Source'!L489</f>
        <v>0</v>
      </c>
      <c r="M489" s="8" t="s">
        <v>1727</v>
      </c>
      <c r="N489" s="17" t="str">
        <f>HYPERLINK('Components Data Source'!M489)</f>
        <v>https://www.flowcode.co.uk/wiki/index.php?title=Component:_ID_71ba0cdd_e003_4f6d_9dae_8eecffd1774b</v>
      </c>
      <c r="O489" s="8" t="s">
        <v>1721</v>
      </c>
      <c r="P489" s="8"/>
      <c r="Q489" s="8" t="str">
        <f t="shared" si="16"/>
        <v/>
      </c>
      <c r="R489" s="8" t="s">
        <v>1727</v>
      </c>
      <c r="S489" s="8" t="s">
        <v>1727</v>
      </c>
      <c r="T489" s="8"/>
      <c r="U489" s="8"/>
      <c r="V489" s="8" t="s">
        <v>1730</v>
      </c>
      <c r="W489" s="8" t="s">
        <v>1730</v>
      </c>
      <c r="X489" s="8"/>
      <c r="Y489" s="8"/>
      <c r="Z489" s="18">
        <f t="shared" si="15"/>
        <v>2</v>
      </c>
      <c r="AA489" s="8"/>
      <c r="AB489" s="7"/>
      <c r="AC489" s="7"/>
      <c r="AD489" s="8" t="s">
        <v>1721</v>
      </c>
      <c r="AE489" s="8" t="s">
        <v>1727</v>
      </c>
      <c r="AF489" s="8" t="s">
        <v>1727</v>
      </c>
      <c r="AG489" s="8"/>
      <c r="AH489" s="47"/>
      <c r="AI489" s="47">
        <f>VLOOKUP(B489,'Components Usage'!A$2:C$603,3,FALSE)</f>
        <v>0</v>
      </c>
      <c r="AJ489" s="28" t="s">
        <v>2401</v>
      </c>
    </row>
    <row r="490" spans="1:36" hidden="1" x14ac:dyDescent="0.25">
      <c r="A490" s="16" t="str">
        <f>'Components Data Source'!A490</f>
        <v>GLCD (UC1701)</v>
      </c>
      <c r="B490" s="8" t="str">
        <f>'Components Data Source'!B490</f>
        <v>EBD426A3-C694-42BB-8611-320E27C6EA65</v>
      </c>
      <c r="C490" s="8" t="str">
        <f>'Components Data Source'!C490</f>
        <v>gLCD_UC1701.fcpx</v>
      </c>
      <c r="D490" s="8" t="str">
        <f>'Components Data Source'!D490</f>
        <v>Components\IO_Source\displays\glcd_UC1701.fcfx</v>
      </c>
      <c r="E490" s="8" t="str">
        <f>'Components Data Source'!E490</f>
        <v>DISPLAYS</v>
      </c>
      <c r="F490" s="8" t="str">
        <f>'Components Data Source'!F490</f>
        <v>GRAPHICAL MONOCHROME</v>
      </c>
      <c r="G490" s="8">
        <f>'Components Data Source'!G490</f>
        <v>0</v>
      </c>
      <c r="H490" s="8">
        <f>'Components Data Source'!H490</f>
        <v>0</v>
      </c>
      <c r="I490" s="8">
        <f>'Components Data Source'!I490</f>
        <v>0</v>
      </c>
      <c r="J490" s="8">
        <f>'Components Data Source'!J490</f>
        <v>1</v>
      </c>
      <c r="K490" s="8">
        <f>'Components Data Source'!K490</f>
        <v>1</v>
      </c>
      <c r="L490" s="8">
        <f>'Components Data Source'!L490</f>
        <v>0</v>
      </c>
      <c r="M490" s="8" t="s">
        <v>1727</v>
      </c>
      <c r="N490" s="17" t="str">
        <f>HYPERLINK('Components Data Source'!M490)</f>
        <v>https://www.flowcode.co.uk/wiki/index.php?title=Component:_ID_ebd426a3_c694_42bb_8611_320e27c6ea65</v>
      </c>
      <c r="O490" s="8" t="s">
        <v>1721</v>
      </c>
      <c r="P490" s="8"/>
      <c r="Q490" s="8" t="str">
        <f t="shared" si="16"/>
        <v/>
      </c>
      <c r="R490" s="8" t="s">
        <v>1727</v>
      </c>
      <c r="S490" s="8" t="s">
        <v>1727</v>
      </c>
      <c r="T490" s="8"/>
      <c r="U490" s="8"/>
      <c r="V490" s="8" t="s">
        <v>1730</v>
      </c>
      <c r="W490" s="8" t="s">
        <v>1730</v>
      </c>
      <c r="X490" s="8"/>
      <c r="Y490" s="8"/>
      <c r="Z490" s="18">
        <f t="shared" si="15"/>
        <v>2</v>
      </c>
      <c r="AA490" s="8"/>
      <c r="AB490" s="7"/>
      <c r="AC490" s="7"/>
      <c r="AD490" s="8" t="s">
        <v>1721</v>
      </c>
      <c r="AE490" s="8" t="s">
        <v>1727</v>
      </c>
      <c r="AF490" s="8" t="s">
        <v>1727</v>
      </c>
      <c r="AG490" s="8"/>
      <c r="AH490" s="47"/>
      <c r="AI490" s="47">
        <f>VLOOKUP(B490,'Components Usage'!A$2:C$603,3,FALSE)</f>
        <v>0</v>
      </c>
      <c r="AJ490" s="28" t="s">
        <v>2401</v>
      </c>
    </row>
    <row r="491" spans="1:36" hidden="1" x14ac:dyDescent="0.25">
      <c r="A491" s="16" t="str">
        <f>'Components Data Source'!A491</f>
        <v>Keypad(4x4)</v>
      </c>
      <c r="B491" s="8" t="str">
        <f>'Components Data Source'!B491</f>
        <v>6C74B9EE-2907-4B1E-8A9B-80FC192B6027</v>
      </c>
      <c r="C491" s="8" t="str">
        <f>'Components Data Source'!C491</f>
        <v>keypad_4x4.fcpx</v>
      </c>
      <c r="D491" s="8" t="str">
        <f>'Components Data Source'!D491</f>
        <v>Components\IO_Source\Keypad 4x4.fcfx</v>
      </c>
      <c r="E491" s="8" t="str">
        <f>'Components Data Source'!E491</f>
        <v>BASICIO</v>
      </c>
      <c r="F491" s="8" t="str">
        <f>'Components Data Source'!F491</f>
        <v>KEYPAD</v>
      </c>
      <c r="G491" s="8">
        <f>'Components Data Source'!G491</f>
        <v>0</v>
      </c>
      <c r="H491" s="8">
        <f>'Components Data Source'!H491</f>
        <v>0</v>
      </c>
      <c r="I491" s="8">
        <f>'Components Data Source'!I491</f>
        <v>0</v>
      </c>
      <c r="J491" s="8">
        <f>'Components Data Source'!J491</f>
        <v>1</v>
      </c>
      <c r="K491" s="8">
        <f>'Components Data Source'!K491</f>
        <v>1</v>
      </c>
      <c r="L491" s="8">
        <f>'Components Data Source'!L491</f>
        <v>0</v>
      </c>
      <c r="M491" s="8" t="s">
        <v>1727</v>
      </c>
      <c r="N491" s="17" t="str">
        <f>HYPERLINK('Components Data Source'!M491)</f>
        <v>https://www.flowcode.co.uk/wiki/index.php?title=Component:_ID_6c74b9ee_2907_4b1e_8a9b_80fc192b6027</v>
      </c>
      <c r="O491" s="8" t="s">
        <v>1721</v>
      </c>
      <c r="P491" s="8"/>
      <c r="Q491" s="8" t="str">
        <f t="shared" si="16"/>
        <v/>
      </c>
      <c r="R491" s="8" t="s">
        <v>1727</v>
      </c>
      <c r="S491" s="8" t="s">
        <v>1727</v>
      </c>
      <c r="T491" s="8"/>
      <c r="U491" s="8"/>
      <c r="V491" s="8" t="s">
        <v>1730</v>
      </c>
      <c r="W491" s="8" t="s">
        <v>1730</v>
      </c>
      <c r="X491" s="8"/>
      <c r="Y491" s="8"/>
      <c r="Z491" s="18">
        <f t="shared" si="15"/>
        <v>2</v>
      </c>
      <c r="AA491" s="8"/>
      <c r="AB491" s="7"/>
      <c r="AC491" s="7"/>
      <c r="AD491" s="8" t="s">
        <v>1721</v>
      </c>
      <c r="AE491" s="8" t="s">
        <v>1727</v>
      </c>
      <c r="AF491" s="8" t="s">
        <v>1727</v>
      </c>
      <c r="AG491" s="8"/>
      <c r="AH491" s="47"/>
      <c r="AI491" s="47">
        <f>VLOOKUP(B491,'Components Usage'!A$2:C$603,3,FALSE)</f>
        <v>7</v>
      </c>
      <c r="AJ491" s="28" t="s">
        <v>2401</v>
      </c>
    </row>
    <row r="492" spans="1:36" x14ac:dyDescent="0.25">
      <c r="A492" s="16" t="str">
        <f>'Components Data Source'!A492</f>
        <v>Keypad (Generic)</v>
      </c>
      <c r="B492" s="8" t="str">
        <f>'Components Data Source'!B492</f>
        <v>B80E57B1-8941-4831-878B-B27440B4F4D8</v>
      </c>
      <c r="C492" s="8" t="str">
        <f>'Components Data Source'!C492</f>
        <v>keypad_base.fcpx</v>
      </c>
      <c r="D492" s="8" t="str">
        <f>'Components Data Source'!D492</f>
        <v>Components\IO_Source\Keypad Base.fcfx</v>
      </c>
      <c r="E492" s="8" t="str">
        <f>'Components Data Source'!E492</f>
        <v>FREE</v>
      </c>
      <c r="F492" s="8" t="str">
        <f>'Components Data Source'!F492</f>
        <v>KEYPAD</v>
      </c>
      <c r="G492" s="8">
        <f>'Components Data Source'!G492</f>
        <v>0</v>
      </c>
      <c r="H492" s="8">
        <f>'Components Data Source'!H492</f>
        <v>0</v>
      </c>
      <c r="I492" s="8">
        <f>'Components Data Source'!I492</f>
        <v>0</v>
      </c>
      <c r="J492" s="8">
        <f>'Components Data Source'!J492</f>
        <v>1</v>
      </c>
      <c r="K492" s="8">
        <f>'Components Data Source'!K492</f>
        <v>1</v>
      </c>
      <c r="L492" s="8">
        <f>'Components Data Source'!L492</f>
        <v>0</v>
      </c>
      <c r="M492" s="8" t="s">
        <v>1727</v>
      </c>
      <c r="N492" s="17" t="str">
        <f>HYPERLINK('Components Data Source'!M492)</f>
        <v>https://www.flowcode.co.uk/wiki/index.php?title=Component:_ID_b80e57b1_8941_4831_878b_b27440b4f4d8</v>
      </c>
      <c r="O492" s="8" t="s">
        <v>1721</v>
      </c>
      <c r="P492" s="8" t="s">
        <v>2776</v>
      </c>
      <c r="Q492" s="8" t="str">
        <f t="shared" si="16"/>
        <v/>
      </c>
      <c r="R492" s="8" t="s">
        <v>1727</v>
      </c>
      <c r="S492" s="8" t="s">
        <v>1727</v>
      </c>
      <c r="T492" s="8"/>
      <c r="U492" s="8"/>
      <c r="V492" s="8" t="s">
        <v>1730</v>
      </c>
      <c r="W492" s="8" t="s">
        <v>1730</v>
      </c>
      <c r="X492" s="8"/>
      <c r="Y492" s="8" t="s">
        <v>1727</v>
      </c>
      <c r="Z492" s="18">
        <f t="shared" si="15"/>
        <v>2</v>
      </c>
      <c r="AA492" s="8"/>
      <c r="AB492" s="7" t="s">
        <v>2511</v>
      </c>
      <c r="AC492" s="7"/>
      <c r="AD492" s="8" t="s">
        <v>1721</v>
      </c>
      <c r="AE492" s="8" t="s">
        <v>1721</v>
      </c>
      <c r="AF492" s="8" t="s">
        <v>1721</v>
      </c>
      <c r="AG492" s="8"/>
      <c r="AH492" s="47"/>
      <c r="AI492" s="47">
        <f>VLOOKUP(B492,'Components Usage'!A$2:C$603,3,FALSE)</f>
        <v>3</v>
      </c>
      <c r="AJ492" s="28" t="s">
        <v>2401</v>
      </c>
    </row>
    <row r="493" spans="1:36" hidden="1" x14ac:dyDescent="0.25">
      <c r="A493" s="16" t="str">
        <f>'Components Data Source'!A493</f>
        <v>Keypad (Cursor 3x3)</v>
      </c>
      <c r="B493" s="8" t="str">
        <f>'Components Data Source'!B493</f>
        <v>1D24DF27-423C-4D91-B2BB-E6AD3E121F14</v>
      </c>
      <c r="C493" s="8" t="str">
        <f>'Components Data Source'!C493</f>
        <v>keypad_cursor.fcpx</v>
      </c>
      <c r="D493" s="8" t="str">
        <f>'Components Data Source'!D493</f>
        <v>Components\IO_Source\Keypad Cursor.fcfx</v>
      </c>
      <c r="E493" s="8" t="str">
        <f>'Components Data Source'!E493</f>
        <v>BASICIO</v>
      </c>
      <c r="F493" s="8">
        <f>'Components Data Source'!F493</f>
        <v>0</v>
      </c>
      <c r="G493" s="8">
        <f>'Components Data Source'!G493</f>
        <v>0</v>
      </c>
      <c r="H493" s="8">
        <f>'Components Data Source'!H493</f>
        <v>0</v>
      </c>
      <c r="I493" s="8">
        <f>'Components Data Source'!I493</f>
        <v>0</v>
      </c>
      <c r="J493" s="8">
        <f>'Components Data Source'!J493</f>
        <v>1</v>
      </c>
      <c r="K493" s="8">
        <f>'Components Data Source'!K493</f>
        <v>1</v>
      </c>
      <c r="L493" s="8">
        <f>'Components Data Source'!L493</f>
        <v>0</v>
      </c>
      <c r="M493" s="8" t="s">
        <v>1727</v>
      </c>
      <c r="N493" s="17" t="str">
        <f>HYPERLINK('Components Data Source'!M493)</f>
        <v>https://www.flowcode.co.uk/wiki/index.php?title=Component:_ID_1d24df27_423c_4d91_b2bb_e6ad3e121f14</v>
      </c>
      <c r="O493" s="8" t="s">
        <v>1721</v>
      </c>
      <c r="P493" s="8"/>
      <c r="Q493" s="8" t="str">
        <f t="shared" si="16"/>
        <v/>
      </c>
      <c r="R493" s="8" t="s">
        <v>1727</v>
      </c>
      <c r="S493" s="8" t="s">
        <v>1727</v>
      </c>
      <c r="T493" s="8"/>
      <c r="U493" s="8"/>
      <c r="V493" s="8" t="s">
        <v>1730</v>
      </c>
      <c r="W493" s="8" t="s">
        <v>1730</v>
      </c>
      <c r="X493" s="8"/>
      <c r="Y493" s="8"/>
      <c r="Z493" s="18">
        <f t="shared" si="15"/>
        <v>2</v>
      </c>
      <c r="AA493" s="8"/>
      <c r="AB493" s="7"/>
      <c r="AC493" s="7"/>
      <c r="AD493" s="8" t="s">
        <v>1721</v>
      </c>
      <c r="AE493" s="8" t="s">
        <v>1721</v>
      </c>
      <c r="AF493" s="8" t="s">
        <v>1721</v>
      </c>
      <c r="AG493" s="8"/>
      <c r="AH493" s="47"/>
      <c r="AI493" s="47">
        <f>VLOOKUP(B493,'Components Usage'!A$2:C$603,3,FALSE)</f>
        <v>0</v>
      </c>
      <c r="AJ493" s="28" t="s">
        <v>2401</v>
      </c>
    </row>
    <row r="494" spans="1:36" x14ac:dyDescent="0.25">
      <c r="A494" s="16" t="str">
        <f>'Components Data Source'!A494</f>
        <v>Keypad(EB014)</v>
      </c>
      <c r="B494" s="8" t="str">
        <f>'Components Data Source'!B494</f>
        <v>E871D984-B0E0-4185-8D94-B11D28040996</v>
      </c>
      <c r="C494" s="8" t="str">
        <f>'Components Data Source'!C494</f>
        <v>keypad_eb014.fcpx</v>
      </c>
      <c r="D494" s="8" t="str">
        <f>'Components Data Source'!D494</f>
        <v>Components\IO_Source\Keypad EB014.fcfx</v>
      </c>
      <c r="E494" s="8" t="str">
        <f>'Components Data Source'!E494</f>
        <v>FREE</v>
      </c>
      <c r="F494" s="8" t="str">
        <f>'Components Data Source'!F494</f>
        <v>E-BLOCKS 1</v>
      </c>
      <c r="G494" s="8">
        <f>'Components Data Source'!G494</f>
        <v>0</v>
      </c>
      <c r="H494" s="8">
        <f>'Components Data Source'!H494</f>
        <v>0</v>
      </c>
      <c r="I494" s="8">
        <f>'Components Data Source'!I494</f>
        <v>0</v>
      </c>
      <c r="J494" s="8">
        <f>'Components Data Source'!J494</f>
        <v>1</v>
      </c>
      <c r="K494" s="8">
        <f>'Components Data Source'!K494</f>
        <v>0</v>
      </c>
      <c r="L494" s="8">
        <f>'Components Data Source'!L494</f>
        <v>0</v>
      </c>
      <c r="M494" s="8" t="s">
        <v>1727</v>
      </c>
      <c r="N494" s="17" t="str">
        <f>HYPERLINK('Components Data Source'!M494)</f>
        <v>https://www.flowcode.co.uk/wiki/index.php?title=Component:_ID_e871d984_b0e0_4185_8d94_b11d28040996</v>
      </c>
      <c r="O494" s="8" t="s">
        <v>2589</v>
      </c>
      <c r="P494" s="8"/>
      <c r="Q494" s="8" t="str">
        <f t="shared" si="16"/>
        <v/>
      </c>
      <c r="R494" s="8" t="s">
        <v>1727</v>
      </c>
      <c r="S494" s="8" t="s">
        <v>1727</v>
      </c>
      <c r="T494" s="8"/>
      <c r="U494" s="8"/>
      <c r="V494" s="8" t="s">
        <v>1730</v>
      </c>
      <c r="W494" s="8" t="s">
        <v>1730</v>
      </c>
      <c r="X494" s="8"/>
      <c r="Y494" s="8"/>
      <c r="Z494" s="18">
        <f t="shared" si="15"/>
        <v>2</v>
      </c>
      <c r="AA494" s="8"/>
      <c r="AB494" s="7"/>
      <c r="AC494" s="7"/>
      <c r="AD494" s="8" t="s">
        <v>1721</v>
      </c>
      <c r="AE494" s="8" t="s">
        <v>1727</v>
      </c>
      <c r="AF494" s="8" t="s">
        <v>1727</v>
      </c>
      <c r="AG494" s="8" t="s">
        <v>1721</v>
      </c>
      <c r="AH494" s="47"/>
      <c r="AI494" s="47">
        <f>VLOOKUP(B494,'Components Usage'!A$2:C$603,3,FALSE)</f>
        <v>2</v>
      </c>
      <c r="AJ494" s="28" t="s">
        <v>2401</v>
      </c>
    </row>
    <row r="495" spans="1:36" hidden="1" x14ac:dyDescent="0.25">
      <c r="A495" s="16" t="str">
        <f>'Components Data Source'!A495</f>
        <v>Keypad (Hex 4x4)</v>
      </c>
      <c r="B495" s="8" t="str">
        <f>'Components Data Source'!B495</f>
        <v>287E2F0B-8869-4994-A958-C8F851091322</v>
      </c>
      <c r="C495" s="8" t="str">
        <f>'Components Data Source'!C495</f>
        <v>keypad_hex.fcpx</v>
      </c>
      <c r="D495" s="8" t="str">
        <f>'Components Data Source'!D495</f>
        <v>Components\IO_Source\keypad_hex.fcfx</v>
      </c>
      <c r="E495" s="8" t="str">
        <f>'Components Data Source'!E495</f>
        <v>BASICIO</v>
      </c>
      <c r="F495" s="8">
        <f>'Components Data Source'!F495</f>
        <v>0</v>
      </c>
      <c r="G495" s="8">
        <f>'Components Data Source'!G495</f>
        <v>0</v>
      </c>
      <c r="H495" s="8">
        <f>'Components Data Source'!H495</f>
        <v>0</v>
      </c>
      <c r="I495" s="8">
        <f>'Components Data Source'!I495</f>
        <v>0</v>
      </c>
      <c r="J495" s="8">
        <f>'Components Data Source'!J495</f>
        <v>1</v>
      </c>
      <c r="K495" s="8">
        <f>'Components Data Source'!K495</f>
        <v>1</v>
      </c>
      <c r="L495" s="8">
        <f>'Components Data Source'!L495</f>
        <v>0</v>
      </c>
      <c r="M495" s="8" t="s">
        <v>1727</v>
      </c>
      <c r="N495" s="17" t="str">
        <f>HYPERLINK('Components Data Source'!M495)</f>
        <v>https://www.flowcode.co.uk/wiki/index.php?title=Component:_ID_287e2f0b_8869_4994_a958_c8f851091322</v>
      </c>
      <c r="O495" s="8" t="s">
        <v>1721</v>
      </c>
      <c r="P495" s="8"/>
      <c r="Q495" s="8" t="str">
        <f t="shared" si="16"/>
        <v/>
      </c>
      <c r="R495" s="8" t="s">
        <v>1727</v>
      </c>
      <c r="S495" s="8" t="s">
        <v>1727</v>
      </c>
      <c r="T495" s="8"/>
      <c r="U495" s="8"/>
      <c r="V495" s="8" t="s">
        <v>1730</v>
      </c>
      <c r="W495" s="8" t="s">
        <v>1730</v>
      </c>
      <c r="X495" s="8"/>
      <c r="Y495" s="8"/>
      <c r="Z495" s="18">
        <f t="shared" si="15"/>
        <v>2</v>
      </c>
      <c r="AA495" s="8"/>
      <c r="AB495" s="7"/>
      <c r="AC495" s="7"/>
      <c r="AD495" s="8" t="s">
        <v>1721</v>
      </c>
      <c r="AE495" s="8" t="s">
        <v>1721</v>
      </c>
      <c r="AF495" s="8" t="s">
        <v>1721</v>
      </c>
      <c r="AG495" s="8"/>
      <c r="AH495" s="47"/>
      <c r="AI495" s="47">
        <f>VLOOKUP(B495,'Components Usage'!A$2:C$603,3,FALSE)</f>
        <v>10</v>
      </c>
      <c r="AJ495" s="28" t="s">
        <v>2401</v>
      </c>
    </row>
    <row r="496" spans="1:36" hidden="1" x14ac:dyDescent="0.25">
      <c r="A496" s="16" t="str">
        <f>'Components Data Source'!A496</f>
        <v>Keypad (Numeric 3x4)</v>
      </c>
      <c r="B496" s="8" t="str">
        <f>'Components Data Source'!B496</f>
        <v>B07090DA-50A4-41ED-97D8-99016C092A14</v>
      </c>
      <c r="C496" s="8" t="str">
        <f>'Components Data Source'!C496</f>
        <v>keypad_numeric.fcpx</v>
      </c>
      <c r="D496" s="8" t="str">
        <f>'Components Data Source'!D496</f>
        <v>Components\IO_Source\Keypad Numeric.fcfx</v>
      </c>
      <c r="E496" s="8" t="str">
        <f>'Components Data Source'!E496</f>
        <v>BASICIO</v>
      </c>
      <c r="F496" s="8">
        <f>'Components Data Source'!F496</f>
        <v>0</v>
      </c>
      <c r="G496" s="8">
        <f>'Components Data Source'!G496</f>
        <v>0</v>
      </c>
      <c r="H496" s="8">
        <f>'Components Data Source'!H496</f>
        <v>0</v>
      </c>
      <c r="I496" s="8">
        <f>'Components Data Source'!I496</f>
        <v>0</v>
      </c>
      <c r="J496" s="8">
        <f>'Components Data Source'!J496</f>
        <v>1</v>
      </c>
      <c r="K496" s="8">
        <f>'Components Data Source'!K496</f>
        <v>0</v>
      </c>
      <c r="L496" s="8">
        <f>'Components Data Source'!L496</f>
        <v>0</v>
      </c>
      <c r="M496" s="8" t="s">
        <v>1727</v>
      </c>
      <c r="N496" s="17" t="str">
        <f>HYPERLINK('Components Data Source'!M496)</f>
        <v>https://www.flowcode.co.uk/wiki/index.php?title=Component:_ID_b07090da_50a4_41ed_97d8_99016c092a14</v>
      </c>
      <c r="O496" s="8" t="s">
        <v>1721</v>
      </c>
      <c r="P496" s="8"/>
      <c r="Q496" s="8" t="str">
        <f t="shared" si="16"/>
        <v/>
      </c>
      <c r="R496" s="8" t="s">
        <v>1727</v>
      </c>
      <c r="S496" s="8" t="s">
        <v>1727</v>
      </c>
      <c r="T496" s="8"/>
      <c r="U496" s="8"/>
      <c r="V496" s="8" t="s">
        <v>1730</v>
      </c>
      <c r="W496" s="8" t="s">
        <v>1730</v>
      </c>
      <c r="X496" s="8"/>
      <c r="Y496" s="8"/>
      <c r="Z496" s="18">
        <f t="shared" si="15"/>
        <v>2</v>
      </c>
      <c r="AA496" s="8"/>
      <c r="AB496" s="7"/>
      <c r="AC496" s="7"/>
      <c r="AD496" s="8" t="s">
        <v>1721</v>
      </c>
      <c r="AE496" s="8" t="s">
        <v>1721</v>
      </c>
      <c r="AF496" s="8" t="s">
        <v>1721</v>
      </c>
      <c r="AG496" s="8" t="s">
        <v>1721</v>
      </c>
      <c r="AH496" s="47"/>
      <c r="AI496" s="47">
        <f>VLOOKUP(B496,'Components Usage'!A$2:C$603,3,FALSE)</f>
        <v>48</v>
      </c>
      <c r="AJ496" s="28" t="s">
        <v>2401</v>
      </c>
    </row>
    <row r="497" spans="1:36" hidden="1" x14ac:dyDescent="0.25">
      <c r="A497" s="16" t="str">
        <f>'Components Data Source'!A497</f>
        <v>Potentiometer (Panel)</v>
      </c>
      <c r="B497" s="8" t="str">
        <f>'Components Data Source'!B497</f>
        <v>8C97CC7D-3C7B-41B6-B255-6694B6B8EED9</v>
      </c>
      <c r="C497" s="8" t="str">
        <f>'Components Data Source'!C497</f>
        <v>knob_chicken_hd.fcpx</v>
      </c>
      <c r="D497" s="8" t="str">
        <f>'Components Data Source'!D497</f>
        <v>Components\IO_Source\adc\pot_Panel.fcfx</v>
      </c>
      <c r="E497" s="8" t="str">
        <f>'Components Data Source'!E497</f>
        <v>BASICIO</v>
      </c>
      <c r="F497" s="8">
        <f>'Components Data Source'!F497</f>
        <v>0</v>
      </c>
      <c r="G497" s="8">
        <f>'Components Data Source'!G497</f>
        <v>0</v>
      </c>
      <c r="H497" s="8">
        <f>'Components Data Source'!H497</f>
        <v>0</v>
      </c>
      <c r="I497" s="8">
        <f>'Components Data Source'!I497</f>
        <v>0</v>
      </c>
      <c r="J497" s="8">
        <f>'Components Data Source'!J497</f>
        <v>1</v>
      </c>
      <c r="K497" s="8">
        <f>'Components Data Source'!K497</f>
        <v>1</v>
      </c>
      <c r="L497" s="8">
        <f>'Components Data Source'!L497</f>
        <v>0</v>
      </c>
      <c r="M497" s="8" t="s">
        <v>1727</v>
      </c>
      <c r="N497" s="17" t="str">
        <f>HYPERLINK('Components Data Source'!M497)</f>
        <v>https://www.flowcode.co.uk/wiki/index.php?title=Component:_ID_8c97cc7d_3c7b_41b6_b255_6694b6b8eed9</v>
      </c>
      <c r="O497" s="8" t="s">
        <v>1721</v>
      </c>
      <c r="P497" s="8"/>
      <c r="Q497" s="8" t="str">
        <f t="shared" si="16"/>
        <v/>
      </c>
      <c r="R497" s="8" t="s">
        <v>1727</v>
      </c>
      <c r="S497" s="8" t="s">
        <v>1727</v>
      </c>
      <c r="T497" s="8"/>
      <c r="U497" s="8"/>
      <c r="V497" s="8" t="s">
        <v>1730</v>
      </c>
      <c r="W497" s="8" t="s">
        <v>1730</v>
      </c>
      <c r="X497" s="8"/>
      <c r="Y497" s="8"/>
      <c r="Z497" s="18">
        <f t="shared" si="15"/>
        <v>2</v>
      </c>
      <c r="AA497" s="8"/>
      <c r="AB497" s="7"/>
      <c r="AC497" s="7"/>
      <c r="AD497" s="8" t="s">
        <v>1721</v>
      </c>
      <c r="AE497" s="8" t="s">
        <v>1721</v>
      </c>
      <c r="AF497" s="8" t="s">
        <v>2401</v>
      </c>
      <c r="AG497" s="8" t="s">
        <v>1721</v>
      </c>
      <c r="AH497" s="47"/>
      <c r="AI497" s="47">
        <f>VLOOKUP(B497,'Components Usage'!A$2:C$603,3,FALSE)</f>
        <v>58</v>
      </c>
      <c r="AJ497" s="28" t="s">
        <v>2401</v>
      </c>
    </row>
    <row r="498" spans="1:36" x14ac:dyDescent="0.25">
      <c r="A498" s="16" t="str">
        <f>'Components Data Source'!A498</f>
        <v>Potentiometer (Colour)</v>
      </c>
      <c r="B498" s="8" t="str">
        <f>'Components Data Source'!B498</f>
        <v>14683EA8-5A08-4B3A-BE2D-3DEA3E17E720</v>
      </c>
      <c r="C498" s="8" t="str">
        <f>'Components Data Source'!C498</f>
        <v>knob_color_cap.fcpx</v>
      </c>
      <c r="D498" s="8" t="str">
        <f>'Components Data Source'!D498</f>
        <v>Components\IO_Source\adc\pot_Colour.fcfx</v>
      </c>
      <c r="E498" s="8" t="str">
        <f>'Components Data Source'!E498</f>
        <v>FREE</v>
      </c>
      <c r="F498" s="8">
        <f>'Components Data Source'!F498</f>
        <v>0</v>
      </c>
      <c r="G498" s="8">
        <f>'Components Data Source'!G498</f>
        <v>0</v>
      </c>
      <c r="H498" s="8">
        <f>'Components Data Source'!H498</f>
        <v>0</v>
      </c>
      <c r="I498" s="8">
        <f>'Components Data Source'!I498</f>
        <v>0</v>
      </c>
      <c r="J498" s="8">
        <f>'Components Data Source'!J498</f>
        <v>1</v>
      </c>
      <c r="K498" s="8">
        <f>'Components Data Source'!K498</f>
        <v>1</v>
      </c>
      <c r="L498" s="8">
        <f>'Components Data Source'!L498</f>
        <v>0</v>
      </c>
      <c r="M498" s="8" t="s">
        <v>1727</v>
      </c>
      <c r="N498" s="17" t="str">
        <f>HYPERLINK('Components Data Source'!M498)</f>
        <v>https://www.flowcode.co.uk/wiki/index.php?title=Component:_ID_14683ea8_5a08_4b3a_be2d_3dea3e17e720</v>
      </c>
      <c r="O498" s="8" t="s">
        <v>1721</v>
      </c>
      <c r="P498" s="8"/>
      <c r="Q498" s="8" t="str">
        <f t="shared" si="16"/>
        <v/>
      </c>
      <c r="R498" s="8" t="s">
        <v>1727</v>
      </c>
      <c r="S498" s="8" t="s">
        <v>1727</v>
      </c>
      <c r="T498" s="8"/>
      <c r="U498" s="8"/>
      <c r="V498" s="8" t="s">
        <v>1730</v>
      </c>
      <c r="W498" s="8" t="s">
        <v>1730</v>
      </c>
      <c r="X498" s="8"/>
      <c r="Y498" s="8"/>
      <c r="Z498" s="18">
        <f t="shared" si="15"/>
        <v>2</v>
      </c>
      <c r="AA498" s="8"/>
      <c r="AB498" s="7"/>
      <c r="AC498" s="7"/>
      <c r="AD498" s="8" t="s">
        <v>1721</v>
      </c>
      <c r="AE498" s="8" t="s">
        <v>1727</v>
      </c>
      <c r="AF498" s="8" t="s">
        <v>2401</v>
      </c>
      <c r="AG498" s="8" t="s">
        <v>1721</v>
      </c>
      <c r="AH498" s="47" t="s">
        <v>3645</v>
      </c>
      <c r="AI498" s="47">
        <f>VLOOKUP(B498,'Components Usage'!A$2:C$603,3,FALSE)</f>
        <v>309</v>
      </c>
      <c r="AJ498" s="28" t="s">
        <v>1721</v>
      </c>
    </row>
    <row r="499" spans="1:36" hidden="1" x14ac:dyDescent="0.25">
      <c r="A499" s="16" t="str">
        <f>'Components Data Source'!A499</f>
        <v>Potentiometer (Black)</v>
      </c>
      <c r="B499" s="8" t="str">
        <f>'Components Data Source'!B499</f>
        <v>D7E01665-00E9-4091-8AA6-B9A0DD265BCE</v>
      </c>
      <c r="C499" s="8" t="str">
        <f>'Components Data Source'!C499</f>
        <v>knob_ptr_black.fcpx</v>
      </c>
      <c r="D499" s="8" t="str">
        <f>'Components Data Source'!D499</f>
        <v>Components\IO_Source\adc\pot_Black.fcfx</v>
      </c>
      <c r="E499" s="8" t="str">
        <f>'Components Data Source'!E499</f>
        <v>BASICIO</v>
      </c>
      <c r="F499" s="8">
        <f>'Components Data Source'!F499</f>
        <v>0</v>
      </c>
      <c r="G499" s="8">
        <f>'Components Data Source'!G499</f>
        <v>0</v>
      </c>
      <c r="H499" s="8">
        <f>'Components Data Source'!H499</f>
        <v>0</v>
      </c>
      <c r="I499" s="8">
        <f>'Components Data Source'!I499</f>
        <v>0</v>
      </c>
      <c r="J499" s="8">
        <f>'Components Data Source'!J499</f>
        <v>1</v>
      </c>
      <c r="K499" s="8">
        <f>'Components Data Source'!K499</f>
        <v>1</v>
      </c>
      <c r="L499" s="8">
        <f>'Components Data Source'!L499</f>
        <v>0</v>
      </c>
      <c r="M499" s="8" t="s">
        <v>1727</v>
      </c>
      <c r="N499" s="17" t="str">
        <f>HYPERLINK('Components Data Source'!M499)</f>
        <v>https://www.flowcode.co.uk/wiki/index.php?title=Component:_ID_d7e01665_00e9_4091_8aa6_b9a0dd265bce</v>
      </c>
      <c r="O499" s="8" t="s">
        <v>1721</v>
      </c>
      <c r="P499" s="8"/>
      <c r="Q499" s="8" t="str">
        <f t="shared" si="16"/>
        <v/>
      </c>
      <c r="R499" s="8" t="s">
        <v>1727</v>
      </c>
      <c r="S499" s="8" t="s">
        <v>1727</v>
      </c>
      <c r="T499" s="8"/>
      <c r="U499" s="8"/>
      <c r="V499" s="8" t="s">
        <v>1730</v>
      </c>
      <c r="W499" s="8" t="s">
        <v>1730</v>
      </c>
      <c r="X499" s="8"/>
      <c r="Y499" s="8"/>
      <c r="Z499" s="18">
        <f t="shared" si="15"/>
        <v>2</v>
      </c>
      <c r="AA499" s="8"/>
      <c r="AB499" s="7"/>
      <c r="AC499" s="7"/>
      <c r="AD499" s="8" t="s">
        <v>1721</v>
      </c>
      <c r="AE499" s="8" t="s">
        <v>1721</v>
      </c>
      <c r="AF499" s="8" t="s">
        <v>1721</v>
      </c>
      <c r="AG499" s="8" t="s">
        <v>1721</v>
      </c>
      <c r="AH499" s="47"/>
      <c r="AI499" s="47">
        <f>VLOOKUP(B499,'Components Usage'!A$2:C$603,3,FALSE)</f>
        <v>123</v>
      </c>
      <c r="AJ499" s="28" t="s">
        <v>2401</v>
      </c>
    </row>
    <row r="500" spans="1:36" hidden="1" x14ac:dyDescent="0.25">
      <c r="A500" s="16" t="str">
        <f>'Components Data Source'!A500</f>
        <v>Potentiometer (Trimmer)</v>
      </c>
      <c r="B500" s="8" t="str">
        <f>'Components Data Source'!B500</f>
        <v>8462AC99-CA8F-429B-953A-36DBE58ADA72</v>
      </c>
      <c r="C500" s="8" t="str">
        <f>'Components Data Source'!C500</f>
        <v>knob_trim_finger.fcpx</v>
      </c>
      <c r="D500" s="8" t="str">
        <f>'Components Data Source'!D500</f>
        <v>Components\IO_Source\adc\pot_Trimmer.fcfx</v>
      </c>
      <c r="E500" s="8" t="str">
        <f>'Components Data Source'!E500</f>
        <v>BASICIO</v>
      </c>
      <c r="F500" s="8">
        <f>'Components Data Source'!F500</f>
        <v>0</v>
      </c>
      <c r="G500" s="8">
        <f>'Components Data Source'!G500</f>
        <v>0</v>
      </c>
      <c r="H500" s="8">
        <f>'Components Data Source'!H500</f>
        <v>0</v>
      </c>
      <c r="I500" s="8">
        <f>'Components Data Source'!I500</f>
        <v>0</v>
      </c>
      <c r="J500" s="8">
        <f>'Components Data Source'!J500</f>
        <v>1</v>
      </c>
      <c r="K500" s="8">
        <f>'Components Data Source'!K500</f>
        <v>1</v>
      </c>
      <c r="L500" s="8">
        <f>'Components Data Source'!L500</f>
        <v>0</v>
      </c>
      <c r="M500" s="8" t="s">
        <v>1727</v>
      </c>
      <c r="N500" s="17" t="str">
        <f>HYPERLINK('Components Data Source'!M500)</f>
        <v>https://www.flowcode.co.uk/wiki/index.php?title=Component:_ID_8462ac99_ca8f_429b_953a_36dbe58ada72</v>
      </c>
      <c r="O500" s="8" t="s">
        <v>1721</v>
      </c>
      <c r="P500" s="8"/>
      <c r="Q500" s="8" t="str">
        <f t="shared" si="16"/>
        <v/>
      </c>
      <c r="R500" s="8" t="s">
        <v>1727</v>
      </c>
      <c r="S500" s="8" t="s">
        <v>1727</v>
      </c>
      <c r="T500" s="8"/>
      <c r="U500" s="8"/>
      <c r="V500" s="8" t="s">
        <v>1730</v>
      </c>
      <c r="W500" s="8" t="s">
        <v>1730</v>
      </c>
      <c r="X500" s="8"/>
      <c r="Y500" s="8"/>
      <c r="Z500" s="18">
        <f t="shared" si="15"/>
        <v>2</v>
      </c>
      <c r="AA500" s="8"/>
      <c r="AB500" s="7"/>
      <c r="AC500" s="7"/>
      <c r="AD500" s="8" t="s">
        <v>1721</v>
      </c>
      <c r="AE500" s="8" t="s">
        <v>1721</v>
      </c>
      <c r="AF500" s="8" t="s">
        <v>2401</v>
      </c>
      <c r="AG500" s="8" t="s">
        <v>1721</v>
      </c>
      <c r="AH500" s="47"/>
      <c r="AI500" s="47">
        <f>VLOOKUP(B500,'Components Usage'!A$2:C$603,3,FALSE)</f>
        <v>74</v>
      </c>
      <c r="AJ500" s="28" t="s">
        <v>2401</v>
      </c>
    </row>
    <row r="501" spans="1:36" hidden="1" x14ac:dyDescent="0.25">
      <c r="A501" s="16" t="str">
        <f>'Components Data Source'!A501</f>
        <v>LED (LES Panel)</v>
      </c>
      <c r="B501" s="8" t="str">
        <f>'Components Data Source'!B501</f>
        <v>2C813CFA-9563-4DA8-85DF-B4355A3C5108</v>
      </c>
      <c r="C501" s="8" t="str">
        <f>'Components Data Source'!C501</f>
        <v>lamp_les.fcpx</v>
      </c>
      <c r="D501" s="8" t="str">
        <f>'Components Data Source'!D501</f>
        <v>Components\IO_Source\outputs\lamp_les.fcfx</v>
      </c>
      <c r="E501" s="8" t="str">
        <f>'Components Data Source'!E501</f>
        <v>BASICIO</v>
      </c>
      <c r="F501" s="8">
        <f>'Components Data Source'!F501</f>
        <v>0</v>
      </c>
      <c r="G501" s="8">
        <f>'Components Data Source'!G501</f>
        <v>0</v>
      </c>
      <c r="H501" s="8">
        <f>'Components Data Source'!H501</f>
        <v>0</v>
      </c>
      <c r="I501" s="8">
        <f>'Components Data Source'!I501</f>
        <v>0</v>
      </c>
      <c r="J501" s="8">
        <f>'Components Data Source'!J501</f>
        <v>1</v>
      </c>
      <c r="K501" s="8">
        <f>'Components Data Source'!K501</f>
        <v>1</v>
      </c>
      <c r="L501" s="8">
        <f>'Components Data Source'!L501</f>
        <v>0</v>
      </c>
      <c r="M501" s="8" t="s">
        <v>1727</v>
      </c>
      <c r="N501" s="17" t="str">
        <f>HYPERLINK('Components Data Source'!M501)</f>
        <v>https://www.flowcode.co.uk/wiki/index.php?title=Component:_ID_2c813cfa_9563_4da8_85df_b4355a3c5108</v>
      </c>
      <c r="O501" s="8" t="s">
        <v>1721</v>
      </c>
      <c r="P501" s="8"/>
      <c r="Q501" s="8" t="str">
        <f t="shared" si="16"/>
        <v/>
      </c>
      <c r="R501" s="8" t="s">
        <v>1727</v>
      </c>
      <c r="S501" s="8" t="s">
        <v>1727</v>
      </c>
      <c r="T501" s="8"/>
      <c r="U501" s="8"/>
      <c r="V501" s="8" t="s">
        <v>1730</v>
      </c>
      <c r="W501" s="8" t="s">
        <v>1730</v>
      </c>
      <c r="X501" s="8"/>
      <c r="Y501" s="8"/>
      <c r="Z501" s="18">
        <f t="shared" si="15"/>
        <v>2</v>
      </c>
      <c r="AA501" s="8"/>
      <c r="AB501" s="7"/>
      <c r="AC501" s="7"/>
      <c r="AD501" s="8" t="s">
        <v>1721</v>
      </c>
      <c r="AE501" s="8" t="s">
        <v>2401</v>
      </c>
      <c r="AF501" s="8" t="s">
        <v>1721</v>
      </c>
      <c r="AG501" s="8"/>
      <c r="AH501" s="47"/>
      <c r="AI501" s="47">
        <f>VLOOKUP(B501,'Components Usage'!A$2:C$603,3,FALSE)</f>
        <v>45</v>
      </c>
      <c r="AJ501" s="28" t="s">
        <v>2401</v>
      </c>
    </row>
    <row r="502" spans="1:36" x14ac:dyDescent="0.25">
      <c r="A502" s="16" t="str">
        <f>'Components Data Source'!A502</f>
        <v>Simulation LED (LES Panel)</v>
      </c>
      <c r="B502" s="8" t="str">
        <f>'Components Data Source'!B502</f>
        <v>3442E7CF-5482-48CE-886F-F151C73B27EF</v>
      </c>
      <c r="C502" s="8" t="str">
        <f>'Components Data Source'!C502</f>
        <v>lamp_les_sim.fcpx</v>
      </c>
      <c r="D502" s="8" t="str">
        <f>'Components Data Source'!D502</f>
        <v>Components\IO_Source\outputs\lamp_les_SIM.fcfx</v>
      </c>
      <c r="E502" s="8" t="str">
        <f>'Components Data Source'!E502</f>
        <v>FREE</v>
      </c>
      <c r="F502" s="8">
        <f>'Components Data Source'!F502</f>
        <v>0</v>
      </c>
      <c r="G502" s="8">
        <f>'Components Data Source'!G502</f>
        <v>0</v>
      </c>
      <c r="H502" s="8">
        <f>'Components Data Source'!H502</f>
        <v>0</v>
      </c>
      <c r="I502" s="8">
        <f>'Components Data Source'!I502</f>
        <v>0</v>
      </c>
      <c r="J502" s="8">
        <f>'Components Data Source'!J502</f>
        <v>1</v>
      </c>
      <c r="K502" s="8">
        <f>'Components Data Source'!K502</f>
        <v>1</v>
      </c>
      <c r="L502" s="8">
        <f>'Components Data Source'!L502</f>
        <v>1</v>
      </c>
      <c r="M502" s="8" t="s">
        <v>1727</v>
      </c>
      <c r="N502" s="17" t="str">
        <f>HYPERLINK('Components Data Source'!M502)</f>
        <v>https://www.flowcode.co.uk/wiki/index.php?title=Component:_ID_3442e7cf_5482_48ce_886f_f151c73b27ef</v>
      </c>
      <c r="O502" s="8" t="s">
        <v>1721</v>
      </c>
      <c r="P502" s="8"/>
      <c r="Q502" s="8" t="str">
        <f t="shared" si="16"/>
        <v/>
      </c>
      <c r="R502" s="8" t="s">
        <v>1727</v>
      </c>
      <c r="S502" s="8" t="s">
        <v>1727</v>
      </c>
      <c r="T502" s="8"/>
      <c r="U502" s="8"/>
      <c r="V502" s="8" t="s">
        <v>1730</v>
      </c>
      <c r="W502" s="8" t="s">
        <v>1730</v>
      </c>
      <c r="X502" s="8"/>
      <c r="Y502" s="8"/>
      <c r="Z502" s="18">
        <f t="shared" si="15"/>
        <v>2</v>
      </c>
      <c r="AA502" s="8"/>
      <c r="AB502" s="7"/>
      <c r="AC502" s="7"/>
      <c r="AD502" s="8" t="s">
        <v>1721</v>
      </c>
      <c r="AE502" s="8" t="s">
        <v>2401</v>
      </c>
      <c r="AF502" s="8" t="s">
        <v>2401</v>
      </c>
      <c r="AG502" s="8"/>
      <c r="AH502" s="47"/>
      <c r="AI502" s="47">
        <f>VLOOKUP(B502,'Components Usage'!A$2:C$603,3,FALSE)</f>
        <v>15</v>
      </c>
      <c r="AJ502" s="28" t="s">
        <v>2401</v>
      </c>
    </row>
    <row r="503" spans="1:36" x14ac:dyDescent="0.25">
      <c r="A503" s="16" t="str">
        <f>'Components Data Source'!A503</f>
        <v>LCD (Generic 16x2)</v>
      </c>
      <c r="B503" s="8" t="str">
        <f>'Components Data Source'!B503</f>
        <v>F8C9B53D-0BF2-469F-8F0A-34CAA93749BA</v>
      </c>
      <c r="C503" s="8" t="str">
        <f>'Components Data Source'!C503</f>
        <v>lcd_16x2.fcpx</v>
      </c>
      <c r="D503" s="8" t="str">
        <f>'Components Data Source'!D503</f>
        <v>Components\IO_Source\displays\LCD_16X2.fcfx</v>
      </c>
      <c r="E503" s="8" t="str">
        <f>'Components Data Source'!E503</f>
        <v>FREE</v>
      </c>
      <c r="F503" s="8">
        <f>'Components Data Source'!F503</f>
        <v>0</v>
      </c>
      <c r="G503" s="8">
        <f>'Components Data Source'!G503</f>
        <v>0</v>
      </c>
      <c r="H503" s="8">
        <f>'Components Data Source'!H503</f>
        <v>0</v>
      </c>
      <c r="I503" s="8">
        <f>'Components Data Source'!I503</f>
        <v>0</v>
      </c>
      <c r="J503" s="8">
        <f>'Components Data Source'!J503</f>
        <v>1</v>
      </c>
      <c r="K503" s="8">
        <f>'Components Data Source'!K503</f>
        <v>1</v>
      </c>
      <c r="L503" s="8">
        <f>'Components Data Source'!L503</f>
        <v>0</v>
      </c>
      <c r="M503" s="8" t="s">
        <v>1727</v>
      </c>
      <c r="N503" s="17" t="str">
        <f>HYPERLINK('Components Data Source'!M503)</f>
        <v>https://www.flowcode.co.uk/wiki/index.php?title=Component:_ID_f8c9b53d_0bf2_469f_8f0a_34caa93749ba</v>
      </c>
      <c r="O503" s="8" t="s">
        <v>1721</v>
      </c>
      <c r="P503" s="8" t="s">
        <v>2776</v>
      </c>
      <c r="Q503" s="8" t="str">
        <f t="shared" si="16"/>
        <v/>
      </c>
      <c r="R503" s="8" t="s">
        <v>1727</v>
      </c>
      <c r="S503" s="8" t="s">
        <v>1727</v>
      </c>
      <c r="T503" s="8"/>
      <c r="U503" s="8"/>
      <c r="V503" s="8" t="s">
        <v>1730</v>
      </c>
      <c r="W503" s="8" t="s">
        <v>1730</v>
      </c>
      <c r="X503" s="8"/>
      <c r="Y503" s="8"/>
      <c r="Z503" s="18">
        <f t="shared" si="15"/>
        <v>2</v>
      </c>
      <c r="AA503" s="8"/>
      <c r="AB503" s="7"/>
      <c r="AC503" s="7"/>
      <c r="AD503" s="8" t="s">
        <v>1721</v>
      </c>
      <c r="AE503" s="8" t="s">
        <v>1721</v>
      </c>
      <c r="AF503" s="8" t="s">
        <v>1721</v>
      </c>
      <c r="AG503" s="8" t="s">
        <v>1721</v>
      </c>
      <c r="AH503" s="47"/>
      <c r="AI503" s="47">
        <f>VLOOKUP(B503,'Components Usage'!A$2:C$603,3,FALSE)</f>
        <v>132</v>
      </c>
      <c r="AJ503" s="28" t="s">
        <v>1721</v>
      </c>
    </row>
    <row r="504" spans="1:36" hidden="1" x14ac:dyDescent="0.25">
      <c r="A504" s="16" t="str">
        <f>'Components Data Source'!A504</f>
        <v>LCD (Generic 20x4)</v>
      </c>
      <c r="B504" s="8" t="str">
        <f>'Components Data Source'!B504</f>
        <v>A2B40602-5421-4E2F-BA82-96DB1BE51D69</v>
      </c>
      <c r="C504" s="8" t="str">
        <f>'Components Data Source'!C504</f>
        <v>lcd_4x20.fcpx</v>
      </c>
      <c r="D504" s="8" t="str">
        <f>'Components Data Source'!D504</f>
        <v>Components\IO_Source\displays\LCD 4X20.fcfx</v>
      </c>
      <c r="E504" s="8" t="str">
        <f>'Components Data Source'!E504</f>
        <v>DISPLAYS</v>
      </c>
      <c r="F504" s="8">
        <f>'Components Data Source'!F504</f>
        <v>0</v>
      </c>
      <c r="G504" s="8">
        <f>'Components Data Source'!G504</f>
        <v>0</v>
      </c>
      <c r="H504" s="8">
        <f>'Components Data Source'!H504</f>
        <v>0</v>
      </c>
      <c r="I504" s="8">
        <f>'Components Data Source'!I504</f>
        <v>0</v>
      </c>
      <c r="J504" s="8">
        <f>'Components Data Source'!J504</f>
        <v>1</v>
      </c>
      <c r="K504" s="8">
        <f>'Components Data Source'!K504</f>
        <v>1</v>
      </c>
      <c r="L504" s="8">
        <f>'Components Data Source'!L504</f>
        <v>0</v>
      </c>
      <c r="M504" s="8" t="s">
        <v>1727</v>
      </c>
      <c r="N504" s="17" t="str">
        <f>HYPERLINK('Components Data Source'!M504)</f>
        <v>https://www.flowcode.co.uk/wiki/index.php?title=Component:_ID_a2b40602_5421_4e2f_ba82_96db1be51d69</v>
      </c>
      <c r="O504" s="8" t="s">
        <v>1721</v>
      </c>
      <c r="P504" s="8"/>
      <c r="Q504" s="8" t="str">
        <f t="shared" si="16"/>
        <v/>
      </c>
      <c r="R504" s="8" t="s">
        <v>1727</v>
      </c>
      <c r="S504" s="8" t="s">
        <v>1727</v>
      </c>
      <c r="T504" s="8"/>
      <c r="U504" s="8"/>
      <c r="V504" s="8" t="s">
        <v>1730</v>
      </c>
      <c r="W504" s="8" t="s">
        <v>1730</v>
      </c>
      <c r="X504" s="8"/>
      <c r="Y504" s="8"/>
      <c r="Z504" s="18">
        <f t="shared" si="15"/>
        <v>2</v>
      </c>
      <c r="AA504" s="8"/>
      <c r="AB504" s="7"/>
      <c r="AC504" s="7"/>
      <c r="AD504" s="8" t="s">
        <v>1721</v>
      </c>
      <c r="AE504" s="8" t="s">
        <v>1721</v>
      </c>
      <c r="AF504" s="8" t="s">
        <v>1721</v>
      </c>
      <c r="AG504" s="8" t="s">
        <v>1721</v>
      </c>
      <c r="AH504" s="47"/>
      <c r="AI504" s="47">
        <f>VLOOKUP(B504,'Components Usage'!A$2:C$603,3,FALSE)</f>
        <v>68</v>
      </c>
      <c r="AJ504" s="28" t="s">
        <v>2401</v>
      </c>
    </row>
    <row r="505" spans="1:36" hidden="1" x14ac:dyDescent="0.25">
      <c r="A505" s="16" t="str">
        <f>'Components Data Source'!A505</f>
        <v>LCD (Grove - UART)</v>
      </c>
      <c r="B505" s="8" t="str">
        <f>'Components Data Source'!B505</f>
        <v>31326041-9339-4CF4-B609-C14CC66318B3</v>
      </c>
      <c r="C505" s="8" t="str">
        <f>'Components Data Source'!C505</f>
        <v>lcd_Grove.fcpx</v>
      </c>
      <c r="D505" s="8" t="str">
        <f>'Components Data Source'!D505</f>
        <v>Components\IO_Source\displays\LCD Grove Uart.fcfx</v>
      </c>
      <c r="E505" s="8" t="str">
        <f>'Components Data Source'!E505</f>
        <v>DISPLAYS</v>
      </c>
      <c r="F505" s="8">
        <f>'Components Data Source'!F505</f>
        <v>0</v>
      </c>
      <c r="G505" s="8">
        <f>'Components Data Source'!G505</f>
        <v>0</v>
      </c>
      <c r="H505" s="8">
        <f>'Components Data Source'!H505</f>
        <v>0</v>
      </c>
      <c r="I505" s="8" t="str">
        <f>'Components Data Source'!I505</f>
        <v xml:space="preserve">UART </v>
      </c>
      <c r="J505" s="8">
        <f>'Components Data Source'!J505</f>
        <v>1</v>
      </c>
      <c r="K505" s="8">
        <f>'Components Data Source'!K505</f>
        <v>1</v>
      </c>
      <c r="L505" s="8">
        <f>'Components Data Source'!L505</f>
        <v>0</v>
      </c>
      <c r="M505" s="8" t="s">
        <v>1727</v>
      </c>
      <c r="N505" s="17" t="str">
        <f>HYPERLINK('Components Data Source'!M505)</f>
        <v>https://www.flowcode.co.uk/wiki/index.php?title=Component:_ID_31326041_9339_4cf4_b609_c14cc66318b3</v>
      </c>
      <c r="O505" s="8" t="s">
        <v>1721</v>
      </c>
      <c r="P505" s="8"/>
      <c r="Q505" s="8" t="str">
        <f t="shared" si="16"/>
        <v/>
      </c>
      <c r="R505" s="8" t="s">
        <v>1727</v>
      </c>
      <c r="S505" s="8" t="s">
        <v>1727</v>
      </c>
      <c r="T505" s="8"/>
      <c r="U505" s="8"/>
      <c r="V505" s="8" t="s">
        <v>1730</v>
      </c>
      <c r="W505" s="8" t="s">
        <v>1730</v>
      </c>
      <c r="X505" s="8"/>
      <c r="Y505" s="8"/>
      <c r="Z505" s="18">
        <f t="shared" si="15"/>
        <v>2</v>
      </c>
      <c r="AA505" s="8"/>
      <c r="AB505" s="7"/>
      <c r="AC505" s="7"/>
      <c r="AD505" s="8" t="s">
        <v>1721</v>
      </c>
      <c r="AE505" s="8" t="s">
        <v>1727</v>
      </c>
      <c r="AF505" s="8" t="s">
        <v>1727</v>
      </c>
      <c r="AG505" s="8"/>
      <c r="AH505" s="47"/>
      <c r="AI505" s="47">
        <f>VLOOKUP(B505,'Components Usage'!A$2:C$603,3,FALSE)</f>
        <v>0</v>
      </c>
      <c r="AJ505" s="28" t="s">
        <v>2401</v>
      </c>
    </row>
    <row r="506" spans="1:36" hidden="1" x14ac:dyDescent="0.25">
      <c r="A506" s="16" t="str">
        <f>'Components Data Source'!A506</f>
        <v>LCD (Grove - I2C)</v>
      </c>
      <c r="B506" s="8" t="str">
        <f>'Components Data Source'!B506</f>
        <v>F45468B8-5731-4BFB-B5C0-4042EF1DD1DA</v>
      </c>
      <c r="C506" s="8" t="str">
        <f>'Components Data Source'!C506</f>
        <v>lcd_Grove_I2C.fcpx</v>
      </c>
      <c r="D506" s="8" t="str">
        <f>'Components Data Source'!D506</f>
        <v>Components\IO_Source\displays\LCD Grove I2C.fcfx</v>
      </c>
      <c r="E506" s="8" t="str">
        <f>'Components Data Source'!E506</f>
        <v>DISPLAYS</v>
      </c>
      <c r="F506" s="8">
        <f>'Components Data Source'!F506</f>
        <v>0</v>
      </c>
      <c r="G506" s="8">
        <f>'Components Data Source'!G506</f>
        <v>0</v>
      </c>
      <c r="H506" s="8">
        <f>'Components Data Source'!H506</f>
        <v>0</v>
      </c>
      <c r="I506" s="8" t="str">
        <f>'Components Data Source'!I506</f>
        <v xml:space="preserve">I2C </v>
      </c>
      <c r="J506" s="8">
        <f>'Components Data Source'!J506</f>
        <v>1</v>
      </c>
      <c r="K506" s="8">
        <f>'Components Data Source'!K506</f>
        <v>1</v>
      </c>
      <c r="L506" s="8">
        <f>'Components Data Source'!L506</f>
        <v>0</v>
      </c>
      <c r="M506" s="8" t="s">
        <v>1727</v>
      </c>
      <c r="N506" s="17" t="str">
        <f>HYPERLINK('Components Data Source'!M506)</f>
        <v>https://www.flowcode.co.uk/wiki/index.php?title=Component:_ID_f45468b8_5731_4bfb_b5c0_4042ef1dd1da</v>
      </c>
      <c r="O506" s="8" t="s">
        <v>1721</v>
      </c>
      <c r="P506" s="8"/>
      <c r="Q506" s="8" t="str">
        <f t="shared" si="16"/>
        <v/>
      </c>
      <c r="R506" s="8" t="s">
        <v>1727</v>
      </c>
      <c r="S506" s="8" t="s">
        <v>1727</v>
      </c>
      <c r="T506" s="8"/>
      <c r="U506" s="8"/>
      <c r="V506" s="8" t="s">
        <v>1730</v>
      </c>
      <c r="W506" s="8" t="s">
        <v>1730</v>
      </c>
      <c r="X506" s="8"/>
      <c r="Y506" s="8"/>
      <c r="Z506" s="18">
        <f t="shared" si="15"/>
        <v>2</v>
      </c>
      <c r="AA506" s="8"/>
      <c r="AB506" s="7"/>
      <c r="AC506" s="7"/>
      <c r="AD506" s="8" t="s">
        <v>1721</v>
      </c>
      <c r="AE506" s="8" t="s">
        <v>1727</v>
      </c>
      <c r="AF506" s="8" t="s">
        <v>1727</v>
      </c>
      <c r="AG506" s="8"/>
      <c r="AH506" s="47"/>
      <c r="AI506" s="47">
        <f>VLOOKUP(B506,'Components Usage'!A$2:C$603,3,FALSE)</f>
        <v>21</v>
      </c>
      <c r="AJ506" s="28" t="s">
        <v>2401</v>
      </c>
    </row>
    <row r="507" spans="1:36" hidden="1" x14ac:dyDescent="0.25">
      <c r="A507" s="16" t="str">
        <f>'Components Data Source'!A507</f>
        <v>LCD I2C (Backpack)</v>
      </c>
      <c r="B507" s="8" t="str">
        <f>'Components Data Source'!B507</f>
        <v>BCD6A955-12C6-4ED4-A22F-F16EB62E0762</v>
      </c>
      <c r="C507" s="8" t="str">
        <f>'Components Data Source'!C507</f>
        <v>lcd_I2C.fcpx</v>
      </c>
      <c r="D507" s="8" t="str">
        <f>'Components Data Source'!D507</f>
        <v>Components\IO_Source\displays\LCD I2C.fcfx</v>
      </c>
      <c r="E507" s="8" t="str">
        <f>'Components Data Source'!E507</f>
        <v>DISPLAYS</v>
      </c>
      <c r="F507" s="8">
        <f>'Components Data Source'!F507</f>
        <v>0</v>
      </c>
      <c r="G507" s="8">
        <f>'Components Data Source'!G507</f>
        <v>0</v>
      </c>
      <c r="H507" s="8">
        <f>'Components Data Source'!H507</f>
        <v>0</v>
      </c>
      <c r="I507" s="8" t="str">
        <f>'Components Data Source'!I507</f>
        <v xml:space="preserve">I2C </v>
      </c>
      <c r="J507" s="8">
        <f>'Components Data Source'!J507</f>
        <v>1</v>
      </c>
      <c r="K507" s="8">
        <f>'Components Data Source'!K507</f>
        <v>1</v>
      </c>
      <c r="L507" s="8">
        <f>'Components Data Source'!L507</f>
        <v>0</v>
      </c>
      <c r="M507" s="8" t="s">
        <v>1727</v>
      </c>
      <c r="N507" s="17" t="str">
        <f>HYPERLINK('Components Data Source'!M507)</f>
        <v>https://www.flowcode.co.uk/wiki/index.php?title=Component:_ID_bcd6a955_12c6_4ed4_a22f_f16eb62e0762</v>
      </c>
      <c r="O507" s="8" t="s">
        <v>1721</v>
      </c>
      <c r="P507" s="8"/>
      <c r="Q507" s="8" t="str">
        <f t="shared" si="16"/>
        <v/>
      </c>
      <c r="R507" s="8" t="s">
        <v>1727</v>
      </c>
      <c r="S507" s="8" t="s">
        <v>1727</v>
      </c>
      <c r="T507" s="8"/>
      <c r="U507" s="8"/>
      <c r="V507" s="8" t="s">
        <v>1730</v>
      </c>
      <c r="W507" s="8" t="s">
        <v>1730</v>
      </c>
      <c r="X507" s="8"/>
      <c r="Y507" s="8"/>
      <c r="Z507" s="18">
        <f t="shared" si="15"/>
        <v>2</v>
      </c>
      <c r="AA507" s="8"/>
      <c r="AB507" s="7"/>
      <c r="AC507" s="7"/>
      <c r="AD507" s="8" t="s">
        <v>1721</v>
      </c>
      <c r="AE507" s="8" t="s">
        <v>1727</v>
      </c>
      <c r="AF507" s="8" t="s">
        <v>1727</v>
      </c>
      <c r="AG507" s="8" t="s">
        <v>1721</v>
      </c>
      <c r="AH507" s="47"/>
      <c r="AI507" s="47">
        <f>VLOOKUP(B507,'Components Usage'!A$2:C$603,3,FALSE)</f>
        <v>67</v>
      </c>
      <c r="AJ507" s="28" t="s">
        <v>2401</v>
      </c>
    </row>
    <row r="508" spans="1:36" hidden="1" x14ac:dyDescent="0.25">
      <c r="A508" s="16" t="str">
        <f>'Components Data Source'!A508</f>
        <v>LCD (ST7032i)</v>
      </c>
      <c r="B508" s="8" t="str">
        <f>'Components Data Source'!B508</f>
        <v>24A7A014-0AD0-44A7-B63B-61DAC014EEE7</v>
      </c>
      <c r="C508" s="8" t="str">
        <f>'Components Data Source'!C508</f>
        <v>lcd_ST7032i.fcpx</v>
      </c>
      <c r="D508" s="8" t="str">
        <f>'Components Data Source'!D508</f>
        <v>Components\IO_Source\displays\LCD ST7032i.fcfx</v>
      </c>
      <c r="E508" s="8" t="str">
        <f>'Components Data Source'!E508</f>
        <v>DISPLAYS</v>
      </c>
      <c r="F508" s="8">
        <f>'Components Data Source'!F508</f>
        <v>0</v>
      </c>
      <c r="G508" s="8">
        <f>'Components Data Source'!G508</f>
        <v>0</v>
      </c>
      <c r="H508" s="8">
        <f>'Components Data Source'!H508</f>
        <v>0</v>
      </c>
      <c r="I508" s="8" t="str">
        <f>'Components Data Source'!I508</f>
        <v xml:space="preserve">I2C </v>
      </c>
      <c r="J508" s="8">
        <f>'Components Data Source'!J508</f>
        <v>1</v>
      </c>
      <c r="K508" s="8">
        <f>'Components Data Source'!K508</f>
        <v>1</v>
      </c>
      <c r="L508" s="8">
        <f>'Components Data Source'!L508</f>
        <v>0</v>
      </c>
      <c r="M508" s="8" t="s">
        <v>1727</v>
      </c>
      <c r="N508" s="17" t="str">
        <f>HYPERLINK('Components Data Source'!M508)</f>
        <v>https://www.flowcode.co.uk/wiki/index.php?title=Component:_ID_24a7a014_0ad0_44a7_b63b_61dac014eee7</v>
      </c>
      <c r="O508" s="8" t="s">
        <v>1721</v>
      </c>
      <c r="P508" s="8" t="s">
        <v>2782</v>
      </c>
      <c r="Q508" s="8" t="str">
        <f t="shared" si="16"/>
        <v/>
      </c>
      <c r="R508" s="8" t="s">
        <v>1727</v>
      </c>
      <c r="S508" s="8" t="s">
        <v>1727</v>
      </c>
      <c r="T508" s="8"/>
      <c r="U508" s="8"/>
      <c r="V508" s="8" t="s">
        <v>1730</v>
      </c>
      <c r="W508" s="8" t="s">
        <v>1730</v>
      </c>
      <c r="X508" s="8"/>
      <c r="Y508" s="8"/>
      <c r="Z508" s="18">
        <f t="shared" si="15"/>
        <v>2</v>
      </c>
      <c r="AA508" s="8"/>
      <c r="AB508" s="7"/>
      <c r="AC508" s="7"/>
      <c r="AD508" s="8" t="s">
        <v>1727</v>
      </c>
      <c r="AE508" s="8"/>
      <c r="AF508" s="8"/>
      <c r="AG508" s="8"/>
      <c r="AH508" s="47"/>
      <c r="AI508" s="47">
        <f>VLOOKUP(B508,'Components Usage'!A$2:C$603,3,FALSE)</f>
        <v>0</v>
      </c>
      <c r="AJ508" s="28"/>
    </row>
    <row r="509" spans="1:36" x14ac:dyDescent="0.25">
      <c r="A509" s="16" t="str">
        <f>'Components Data Source'!A509</f>
        <v>LCD(EB005)</v>
      </c>
      <c r="B509" s="8" t="str">
        <f>'Components Data Source'!B509</f>
        <v>D29DDA88-17DE-4008-991A-C881890D4C57</v>
      </c>
      <c r="C509" s="8" t="str">
        <f>'Components Data Source'!C509</f>
        <v>lcd_eb005.fcpx</v>
      </c>
      <c r="D509" s="8" t="str">
        <f>'Components Data Source'!D509</f>
        <v>Components\IO_Source\displays\LCD EB005.fcfx</v>
      </c>
      <c r="E509" s="8" t="str">
        <f>'Components Data Source'!E509</f>
        <v>FREE</v>
      </c>
      <c r="F509" s="8" t="str">
        <f>'Components Data Source'!F509</f>
        <v>E-BLOCKS 1</v>
      </c>
      <c r="G509" s="8">
        <f>'Components Data Source'!G509</f>
        <v>0</v>
      </c>
      <c r="H509" s="8">
        <f>'Components Data Source'!H509</f>
        <v>0</v>
      </c>
      <c r="I509" s="8">
        <f>'Components Data Source'!I509</f>
        <v>0</v>
      </c>
      <c r="J509" s="8">
        <f>'Components Data Source'!J509</f>
        <v>1</v>
      </c>
      <c r="K509" s="8">
        <f>'Components Data Source'!K509</f>
        <v>0</v>
      </c>
      <c r="L509" s="8">
        <f>'Components Data Source'!L509</f>
        <v>0</v>
      </c>
      <c r="M509" s="8" t="s">
        <v>1727</v>
      </c>
      <c r="N509" s="17" t="str">
        <f>HYPERLINK('Components Data Source'!M509)</f>
        <v>https://www.flowcode.co.uk/wiki/index.php?title=Component:_ID_d29dda88_17de_4008_991a_c881890d4c57</v>
      </c>
      <c r="O509" s="8" t="s">
        <v>2589</v>
      </c>
      <c r="P509" s="8"/>
      <c r="Q509" s="8" t="str">
        <f t="shared" si="16"/>
        <v/>
      </c>
      <c r="R509" s="8" t="s">
        <v>1727</v>
      </c>
      <c r="S509" s="8" t="s">
        <v>1727</v>
      </c>
      <c r="T509" s="8"/>
      <c r="U509" s="8"/>
      <c r="V509" s="8" t="s">
        <v>1730</v>
      </c>
      <c r="W509" s="8" t="s">
        <v>1730</v>
      </c>
      <c r="X509" s="8"/>
      <c r="Y509" s="8"/>
      <c r="Z509" s="18">
        <f t="shared" si="15"/>
        <v>2</v>
      </c>
      <c r="AA509" s="8"/>
      <c r="AB509" s="7"/>
      <c r="AC509" s="7"/>
      <c r="AD509" s="8" t="s">
        <v>1721</v>
      </c>
      <c r="AE509" s="8" t="s">
        <v>1727</v>
      </c>
      <c r="AF509" s="8" t="s">
        <v>1727</v>
      </c>
      <c r="AG509" s="8" t="s">
        <v>1721</v>
      </c>
      <c r="AH509" s="47"/>
      <c r="AI509" s="47">
        <f>VLOOKUP(B509,'Components Usage'!A$2:C$603,3,FALSE)</f>
        <v>143</v>
      </c>
      <c r="AJ509" s="28" t="s">
        <v>2401</v>
      </c>
    </row>
    <row r="510" spans="1:36" hidden="1" x14ac:dyDescent="0.25">
      <c r="A510" s="16" t="str">
        <f>'Components Data Source'!A510</f>
        <v>LCD (Generic Configurable)</v>
      </c>
      <c r="B510" s="8" t="str">
        <f>'Components Data Source'!B510</f>
        <v>51677753-5EAF-4E3A-A3C8-71C49A142171</v>
      </c>
      <c r="C510" s="8" t="str">
        <f>'Components Data Source'!C510</f>
        <v>lcd_generic.fcpx</v>
      </c>
      <c r="D510" s="8" t="str">
        <f>'Components Data Source'!D510</f>
        <v>Components\IO_Source\displays\LCD Generic.fcfx</v>
      </c>
      <c r="E510" s="8" t="str">
        <f>'Components Data Source'!E510</f>
        <v>DISPLAYS</v>
      </c>
      <c r="F510" s="8">
        <f>'Components Data Source'!F510</f>
        <v>0</v>
      </c>
      <c r="G510" s="8">
        <f>'Components Data Source'!G510</f>
        <v>0</v>
      </c>
      <c r="H510" s="8">
        <f>'Components Data Source'!H510</f>
        <v>0</v>
      </c>
      <c r="I510" s="8">
        <f>'Components Data Source'!I510</f>
        <v>0</v>
      </c>
      <c r="J510" s="8">
        <f>'Components Data Source'!J510</f>
        <v>1</v>
      </c>
      <c r="K510" s="8">
        <f>'Components Data Source'!K510</f>
        <v>1</v>
      </c>
      <c r="L510" s="8">
        <f>'Components Data Source'!L510</f>
        <v>0</v>
      </c>
      <c r="M510" s="8" t="s">
        <v>1727</v>
      </c>
      <c r="N510" s="17" t="str">
        <f>HYPERLINK('Components Data Source'!M510)</f>
        <v>https://www.flowcode.co.uk/wiki/index.php?title=Component:_ID_51677753_5eaf_4e3a_a3c8_71c49a142171</v>
      </c>
      <c r="O510" s="8" t="s">
        <v>1721</v>
      </c>
      <c r="P510" s="8"/>
      <c r="Q510" s="8" t="str">
        <f t="shared" si="16"/>
        <v/>
      </c>
      <c r="R510" s="8" t="s">
        <v>1727</v>
      </c>
      <c r="S510" s="8" t="s">
        <v>1727</v>
      </c>
      <c r="T510" s="8"/>
      <c r="U510" s="8"/>
      <c r="V510" s="8" t="s">
        <v>1730</v>
      </c>
      <c r="W510" s="8" t="s">
        <v>1730</v>
      </c>
      <c r="X510" s="8"/>
      <c r="Y510" s="8"/>
      <c r="Z510" s="18">
        <f t="shared" si="15"/>
        <v>2</v>
      </c>
      <c r="AA510" s="8"/>
      <c r="AB510" s="7"/>
      <c r="AC510" s="7"/>
      <c r="AD510" s="8" t="s">
        <v>1727</v>
      </c>
      <c r="AE510" s="8"/>
      <c r="AF510" s="8"/>
      <c r="AG510" s="8"/>
      <c r="AH510" s="47"/>
      <c r="AI510" s="47">
        <f>VLOOKUP(B510,'Components Usage'!A$2:C$603,3,FALSE)</f>
        <v>38</v>
      </c>
      <c r="AJ510" s="28" t="s">
        <v>1721</v>
      </c>
    </row>
    <row r="511" spans="1:36" hidden="1" x14ac:dyDescent="0.25">
      <c r="A511" s="16" t="str">
        <f>'Components Data Source'!A511</f>
        <v>LED (3mm PCB)</v>
      </c>
      <c r="B511" s="8" t="str">
        <f>'Components Data Source'!B511</f>
        <v>1085EE2F-0D48-4189-869C-F659FD873FD4</v>
      </c>
      <c r="C511" s="8" t="str">
        <f>'Components Data Source'!C511</f>
        <v>led_3mm.fcpx</v>
      </c>
      <c r="D511" s="8" t="str">
        <f>'Components Data Source'!D511</f>
        <v>Components\IO_Source\outputs\LED 3mm.fcfx</v>
      </c>
      <c r="E511" s="8" t="str">
        <f>'Components Data Source'!E511</f>
        <v>BASICIO</v>
      </c>
      <c r="F511" s="8">
        <f>'Components Data Source'!F511</f>
        <v>0</v>
      </c>
      <c r="G511" s="8">
        <f>'Components Data Source'!G511</f>
        <v>0</v>
      </c>
      <c r="H511" s="8">
        <f>'Components Data Source'!H511</f>
        <v>0</v>
      </c>
      <c r="I511" s="8">
        <f>'Components Data Source'!I511</f>
        <v>0</v>
      </c>
      <c r="J511" s="8">
        <f>'Components Data Source'!J511</f>
        <v>1</v>
      </c>
      <c r="K511" s="8">
        <f>'Components Data Source'!K511</f>
        <v>1</v>
      </c>
      <c r="L511" s="8">
        <f>'Components Data Source'!L511</f>
        <v>0</v>
      </c>
      <c r="M511" s="8" t="s">
        <v>1727</v>
      </c>
      <c r="N511" s="17" t="str">
        <f>HYPERLINK('Components Data Source'!M511)</f>
        <v>https://www.flowcode.co.uk/wiki/index.php?title=Component:_ID_1085ee2f_0d48_4189_869c_f659fd873fd4</v>
      </c>
      <c r="O511" s="8" t="s">
        <v>2589</v>
      </c>
      <c r="P511" s="8" t="s">
        <v>2783</v>
      </c>
      <c r="Q511" s="8" t="str">
        <f t="shared" si="16"/>
        <v/>
      </c>
      <c r="R511" s="8" t="s">
        <v>1727</v>
      </c>
      <c r="S511" s="8" t="s">
        <v>1727</v>
      </c>
      <c r="T511" s="8"/>
      <c r="U511" s="8"/>
      <c r="V511" s="8" t="s">
        <v>1730</v>
      </c>
      <c r="W511" s="8" t="s">
        <v>1730</v>
      </c>
      <c r="X511" s="8"/>
      <c r="Y511" s="8"/>
      <c r="Z511" s="18">
        <f t="shared" si="15"/>
        <v>2</v>
      </c>
      <c r="AA511" s="8"/>
      <c r="AB511" s="7"/>
      <c r="AC511" s="7"/>
      <c r="AD511" s="8" t="s">
        <v>1727</v>
      </c>
      <c r="AE511" s="8" t="s">
        <v>1727</v>
      </c>
      <c r="AF511" s="8"/>
      <c r="AG511" s="8" t="s">
        <v>1721</v>
      </c>
      <c r="AH511" s="47"/>
      <c r="AI511" s="47">
        <f>VLOOKUP(B511,'Components Usage'!A$2:C$603,3,FALSE)</f>
        <v>72</v>
      </c>
      <c r="AJ511" s="28"/>
    </row>
    <row r="512" spans="1:36" x14ac:dyDescent="0.25">
      <c r="A512" s="16" t="str">
        <f>'Components Data Source'!A512</f>
        <v>Simulation LED (3mm PCB)</v>
      </c>
      <c r="B512" s="8" t="str">
        <f>'Components Data Source'!B512</f>
        <v>83BD894C-8F2C-4370-95C3-CAE107CCC64D</v>
      </c>
      <c r="C512" s="8" t="str">
        <f>'Components Data Source'!C512</f>
        <v>led_3mm_sim.fcpx</v>
      </c>
      <c r="D512" s="8" t="str">
        <f>'Components Data Source'!D512</f>
        <v>Components\IO_Source\outputs\LED 3mm SIM.fcfx</v>
      </c>
      <c r="E512" s="8" t="str">
        <f>'Components Data Source'!E512</f>
        <v>FREE</v>
      </c>
      <c r="F512" s="8">
        <f>'Components Data Source'!F512</f>
        <v>0</v>
      </c>
      <c r="G512" s="8">
        <f>'Components Data Source'!G512</f>
        <v>0</v>
      </c>
      <c r="H512" s="8">
        <f>'Components Data Source'!H512</f>
        <v>0</v>
      </c>
      <c r="I512" s="8">
        <f>'Components Data Source'!I512</f>
        <v>0</v>
      </c>
      <c r="J512" s="8">
        <f>'Components Data Source'!J512</f>
        <v>1</v>
      </c>
      <c r="K512" s="8">
        <f>'Components Data Source'!K512</f>
        <v>1</v>
      </c>
      <c r="L512" s="8">
        <f>'Components Data Source'!L512</f>
        <v>1</v>
      </c>
      <c r="M512" s="8" t="s">
        <v>1727</v>
      </c>
      <c r="N512" s="17" t="str">
        <f>HYPERLINK('Components Data Source'!M512)</f>
        <v>https://www.flowcode.co.uk/wiki/index.php?title=Component:_ID_83bd894c_8f2c_4370_95c3_cae107ccc64d</v>
      </c>
      <c r="O512" s="8" t="s">
        <v>1721</v>
      </c>
      <c r="P512" s="8"/>
      <c r="Q512" s="8" t="str">
        <f t="shared" si="16"/>
        <v/>
      </c>
      <c r="R512" s="8" t="s">
        <v>1727</v>
      </c>
      <c r="S512" s="8" t="s">
        <v>1727</v>
      </c>
      <c r="T512" s="8"/>
      <c r="U512" s="8"/>
      <c r="V512" s="8" t="s">
        <v>1730</v>
      </c>
      <c r="W512" s="8" t="s">
        <v>1730</v>
      </c>
      <c r="X512" s="8"/>
      <c r="Y512" s="8"/>
      <c r="Z512" s="18">
        <f t="shared" si="15"/>
        <v>2</v>
      </c>
      <c r="AA512" s="8"/>
      <c r="AB512" s="7"/>
      <c r="AC512" s="7"/>
      <c r="AD512" s="8" t="s">
        <v>1721</v>
      </c>
      <c r="AE512" s="8" t="s">
        <v>2401</v>
      </c>
      <c r="AF512" s="8" t="s">
        <v>2401</v>
      </c>
      <c r="AG512" s="8"/>
      <c r="AH512" s="47"/>
      <c r="AI512" s="47">
        <f>VLOOKUP(B512,'Components Usage'!A$2:C$603,3,FALSE)</f>
        <v>4</v>
      </c>
      <c r="AJ512" s="28" t="s">
        <v>2401</v>
      </c>
    </row>
    <row r="513" spans="1:36" hidden="1" x14ac:dyDescent="0.25">
      <c r="A513" s="16" t="str">
        <f>'Components Data Source'!A513</f>
        <v>LED (5mm PCB)</v>
      </c>
      <c r="B513" s="8" t="str">
        <f>'Components Data Source'!B513</f>
        <v>D92E8259-F3A8-4176-A8C4-FE7CA42B2C3F</v>
      </c>
      <c r="C513" s="8" t="str">
        <f>'Components Data Source'!C513</f>
        <v>led_5mm.fcpx</v>
      </c>
      <c r="D513" s="8" t="str">
        <f>'Components Data Source'!D513</f>
        <v>Components\IO_Source\outputs\led_5mm_basic.fcfx</v>
      </c>
      <c r="E513" s="8" t="str">
        <f>'Components Data Source'!E513</f>
        <v>BASICIO</v>
      </c>
      <c r="F513" s="8">
        <f>'Components Data Source'!F513</f>
        <v>0</v>
      </c>
      <c r="G513" s="8">
        <f>'Components Data Source'!G513</f>
        <v>0</v>
      </c>
      <c r="H513" s="8">
        <f>'Components Data Source'!H513</f>
        <v>0</v>
      </c>
      <c r="I513" s="8">
        <f>'Components Data Source'!I513</f>
        <v>0</v>
      </c>
      <c r="J513" s="8">
        <f>'Components Data Source'!J513</f>
        <v>1</v>
      </c>
      <c r="K513" s="8">
        <f>'Components Data Source'!K513</f>
        <v>1</v>
      </c>
      <c r="L513" s="8">
        <f>'Components Data Source'!L513</f>
        <v>0</v>
      </c>
      <c r="M513" s="8" t="s">
        <v>1727</v>
      </c>
      <c r="N513" s="17" t="str">
        <f>HYPERLINK('Components Data Source'!M513)</f>
        <v>https://www.flowcode.co.uk/wiki/index.php?title=Component:_ID_d92e8259_f3a8_4176_a8c4_fe7ca42b2c3f</v>
      </c>
      <c r="O513" s="8" t="s">
        <v>1721</v>
      </c>
      <c r="P513" s="8"/>
      <c r="Q513" s="8" t="str">
        <f t="shared" si="16"/>
        <v/>
      </c>
      <c r="R513" s="8" t="s">
        <v>1727</v>
      </c>
      <c r="S513" s="8" t="s">
        <v>1727</v>
      </c>
      <c r="T513" s="8"/>
      <c r="U513" s="8"/>
      <c r="V513" s="8" t="s">
        <v>1730</v>
      </c>
      <c r="W513" s="8" t="s">
        <v>1730</v>
      </c>
      <c r="X513" s="8"/>
      <c r="Y513" s="8"/>
      <c r="Z513" s="18">
        <f t="shared" si="15"/>
        <v>2</v>
      </c>
      <c r="AA513" s="8"/>
      <c r="AB513" s="7"/>
      <c r="AC513" s="7"/>
      <c r="AD513" s="8" t="s">
        <v>1721</v>
      </c>
      <c r="AE513" s="8" t="s">
        <v>1727</v>
      </c>
      <c r="AF513" s="8" t="s">
        <v>1721</v>
      </c>
      <c r="AG513" s="8" t="s">
        <v>1721</v>
      </c>
      <c r="AH513" s="47"/>
      <c r="AI513" s="47">
        <f>VLOOKUP(B513,'Components Usage'!A$2:C$603,3,FALSE)</f>
        <v>288</v>
      </c>
      <c r="AJ513" s="28" t="s">
        <v>2401</v>
      </c>
    </row>
    <row r="514" spans="1:36" x14ac:dyDescent="0.25">
      <c r="A514" s="16" t="str">
        <f>'Components Data Source'!A514</f>
        <v>LED (5mm Panel)</v>
      </c>
      <c r="B514" s="8" t="str">
        <f>'Components Data Source'!B514</f>
        <v>7FDAEC78-394E-4EC9-A578-4F1A12A12076</v>
      </c>
      <c r="C514" s="8" t="str">
        <f>'Components Data Source'!C514</f>
        <v>led_5mm_pnl.fcpx</v>
      </c>
      <c r="D514" s="8" t="str">
        <f>'Components Data Source'!D514</f>
        <v>Components\IO_Source\outputs\led_5mm_pnl.fcfx</v>
      </c>
      <c r="E514" s="8" t="str">
        <f>'Components Data Source'!E514</f>
        <v>FREE</v>
      </c>
      <c r="F514" s="8">
        <f>'Components Data Source'!F514</f>
        <v>0</v>
      </c>
      <c r="G514" s="8">
        <f>'Components Data Source'!G514</f>
        <v>0</v>
      </c>
      <c r="H514" s="8">
        <f>'Components Data Source'!H514</f>
        <v>0</v>
      </c>
      <c r="I514" s="8">
        <f>'Components Data Source'!I514</f>
        <v>0</v>
      </c>
      <c r="J514" s="8">
        <f>'Components Data Source'!J514</f>
        <v>1</v>
      </c>
      <c r="K514" s="8">
        <f>'Components Data Source'!K514</f>
        <v>1</v>
      </c>
      <c r="L514" s="8">
        <f>'Components Data Source'!L514</f>
        <v>0</v>
      </c>
      <c r="M514" s="8" t="s">
        <v>1727</v>
      </c>
      <c r="N514" s="17" t="str">
        <f>HYPERLINK('Components Data Source'!M514)</f>
        <v>https://www.flowcode.co.uk/wiki/index.php?title=Component:_ID_7fdaec78_394e_4ec9_a578_4f1a12a12076</v>
      </c>
      <c r="O514" s="8" t="s">
        <v>1721</v>
      </c>
      <c r="P514" s="8"/>
      <c r="Q514" s="8" t="str">
        <f t="shared" si="16"/>
        <v/>
      </c>
      <c r="R514" s="8" t="s">
        <v>1727</v>
      </c>
      <c r="S514" s="8" t="s">
        <v>1727</v>
      </c>
      <c r="T514" s="8"/>
      <c r="U514" s="8"/>
      <c r="V514" s="8" t="s">
        <v>1730</v>
      </c>
      <c r="W514" s="8" t="s">
        <v>1730</v>
      </c>
      <c r="X514" s="8"/>
      <c r="Y514" s="8"/>
      <c r="Z514" s="18">
        <f t="shared" ref="Z514:Z577" si="17">IF(AND(R514="Y",Y514="Y"),1,IF(R514="N",2,IF(R514="",4,IF(Y514="A",3,0))))</f>
        <v>2</v>
      </c>
      <c r="AA514" s="8"/>
      <c r="AB514" s="7"/>
      <c r="AC514" s="7"/>
      <c r="AD514" s="8" t="s">
        <v>1721</v>
      </c>
      <c r="AE514" s="8" t="s">
        <v>1727</v>
      </c>
      <c r="AF514" s="8" t="s">
        <v>1721</v>
      </c>
      <c r="AG514" s="8" t="s">
        <v>1721</v>
      </c>
      <c r="AH514" s="47"/>
      <c r="AI514" s="47">
        <f>VLOOKUP(B514,'Components Usage'!A$2:C$603,3,FALSE)</f>
        <v>486</v>
      </c>
      <c r="AJ514" s="28" t="s">
        <v>2401</v>
      </c>
    </row>
    <row r="515" spans="1:36" x14ac:dyDescent="0.25">
      <c r="A515" s="16" t="str">
        <f>'Components Data Source'!A515</f>
        <v>7Segment (Quad)</v>
      </c>
      <c r="B515" s="8" t="str">
        <f>'Components Data Source'!B515</f>
        <v>F4400E36-DD95-4472-86DA-4BBA68D68D5D</v>
      </c>
      <c r="C515" s="8" t="str">
        <f>'Components Data Source'!C515</f>
        <v>led_7seg_quad.fcpx</v>
      </c>
      <c r="D515" s="8" t="str">
        <f>'Components Data Source'!D515</f>
        <v>Components\IO_Source\outputs\led_7seg_quad.fcfx</v>
      </c>
      <c r="E515" s="8" t="str">
        <f>'Components Data Source'!E515</f>
        <v>FREE</v>
      </c>
      <c r="F515" s="8" t="str">
        <f>'Components Data Source'!F515</f>
        <v>SEGMENT</v>
      </c>
      <c r="G515" s="8">
        <f>'Components Data Source'!G515</f>
        <v>0</v>
      </c>
      <c r="H515" s="8">
        <f>'Components Data Source'!H515</f>
        <v>0</v>
      </c>
      <c r="I515" s="8">
        <f>'Components Data Source'!I515</f>
        <v>0</v>
      </c>
      <c r="J515" s="8">
        <f>'Components Data Source'!J515</f>
        <v>1</v>
      </c>
      <c r="K515" s="8">
        <f>'Components Data Source'!K515</f>
        <v>1</v>
      </c>
      <c r="L515" s="8">
        <f>'Components Data Source'!L515</f>
        <v>0</v>
      </c>
      <c r="M515" s="8" t="s">
        <v>1727</v>
      </c>
      <c r="N515" s="17" t="str">
        <f>HYPERLINK('Components Data Source'!M515)</f>
        <v>https://www.flowcode.co.uk/wiki/index.php?title=Component:_ID_f4400e36_dd95_4472_86da_4bba68d68d5d</v>
      </c>
      <c r="O515" s="8" t="s">
        <v>1721</v>
      </c>
      <c r="P515" s="8"/>
      <c r="Q515" s="8" t="str">
        <f t="shared" si="16"/>
        <v/>
      </c>
      <c r="R515" s="8" t="s">
        <v>1727</v>
      </c>
      <c r="S515" s="8" t="s">
        <v>1727</v>
      </c>
      <c r="T515" s="8"/>
      <c r="U515" s="8"/>
      <c r="V515" s="8" t="s">
        <v>1730</v>
      </c>
      <c r="W515" s="8" t="s">
        <v>1730</v>
      </c>
      <c r="X515" s="8"/>
      <c r="Y515" s="8"/>
      <c r="Z515" s="18">
        <f t="shared" si="17"/>
        <v>2</v>
      </c>
      <c r="AA515" s="8"/>
      <c r="AB515" s="7"/>
      <c r="AC515" s="7"/>
      <c r="AD515" s="8" t="s">
        <v>1721</v>
      </c>
      <c r="AE515" s="8" t="s">
        <v>1721</v>
      </c>
      <c r="AF515" s="8" t="s">
        <v>1727</v>
      </c>
      <c r="AG515" s="8" t="s">
        <v>1721</v>
      </c>
      <c r="AH515" s="47"/>
      <c r="AI515" s="47">
        <f>VLOOKUP(B515,'Components Usage'!A$2:C$603,3,FALSE)</f>
        <v>47</v>
      </c>
      <c r="AJ515" s="28" t="s">
        <v>2401</v>
      </c>
    </row>
    <row r="516" spans="1:36" hidden="1" x14ac:dyDescent="0.25">
      <c r="A516" s="16" t="str">
        <f>'Components Data Source'!A516</f>
        <v>7Segment (Single)</v>
      </c>
      <c r="B516" s="8" t="str">
        <f>'Components Data Source'!B516</f>
        <v>52C5383B-4F48-4029-8B75-C3633F7CF892</v>
      </c>
      <c r="C516" s="8" t="str">
        <f>'Components Data Source'!C516</f>
        <v>led_7seg_single.fcpx</v>
      </c>
      <c r="D516" s="8" t="str">
        <f>'Components Data Source'!D516</f>
        <v>Components\IO_Source\outputs\led_7seg_single.fcfx</v>
      </c>
      <c r="E516" s="8" t="str">
        <f>'Components Data Source'!E516</f>
        <v>DISPLAYS</v>
      </c>
      <c r="F516" s="8" t="str">
        <f>'Components Data Source'!F516</f>
        <v>SEGMENT</v>
      </c>
      <c r="G516" s="8">
        <f>'Components Data Source'!G516</f>
        <v>0</v>
      </c>
      <c r="H516" s="8">
        <f>'Components Data Source'!H516</f>
        <v>0</v>
      </c>
      <c r="I516" s="8">
        <f>'Components Data Source'!I516</f>
        <v>0</v>
      </c>
      <c r="J516" s="8">
        <f>'Components Data Source'!J516</f>
        <v>1</v>
      </c>
      <c r="K516" s="8">
        <f>'Components Data Source'!K516</f>
        <v>1</v>
      </c>
      <c r="L516" s="8">
        <f>'Components Data Source'!L516</f>
        <v>0</v>
      </c>
      <c r="M516" s="8" t="s">
        <v>1727</v>
      </c>
      <c r="N516" s="17" t="str">
        <f>HYPERLINK('Components Data Source'!M516)</f>
        <v>https://www.flowcode.co.uk/wiki/index.php?title=Component:_ID_52c5383b_4f48_4029_8b75_c3633f7cf892</v>
      </c>
      <c r="O516" s="8" t="s">
        <v>1721</v>
      </c>
      <c r="P516" s="8"/>
      <c r="Q516" s="8" t="str">
        <f t="shared" si="16"/>
        <v/>
      </c>
      <c r="R516" s="8" t="s">
        <v>1727</v>
      </c>
      <c r="S516" s="8" t="s">
        <v>1727</v>
      </c>
      <c r="T516" s="8"/>
      <c r="U516" s="8"/>
      <c r="V516" s="8" t="s">
        <v>1730</v>
      </c>
      <c r="W516" s="8" t="s">
        <v>1730</v>
      </c>
      <c r="X516" s="8"/>
      <c r="Y516" s="8"/>
      <c r="Z516" s="18">
        <f t="shared" si="17"/>
        <v>2</v>
      </c>
      <c r="AA516" s="8"/>
      <c r="AB516" s="7"/>
      <c r="AC516" s="7"/>
      <c r="AD516" s="8" t="s">
        <v>1721</v>
      </c>
      <c r="AE516" s="8" t="s">
        <v>1721</v>
      </c>
      <c r="AF516" s="8" t="s">
        <v>1727</v>
      </c>
      <c r="AG516" s="8" t="s">
        <v>1721</v>
      </c>
      <c r="AH516" s="47"/>
      <c r="AI516" s="47">
        <f>VLOOKUP(B516,'Components Usage'!A$2:C$603,3,FALSE)</f>
        <v>216</v>
      </c>
      <c r="AJ516" s="28" t="s">
        <v>2401</v>
      </c>
    </row>
    <row r="517" spans="1:36" hidden="1" x14ac:dyDescent="0.25">
      <c r="A517" s="16" t="str">
        <f>'Components Data Source'!A517</f>
        <v>LED Array Template</v>
      </c>
      <c r="B517" s="8" t="str">
        <f>'Components Data Source'!B517</f>
        <v>C8DA67A7-FC7B-48C0-8C3F-3264C74F4024</v>
      </c>
      <c r="C517" s="8" t="str">
        <f>'Components Data Source'!C517</f>
        <v>led_array.fcpx</v>
      </c>
      <c r="D517" s="8" t="str">
        <f>'Components Data Source'!D517</f>
        <v>Components\IO_Source\outputs\LED array.fcfx</v>
      </c>
      <c r="E517" s="8" t="str">
        <f>'Components Data Source'!E517</f>
        <v>BASICIO</v>
      </c>
      <c r="F517" s="8" t="str">
        <f>'Components Data Source'!F517</f>
        <v>LEDS</v>
      </c>
      <c r="G517" s="8">
        <f>'Components Data Source'!G517</f>
        <v>0</v>
      </c>
      <c r="H517" s="8">
        <f>'Components Data Source'!H517</f>
        <v>0</v>
      </c>
      <c r="I517" s="8">
        <f>'Components Data Source'!I517</f>
        <v>0</v>
      </c>
      <c r="J517" s="8">
        <f>'Components Data Source'!J517</f>
        <v>1</v>
      </c>
      <c r="K517" s="8">
        <f>'Components Data Source'!K517</f>
        <v>1</v>
      </c>
      <c r="L517" s="8">
        <f>'Components Data Source'!L517</f>
        <v>0</v>
      </c>
      <c r="M517" s="8" t="s">
        <v>1727</v>
      </c>
      <c r="N517" s="17" t="str">
        <f>HYPERLINK('Components Data Source'!M517)</f>
        <v>https://www.flowcode.co.uk/wiki/index.php?title=Component:_ID_c8da67a7_fc7b_48c0_8c3f_3264c74f4024</v>
      </c>
      <c r="O517" s="8" t="s">
        <v>2590</v>
      </c>
      <c r="P517" s="8" t="s">
        <v>3560</v>
      </c>
      <c r="Q517" s="8" t="str">
        <f t="shared" si="16"/>
        <v/>
      </c>
      <c r="R517" s="8" t="s">
        <v>1727</v>
      </c>
      <c r="S517" s="8" t="s">
        <v>1727</v>
      </c>
      <c r="T517" s="8"/>
      <c r="U517" s="8"/>
      <c r="V517" s="8" t="s">
        <v>1730</v>
      </c>
      <c r="W517" s="8" t="s">
        <v>1730</v>
      </c>
      <c r="X517" s="8"/>
      <c r="Y517" s="8"/>
      <c r="Z517" s="18">
        <f t="shared" si="17"/>
        <v>2</v>
      </c>
      <c r="AA517" s="8"/>
      <c r="AB517" s="7"/>
      <c r="AC517" s="7"/>
      <c r="AD517" s="8" t="s">
        <v>1721</v>
      </c>
      <c r="AE517" s="8" t="s">
        <v>1721</v>
      </c>
      <c r="AF517" s="8" t="s">
        <v>1721</v>
      </c>
      <c r="AG517" s="8" t="s">
        <v>1721</v>
      </c>
      <c r="AH517" s="47"/>
      <c r="AI517" s="47">
        <f>VLOOKUP(B517,'Components Usage'!A$2:C$603,3,FALSE)</f>
        <v>51</v>
      </c>
      <c r="AJ517" s="28" t="s">
        <v>2401</v>
      </c>
    </row>
    <row r="518" spans="1:36" hidden="1" x14ac:dyDescent="0.25">
      <c r="A518" s="16" t="str">
        <f>'Components Data Source'!A518</f>
        <v>LED Array (PCB)</v>
      </c>
      <c r="B518" s="8" t="str">
        <f>'Components Data Source'!B518</f>
        <v>63177601-E8E2-4330-89D3-A4C5A7E228F5</v>
      </c>
      <c r="C518" s="8" t="str">
        <f>'Components Data Source'!C518</f>
        <v>led_array_pcb.fcpx</v>
      </c>
      <c r="D518" s="8" t="str">
        <f>'Components Data Source'!D518</f>
        <v>Components\IO_Source\outputs\led_array_pcb.fcfx</v>
      </c>
      <c r="E518" s="8" t="str">
        <f>'Components Data Source'!E518</f>
        <v>BASICIO</v>
      </c>
      <c r="F518" s="8">
        <f>'Components Data Source'!F518</f>
        <v>0</v>
      </c>
      <c r="G518" s="8">
        <f>'Components Data Source'!G518</f>
        <v>0</v>
      </c>
      <c r="H518" s="8">
        <f>'Components Data Source'!H518</f>
        <v>0</v>
      </c>
      <c r="I518" s="8">
        <f>'Components Data Source'!I518</f>
        <v>0</v>
      </c>
      <c r="J518" s="8">
        <f>'Components Data Source'!J518</f>
        <v>1</v>
      </c>
      <c r="K518" s="8">
        <f>'Components Data Source'!K518</f>
        <v>1</v>
      </c>
      <c r="L518" s="8">
        <f>'Components Data Source'!L518</f>
        <v>0</v>
      </c>
      <c r="M518" s="8" t="s">
        <v>1727</v>
      </c>
      <c r="N518" s="17" t="str">
        <f>HYPERLINK('Components Data Source'!M518)</f>
        <v>https://www.flowcode.co.uk/wiki/index.php?title=Component:_ID_63177601_e8e2_4330_89d3_a4c5a7e228f5</v>
      </c>
      <c r="O518" s="8" t="s">
        <v>2590</v>
      </c>
      <c r="P518" s="8" t="s">
        <v>3560</v>
      </c>
      <c r="Q518" s="8" t="str">
        <f t="shared" si="16"/>
        <v/>
      </c>
      <c r="R518" s="8" t="s">
        <v>1727</v>
      </c>
      <c r="S518" s="8" t="s">
        <v>1727</v>
      </c>
      <c r="T518" s="8"/>
      <c r="U518" s="8"/>
      <c r="V518" s="8" t="s">
        <v>1730</v>
      </c>
      <c r="W518" s="8" t="s">
        <v>1730</v>
      </c>
      <c r="X518" s="8"/>
      <c r="Y518" s="8"/>
      <c r="Z518" s="18">
        <f t="shared" si="17"/>
        <v>2</v>
      </c>
      <c r="AA518" s="8"/>
      <c r="AB518" s="7"/>
      <c r="AC518" s="7"/>
      <c r="AD518" s="8" t="s">
        <v>1721</v>
      </c>
      <c r="AE518" s="8" t="s">
        <v>1721</v>
      </c>
      <c r="AF518" s="8" t="s">
        <v>1721</v>
      </c>
      <c r="AG518" s="8" t="s">
        <v>1721</v>
      </c>
      <c r="AH518" s="47"/>
      <c r="AI518" s="47">
        <f>VLOOKUP(B518,'Components Usage'!A$2:C$603,3,FALSE)</f>
        <v>390</v>
      </c>
      <c r="AJ518" s="28" t="s">
        <v>1721</v>
      </c>
    </row>
    <row r="519" spans="1:36" x14ac:dyDescent="0.25">
      <c r="A519" s="16" t="str">
        <f>'Components Data Source'!A519</f>
        <v>LED Template</v>
      </c>
      <c r="B519" s="8" t="str">
        <f>'Components Data Source'!B519</f>
        <v>A7B05886-784C-48C8-A6F6-CC371C7728E1</v>
      </c>
      <c r="C519" s="8" t="str">
        <f>'Components Data Source'!C519</f>
        <v>led_base.fcpx</v>
      </c>
      <c r="D519" s="8" t="str">
        <f>'Components Data Source'!D519</f>
        <v>Components\IO_Source\outputs\LED_Base.fcfx</v>
      </c>
      <c r="E519" s="8" t="str">
        <f>'Components Data Source'!E519</f>
        <v>FREE</v>
      </c>
      <c r="F519" s="8" t="str">
        <f>'Components Data Source'!F519</f>
        <v>LED</v>
      </c>
      <c r="G519" s="8">
        <f>'Components Data Source'!G519</f>
        <v>0</v>
      </c>
      <c r="H519" s="8">
        <f>'Components Data Source'!H519</f>
        <v>0</v>
      </c>
      <c r="I519" s="8">
        <f>'Components Data Source'!I519</f>
        <v>0</v>
      </c>
      <c r="J519" s="8">
        <f>'Components Data Source'!J519</f>
        <v>1</v>
      </c>
      <c r="K519" s="8">
        <f>'Components Data Source'!K519</f>
        <v>1</v>
      </c>
      <c r="L519" s="8">
        <f>'Components Data Source'!L519</f>
        <v>0</v>
      </c>
      <c r="M519" s="8" t="s">
        <v>1727</v>
      </c>
      <c r="N519" s="17" t="str">
        <f>HYPERLINK('Components Data Source'!M519)</f>
        <v>https://www.flowcode.co.uk/wiki/index.php?title=Component:_ID_a7b05886_784c_48c8_a6f6_cc371c7728e1</v>
      </c>
      <c r="O519" s="8" t="s">
        <v>1721</v>
      </c>
      <c r="P519" s="8"/>
      <c r="Q519" s="8" t="str">
        <f t="shared" si="16"/>
        <v/>
      </c>
      <c r="R519" s="8" t="s">
        <v>1727</v>
      </c>
      <c r="S519" s="8">
        <v>0</v>
      </c>
      <c r="T519" s="8"/>
      <c r="U519" s="8"/>
      <c r="V519" s="8" t="s">
        <v>1730</v>
      </c>
      <c r="W519" s="8" t="s">
        <v>1730</v>
      </c>
      <c r="X519" s="8"/>
      <c r="Y519" s="8"/>
      <c r="Z519" s="18">
        <f t="shared" si="17"/>
        <v>2</v>
      </c>
      <c r="AA519" s="8"/>
      <c r="AB519" s="7"/>
      <c r="AC519" s="7"/>
      <c r="AD519" s="8" t="s">
        <v>1721</v>
      </c>
      <c r="AE519" s="8" t="s">
        <v>2401</v>
      </c>
      <c r="AF519" s="8" t="s">
        <v>1721</v>
      </c>
      <c r="AG519" s="8"/>
      <c r="AH519" s="47"/>
      <c r="AI519" s="47">
        <f>VLOOKUP(B519,'Components Usage'!A$2:C$603,3,FALSE)</f>
        <v>0</v>
      </c>
      <c r="AJ519" s="28" t="s">
        <v>2401</v>
      </c>
    </row>
    <row r="520" spans="1:36" hidden="1" x14ac:dyDescent="0.25">
      <c r="A520" s="16" t="str">
        <f>'Components Data Source'!A520</f>
        <v>LED MultiColour Bi (5mm PCB)</v>
      </c>
      <c r="B520" s="8" t="str">
        <f>'Components Data Source'!B520</f>
        <v>67271369-4B2E-4126-A5D0-A93142AC71B9</v>
      </c>
      <c r="C520" s="8" t="str">
        <f>'Components Data Source'!C520</f>
        <v>led_bicolour_5mm.fcpx</v>
      </c>
      <c r="D520" s="8" t="str">
        <f>'Components Data Source'!D520</f>
        <v>Components\IO_Source\outputs\led_5mm_bicolour.fcfx</v>
      </c>
      <c r="E520" s="8" t="str">
        <f>'Components Data Source'!E520</f>
        <v>BASICIO</v>
      </c>
      <c r="F520" s="8" t="str">
        <f>'Components Data Source'!F520</f>
        <v>LED</v>
      </c>
      <c r="G520" s="8">
        <f>'Components Data Source'!G520</f>
        <v>0</v>
      </c>
      <c r="H520" s="8">
        <f>'Components Data Source'!H520</f>
        <v>0</v>
      </c>
      <c r="I520" s="8">
        <f>'Components Data Source'!I520</f>
        <v>0</v>
      </c>
      <c r="J520" s="8">
        <f>'Components Data Source'!J520</f>
        <v>1</v>
      </c>
      <c r="K520" s="8">
        <f>'Components Data Source'!K520</f>
        <v>1</v>
      </c>
      <c r="L520" s="8">
        <f>'Components Data Source'!L520</f>
        <v>0</v>
      </c>
      <c r="M520" s="8" t="s">
        <v>1727</v>
      </c>
      <c r="N520" s="17" t="str">
        <f>HYPERLINK('Components Data Source'!M520)</f>
        <v>https://www.flowcode.co.uk/wiki/index.php?title=Component:_ID_67271369_4b2e_4126_a5d0_a93142ac71b9</v>
      </c>
      <c r="O520" s="8" t="s">
        <v>2590</v>
      </c>
      <c r="P520" s="8" t="s">
        <v>3561</v>
      </c>
      <c r="Q520" s="8" t="str">
        <f t="shared" si="16"/>
        <v/>
      </c>
      <c r="R520" s="8" t="s">
        <v>1727</v>
      </c>
      <c r="S520" s="8" t="s">
        <v>1727</v>
      </c>
      <c r="T520" s="8"/>
      <c r="U520" s="8"/>
      <c r="V520" s="8" t="s">
        <v>1730</v>
      </c>
      <c r="W520" s="8" t="s">
        <v>1730</v>
      </c>
      <c r="X520" s="8"/>
      <c r="Y520" s="8"/>
      <c r="Z520" s="18">
        <f t="shared" si="17"/>
        <v>2</v>
      </c>
      <c r="AA520" s="8"/>
      <c r="AB520" s="7"/>
      <c r="AC520" s="7"/>
      <c r="AD520" s="8" t="s">
        <v>1721</v>
      </c>
      <c r="AE520" s="8" t="s">
        <v>2401</v>
      </c>
      <c r="AF520" s="8" t="s">
        <v>1721</v>
      </c>
      <c r="AG520" s="8"/>
      <c r="AH520" s="47"/>
      <c r="AI520" s="47">
        <f>VLOOKUP(B520,'Components Usage'!A$2:C$603,3,FALSE)</f>
        <v>31</v>
      </c>
      <c r="AJ520" s="28" t="s">
        <v>2401</v>
      </c>
    </row>
    <row r="521" spans="1:36" hidden="1" x14ac:dyDescent="0.2">
      <c r="A521" s="16" t="str">
        <f>'Components Data Source'!A521</f>
        <v>LED Charlieplex</v>
      </c>
      <c r="B521" s="8" t="str">
        <f>'Components Data Source'!B521</f>
        <v>489AD870-75DD-4FC4-9879-AA83871DDEF6</v>
      </c>
      <c r="C521" s="8" t="str">
        <f>'Components Data Source'!C521</f>
        <v>led_charlieplexed.fcpx</v>
      </c>
      <c r="D521" s="8" t="str">
        <f>'Components Data Source'!D521</f>
        <v>Components\IO_Source\outputs\LED charlieplex.fcfx</v>
      </c>
      <c r="E521" s="8" t="str">
        <f>'Components Data Source'!E521</f>
        <v>BASICIO</v>
      </c>
      <c r="F521" s="8" t="str">
        <f>'Components Data Source'!F521</f>
        <v>LEDS</v>
      </c>
      <c r="G521" s="8">
        <f>'Components Data Source'!G521</f>
        <v>0</v>
      </c>
      <c r="H521" s="8">
        <f>'Components Data Source'!H521</f>
        <v>0</v>
      </c>
      <c r="I521" s="8">
        <f>'Components Data Source'!I521</f>
        <v>0</v>
      </c>
      <c r="J521" s="8">
        <f>'Components Data Source'!J521</f>
        <v>1</v>
      </c>
      <c r="K521" s="8">
        <f>'Components Data Source'!K521</f>
        <v>1</v>
      </c>
      <c r="L521" s="8">
        <f>'Components Data Source'!L521</f>
        <v>0</v>
      </c>
      <c r="M521" s="8" t="s">
        <v>1727</v>
      </c>
      <c r="N521" s="17" t="str">
        <f>HYPERLINK('Components Data Source'!M521)</f>
        <v>https://www.flowcode.co.uk/wiki/index.php?title=Component:_ID_489ad870_75dd_4fc4_9879_aa83871ddef6</v>
      </c>
      <c r="O521" s="8" t="s">
        <v>1721</v>
      </c>
      <c r="P521" s="45" t="s">
        <v>3562</v>
      </c>
      <c r="Q521" s="8" t="str">
        <f t="shared" si="16"/>
        <v/>
      </c>
      <c r="R521" s="8" t="s">
        <v>1727</v>
      </c>
      <c r="S521" s="8" t="s">
        <v>1727</v>
      </c>
      <c r="T521" s="8"/>
      <c r="U521" s="8"/>
      <c r="V521" s="8" t="s">
        <v>1730</v>
      </c>
      <c r="W521" s="8" t="s">
        <v>1730</v>
      </c>
      <c r="X521" s="8"/>
      <c r="Y521" s="8"/>
      <c r="Z521" s="18">
        <f t="shared" si="17"/>
        <v>2</v>
      </c>
      <c r="AA521" s="8"/>
      <c r="AB521" s="7"/>
      <c r="AC521" s="7"/>
      <c r="AD521" s="8" t="s">
        <v>1721</v>
      </c>
      <c r="AE521" s="8" t="s">
        <v>1727</v>
      </c>
      <c r="AF521" s="8" t="s">
        <v>1721</v>
      </c>
      <c r="AG521" s="8"/>
      <c r="AH521" s="47"/>
      <c r="AI521" s="47">
        <f>VLOOKUP(B521,'Components Usage'!A$2:C$603,3,FALSE)</f>
        <v>9</v>
      </c>
      <c r="AJ521" s="28" t="s">
        <v>2401</v>
      </c>
    </row>
    <row r="522" spans="1:36" x14ac:dyDescent="0.25">
      <c r="A522" s="16" t="str">
        <f>'Components Data Source'!A522</f>
        <v>LED (EB004)</v>
      </c>
      <c r="B522" s="8" t="str">
        <f>'Components Data Source'!B522</f>
        <v>82C2F7D0-C6ED-4C6E-8AB8-7958B490DC99</v>
      </c>
      <c r="C522" s="8" t="str">
        <f>'Components Data Source'!C522</f>
        <v>led_eb004.fcpx</v>
      </c>
      <c r="D522" s="8" t="str">
        <f>'Components Data Source'!D522</f>
        <v>Components\IO_Source\outputs\led_array_EB004.fcfx</v>
      </c>
      <c r="E522" s="8" t="str">
        <f>'Components Data Source'!E522</f>
        <v>FREE</v>
      </c>
      <c r="F522" s="8" t="str">
        <f>'Components Data Source'!F522</f>
        <v>E-BLOCKS 1</v>
      </c>
      <c r="G522" s="8">
        <f>'Components Data Source'!G522</f>
        <v>0</v>
      </c>
      <c r="H522" s="8">
        <f>'Components Data Source'!H522</f>
        <v>0</v>
      </c>
      <c r="I522" s="8">
        <f>'Components Data Source'!I522</f>
        <v>0</v>
      </c>
      <c r="J522" s="8">
        <f>'Components Data Source'!J522</f>
        <v>1</v>
      </c>
      <c r="K522" s="8">
        <f>'Components Data Source'!K522</f>
        <v>0</v>
      </c>
      <c r="L522" s="8">
        <f>'Components Data Source'!L522</f>
        <v>0</v>
      </c>
      <c r="M522" s="8" t="s">
        <v>1727</v>
      </c>
      <c r="N522" s="17" t="str">
        <f>HYPERLINK('Components Data Source'!M522)</f>
        <v>https://www.flowcode.co.uk/wiki/index.php?title=Component:_ID_82c2f7d0_c6ed_4c6e_8ab8_7958b490dc99</v>
      </c>
      <c r="O522" s="8" t="s">
        <v>2589</v>
      </c>
      <c r="P522" s="8"/>
      <c r="Q522" s="8" t="str">
        <f t="shared" si="16"/>
        <v/>
      </c>
      <c r="R522" s="8" t="s">
        <v>1727</v>
      </c>
      <c r="S522" s="8" t="s">
        <v>1727</v>
      </c>
      <c r="T522" s="8"/>
      <c r="U522" s="8"/>
      <c r="V522" s="8" t="s">
        <v>1730</v>
      </c>
      <c r="W522" s="8" t="s">
        <v>1730</v>
      </c>
      <c r="X522" s="8"/>
      <c r="Y522" s="8"/>
      <c r="Z522" s="18">
        <f t="shared" si="17"/>
        <v>2</v>
      </c>
      <c r="AA522" s="8"/>
      <c r="AB522" s="7"/>
      <c r="AC522" s="7"/>
      <c r="AD522" s="8" t="s">
        <v>1721</v>
      </c>
      <c r="AE522" s="8" t="s">
        <v>1727</v>
      </c>
      <c r="AF522" s="8" t="s">
        <v>1727</v>
      </c>
      <c r="AG522" s="8"/>
      <c r="AH522" s="47"/>
      <c r="AI522" s="47">
        <f>VLOOKUP(B522,'Components Usage'!A$2:C$603,3,FALSE)</f>
        <v>4</v>
      </c>
      <c r="AJ522" s="28" t="s">
        <v>2401</v>
      </c>
    </row>
    <row r="523" spans="1:36" x14ac:dyDescent="0.25">
      <c r="A523" s="16" t="str">
        <f>'Components Data Source'!A523</f>
        <v>LED (SMD PCB)</v>
      </c>
      <c r="B523" s="8" t="str">
        <f>'Components Data Source'!B523</f>
        <v>AD052176-691E-4542-ADB5-53F6FBEA9B5B</v>
      </c>
      <c r="C523" s="8" t="str">
        <f>'Components Data Source'!C523</f>
        <v>led_plcc2.fcpx</v>
      </c>
      <c r="D523" s="8" t="str">
        <f>'Components Data Source'!D523</f>
        <v>Components\IO_Source\outputs\led_plcc2.fcfx</v>
      </c>
      <c r="E523" s="8" t="str">
        <f>'Components Data Source'!E523</f>
        <v>FREE</v>
      </c>
      <c r="F523" s="8">
        <f>'Components Data Source'!F523</f>
        <v>0</v>
      </c>
      <c r="G523" s="8">
        <f>'Components Data Source'!G523</f>
        <v>0</v>
      </c>
      <c r="H523" s="8">
        <f>'Components Data Source'!H523</f>
        <v>0</v>
      </c>
      <c r="I523" s="8">
        <f>'Components Data Source'!I523</f>
        <v>0</v>
      </c>
      <c r="J523" s="8">
        <f>'Components Data Source'!J523</f>
        <v>1</v>
      </c>
      <c r="K523" s="8">
        <f>'Components Data Source'!K523</f>
        <v>1</v>
      </c>
      <c r="L523" s="8">
        <f>'Components Data Source'!L523</f>
        <v>0</v>
      </c>
      <c r="M523" s="8" t="s">
        <v>1727</v>
      </c>
      <c r="N523" s="17" t="str">
        <f>HYPERLINK('Components Data Source'!M523)</f>
        <v>https://www.flowcode.co.uk/wiki/index.php?title=Component:_ID_ad052176_691e_4542_adb5_53f6fbea9b5b</v>
      </c>
      <c r="O523" s="8" t="s">
        <v>1721</v>
      </c>
      <c r="P523" s="8"/>
      <c r="Q523" s="8" t="str">
        <f t="shared" si="16"/>
        <v/>
      </c>
      <c r="R523" s="8" t="s">
        <v>1727</v>
      </c>
      <c r="S523" s="8" t="s">
        <v>1727</v>
      </c>
      <c r="T523" s="8"/>
      <c r="U523" s="8"/>
      <c r="V523" s="8" t="s">
        <v>1730</v>
      </c>
      <c r="W523" s="8" t="s">
        <v>1730</v>
      </c>
      <c r="X523" s="8"/>
      <c r="Y523" s="8"/>
      <c r="Z523" s="18">
        <f t="shared" si="17"/>
        <v>2</v>
      </c>
      <c r="AA523" s="8"/>
      <c r="AB523" s="7"/>
      <c r="AC523" s="7"/>
      <c r="AD523" s="8" t="s">
        <v>1721</v>
      </c>
      <c r="AE523" s="8" t="s">
        <v>2401</v>
      </c>
      <c r="AF523" s="8" t="s">
        <v>1721</v>
      </c>
      <c r="AG523" s="8" t="s">
        <v>1721</v>
      </c>
      <c r="AH523" s="47"/>
      <c r="AI523" s="47">
        <f>VLOOKUP(B523,'Components Usage'!A$2:C$603,3,FALSE)</f>
        <v>53</v>
      </c>
      <c r="AJ523" s="28" t="s">
        <v>2401</v>
      </c>
    </row>
    <row r="524" spans="1:36" hidden="1" x14ac:dyDescent="0.25">
      <c r="A524" s="16" t="str">
        <f>'Components Data Source'!A524</f>
        <v>LED Multicolour RGB (5mm PCB)</v>
      </c>
      <c r="B524" s="8" t="str">
        <f>'Components Data Source'!B524</f>
        <v>EC156555-E872-47F6-971E-A610F03CE81D</v>
      </c>
      <c r="C524" s="8" t="str">
        <f>'Components Data Source'!C524</f>
        <v>led_rgb_pcb.fcpx</v>
      </c>
      <c r="D524" s="8" t="str">
        <f>'Components Data Source'!D524</f>
        <v>Components\IO_Source\outputs\RGB_LED_5mm.fcfx</v>
      </c>
      <c r="E524" s="8" t="str">
        <f>'Components Data Source'!E524</f>
        <v>BASICIO</v>
      </c>
      <c r="F524" s="8">
        <f>'Components Data Source'!F524</f>
        <v>0</v>
      </c>
      <c r="G524" s="8">
        <f>'Components Data Source'!G524</f>
        <v>0</v>
      </c>
      <c r="H524" s="8">
        <f>'Components Data Source'!H524</f>
        <v>0</v>
      </c>
      <c r="I524" s="8">
        <f>'Components Data Source'!I524</f>
        <v>0</v>
      </c>
      <c r="J524" s="8">
        <f>'Components Data Source'!J524</f>
        <v>1</v>
      </c>
      <c r="K524" s="8">
        <f>'Components Data Source'!K524</f>
        <v>1</v>
      </c>
      <c r="L524" s="8">
        <f>'Components Data Source'!L524</f>
        <v>0</v>
      </c>
      <c r="M524" s="8" t="s">
        <v>1727</v>
      </c>
      <c r="N524" s="17" t="str">
        <f>HYPERLINK('Components Data Source'!M524)</f>
        <v>https://www.flowcode.co.uk/wiki/index.php?title=Component:_ID_ec156555_e872_47f6_971e_a610f03ce81d</v>
      </c>
      <c r="O524" s="8" t="s">
        <v>1721</v>
      </c>
      <c r="P524" s="8"/>
      <c r="Q524" s="8" t="str">
        <f t="shared" si="16"/>
        <v/>
      </c>
      <c r="R524" s="8" t="s">
        <v>1727</v>
      </c>
      <c r="S524" s="8" t="s">
        <v>1727</v>
      </c>
      <c r="T524" s="8"/>
      <c r="U524" s="8"/>
      <c r="V524" s="8" t="s">
        <v>1730</v>
      </c>
      <c r="W524" s="8" t="s">
        <v>1730</v>
      </c>
      <c r="X524" s="8"/>
      <c r="Y524" s="8"/>
      <c r="Z524" s="18">
        <f t="shared" si="17"/>
        <v>2</v>
      </c>
      <c r="AA524" s="8"/>
      <c r="AB524" s="7"/>
      <c r="AC524" s="7"/>
      <c r="AD524" s="8" t="s">
        <v>1721</v>
      </c>
      <c r="AE524" s="8" t="s">
        <v>1721</v>
      </c>
      <c r="AF524" s="8" t="s">
        <v>1721</v>
      </c>
      <c r="AG524" s="8"/>
      <c r="AH524" s="47"/>
      <c r="AI524" s="47">
        <f>VLOOKUP(B524,'Components Usage'!A$2:C$603,3,FALSE)</f>
        <v>15</v>
      </c>
      <c r="AJ524" s="28" t="s">
        <v>2401</v>
      </c>
    </row>
    <row r="525" spans="1:36" hidden="1" x14ac:dyDescent="0.25">
      <c r="A525" s="16" t="str">
        <f>'Components Data Source'!A525</f>
        <v>LED (Generic)</v>
      </c>
      <c r="B525" s="8" t="str">
        <f>'Components Data Source'!B525</f>
        <v>248E0A81-43E3-4FF7-B87D-69C04ADD1FB9</v>
      </c>
      <c r="C525" s="8" t="str">
        <f>'Components Data Source'!C525</f>
        <v>led_shape.fcpx</v>
      </c>
      <c r="D525" s="8" t="str">
        <f>'Components Data Source'!D525</f>
        <v>Components\IO_Source\outputs\LED Shape.fcfx</v>
      </c>
      <c r="E525" s="8" t="str">
        <f>'Components Data Source'!E525</f>
        <v>BASICIO</v>
      </c>
      <c r="F525" s="8">
        <f>'Components Data Source'!F525</f>
        <v>0</v>
      </c>
      <c r="G525" s="8">
        <f>'Components Data Source'!G525</f>
        <v>0</v>
      </c>
      <c r="H525" s="8">
        <f>'Components Data Source'!H525</f>
        <v>0</v>
      </c>
      <c r="I525" s="8">
        <f>'Components Data Source'!I525</f>
        <v>0</v>
      </c>
      <c r="J525" s="8">
        <f>'Components Data Source'!J525</f>
        <v>1</v>
      </c>
      <c r="K525" s="8">
        <f>'Components Data Source'!K525</f>
        <v>1</v>
      </c>
      <c r="L525" s="8">
        <f>'Components Data Source'!L525</f>
        <v>0</v>
      </c>
      <c r="M525" s="8" t="s">
        <v>1727</v>
      </c>
      <c r="N525" s="17" t="str">
        <f>HYPERLINK('Components Data Source'!M525)</f>
        <v>https://www.flowcode.co.uk/wiki/index.php?title=Component:_ID_248e0a81_43e3_4ff7_b87d_69c04add1fb9</v>
      </c>
      <c r="O525" s="8" t="s">
        <v>2589</v>
      </c>
      <c r="P525" s="8"/>
      <c r="Q525" s="8" t="str">
        <f t="shared" si="16"/>
        <v/>
      </c>
      <c r="R525" s="8" t="s">
        <v>1727</v>
      </c>
      <c r="S525" s="8" t="s">
        <v>1727</v>
      </c>
      <c r="T525" s="8"/>
      <c r="U525" s="8"/>
      <c r="V525" s="8" t="s">
        <v>1730</v>
      </c>
      <c r="W525" s="8" t="s">
        <v>1730</v>
      </c>
      <c r="X525" s="8"/>
      <c r="Y525" s="8"/>
      <c r="Z525" s="18">
        <f t="shared" si="17"/>
        <v>2</v>
      </c>
      <c r="AA525" s="8"/>
      <c r="AB525" s="7"/>
      <c r="AC525" s="7"/>
      <c r="AD525" s="8" t="s">
        <v>1721</v>
      </c>
      <c r="AE525" s="8" t="s">
        <v>2401</v>
      </c>
      <c r="AF525" s="8" t="s">
        <v>1721</v>
      </c>
      <c r="AG525" s="8"/>
      <c r="AH525" s="47"/>
      <c r="AI525" s="47">
        <f>VLOOKUP(B525,'Components Usage'!A$2:C$603,3,FALSE)</f>
        <v>39</v>
      </c>
      <c r="AJ525" s="28" t="s">
        <v>2401</v>
      </c>
    </row>
    <row r="526" spans="1:36" hidden="1" x14ac:dyDescent="0.25">
      <c r="A526" s="16" t="str">
        <f>'Components Data Source'!A526</f>
        <v>LED MultiColour Tri (5mm PCB)</v>
      </c>
      <c r="B526" s="8" t="str">
        <f>'Components Data Source'!B526</f>
        <v>A5C2033E-8639-4DE3-80EB-58C02B44BD96</v>
      </c>
      <c r="C526" s="8" t="str">
        <f>'Components Data Source'!C526</f>
        <v>led_tricolour_5mm.fcpx</v>
      </c>
      <c r="D526" s="8" t="str">
        <f>'Components Data Source'!D526</f>
        <v>Components\IO_Source\outputs\led_5mm_tricolour.fcfx</v>
      </c>
      <c r="E526" s="8" t="str">
        <f>'Components Data Source'!E526</f>
        <v>BASICIO</v>
      </c>
      <c r="F526" s="8" t="str">
        <f>'Components Data Source'!F526</f>
        <v>LED</v>
      </c>
      <c r="G526" s="8">
        <f>'Components Data Source'!G526</f>
        <v>0</v>
      </c>
      <c r="H526" s="8">
        <f>'Components Data Source'!H526</f>
        <v>0</v>
      </c>
      <c r="I526" s="8">
        <f>'Components Data Source'!I526</f>
        <v>0</v>
      </c>
      <c r="J526" s="8">
        <f>'Components Data Source'!J526</f>
        <v>1</v>
      </c>
      <c r="K526" s="8">
        <f>'Components Data Source'!K526</f>
        <v>1</v>
      </c>
      <c r="L526" s="8">
        <f>'Components Data Source'!L526</f>
        <v>0</v>
      </c>
      <c r="M526" s="8" t="s">
        <v>1727</v>
      </c>
      <c r="N526" s="17" t="str">
        <f>HYPERLINK('Components Data Source'!M526)</f>
        <v>https://www.flowcode.co.uk/wiki/index.php?title=Component:_ID_a5c2033e_8639_4de3_80eb_58c02b44bd96</v>
      </c>
      <c r="O526" s="8" t="s">
        <v>2589</v>
      </c>
      <c r="P526" s="8"/>
      <c r="Q526" s="8" t="str">
        <f t="shared" si="16"/>
        <v/>
      </c>
      <c r="R526" s="8" t="s">
        <v>1727</v>
      </c>
      <c r="S526" s="8" t="s">
        <v>1727</v>
      </c>
      <c r="T526" s="8"/>
      <c r="U526" s="8"/>
      <c r="V526" s="8" t="s">
        <v>1730</v>
      </c>
      <c r="W526" s="8" t="s">
        <v>1730</v>
      </c>
      <c r="X526" s="8"/>
      <c r="Y526" s="8"/>
      <c r="Z526" s="18">
        <f t="shared" si="17"/>
        <v>2</v>
      </c>
      <c r="AA526" s="8"/>
      <c r="AB526" s="7"/>
      <c r="AC526" s="7"/>
      <c r="AD526" s="8" t="s">
        <v>1721</v>
      </c>
      <c r="AE526" s="8" t="s">
        <v>2401</v>
      </c>
      <c r="AF526" s="8" t="s">
        <v>1721</v>
      </c>
      <c r="AG526" s="8"/>
      <c r="AH526" s="47"/>
      <c r="AI526" s="47">
        <f>VLOOKUP(B526,'Components Usage'!A$2:C$603,3,FALSE)</f>
        <v>10</v>
      </c>
      <c r="AJ526" s="28" t="s">
        <v>2401</v>
      </c>
    </row>
    <row r="527" spans="1:36" x14ac:dyDescent="0.25">
      <c r="A527" s="16" t="str">
        <f>'Components Data Source'!A527</f>
        <v>Lookup tables</v>
      </c>
      <c r="B527" s="8" t="str">
        <f>'Components Data Source'!B527</f>
        <v>DFB4D07A-3D70-45D5-83EF-07E3C95D86AB</v>
      </c>
      <c r="C527" s="8" t="str">
        <f>'Components Data Source'!C527</f>
        <v>lut.fcpx</v>
      </c>
      <c r="D527" s="8" t="str">
        <f>'Components Data Source'!D527</f>
        <v>Components\Ctrl_Source\LUT.fcfx</v>
      </c>
      <c r="E527" s="8" t="str">
        <f>'Components Data Source'!E527</f>
        <v>FREE</v>
      </c>
      <c r="F527" s="8" t="str">
        <f>'Components Data Source'!F527</f>
        <v>STORAGE</v>
      </c>
      <c r="G527" s="8" t="str">
        <f>'Components Data Source'!G527</f>
        <v xml:space="preserve">STORAGE </v>
      </c>
      <c r="H527" s="8">
        <f>'Components Data Source'!H527</f>
        <v>0</v>
      </c>
      <c r="I527" s="8">
        <f>'Components Data Source'!I527</f>
        <v>0</v>
      </c>
      <c r="J527" s="8">
        <f>'Components Data Source'!J527</f>
        <v>1</v>
      </c>
      <c r="K527" s="8">
        <f>'Components Data Source'!K527</f>
        <v>1</v>
      </c>
      <c r="L527" s="8">
        <f>'Components Data Source'!L527</f>
        <v>1</v>
      </c>
      <c r="M527" s="8" t="s">
        <v>1727</v>
      </c>
      <c r="N527" s="17" t="str">
        <f>HYPERLINK('Components Data Source'!M527)</f>
        <v>https://www.flowcode.co.uk/wiki/index.php?title=Component:_ID_dfb4d07a_3d70_45d5_83ef_07e3c95d86ab</v>
      </c>
      <c r="O527" s="8" t="s">
        <v>1721</v>
      </c>
      <c r="P527" s="8"/>
      <c r="Q527" s="8" t="str">
        <f t="shared" ref="Q527:Q578" si="18">IF(L527=1,IF(K527=1,"",1),"")</f>
        <v/>
      </c>
      <c r="R527" s="1" t="s">
        <v>1721</v>
      </c>
      <c r="S527" s="1" t="s">
        <v>1721</v>
      </c>
      <c r="T527" s="1" t="s">
        <v>1727</v>
      </c>
      <c r="U527" s="1" t="s">
        <v>1721</v>
      </c>
      <c r="V527" s="1" t="s">
        <v>1731</v>
      </c>
      <c r="W527" s="1" t="s">
        <v>1731</v>
      </c>
      <c r="X527" s="1" t="s">
        <v>1721</v>
      </c>
      <c r="Y527" s="8" t="s">
        <v>1721</v>
      </c>
      <c r="Z527" s="18">
        <f t="shared" si="17"/>
        <v>1</v>
      </c>
      <c r="AA527" s="8"/>
      <c r="AB527" s="7"/>
      <c r="AC527" s="7"/>
      <c r="AD527" s="8" t="s">
        <v>1721</v>
      </c>
      <c r="AE527" s="8" t="s">
        <v>1721</v>
      </c>
      <c r="AF527" s="8" t="s">
        <v>2401</v>
      </c>
      <c r="AG527" s="8" t="s">
        <v>1721</v>
      </c>
      <c r="AH527" s="47"/>
      <c r="AI527" s="47">
        <f>VLOOKUP(B527,'Components Usage'!A$2:C$603,3,FALSE)</f>
        <v>59</v>
      </c>
      <c r="AJ527" s="28" t="s">
        <v>2401</v>
      </c>
    </row>
    <row r="528" spans="1:36" x14ac:dyDescent="0.25">
      <c r="A528" s="16" t="str">
        <f>'Components Data Source'!A528</f>
        <v>MIAC Advanced</v>
      </c>
      <c r="B528" s="8" t="str">
        <f>'Components Data Source'!B528</f>
        <v>E8461F5F-751E-432E-9FA1-CA725F0001B1</v>
      </c>
      <c r="C528" s="8" t="str">
        <f>'Components Data Source'!C528</f>
        <v>ma_advanced.fcpx</v>
      </c>
      <c r="D528" s="8" t="str">
        <f>'Components Data Source'!D528</f>
        <v>Components\IO_Source\MIAC Addons\ma_advanced.fcfx</v>
      </c>
      <c r="E528" s="8" t="str">
        <f>'Components Data Source'!E528</f>
        <v>FREE</v>
      </c>
      <c r="F528" s="8" t="str">
        <f>'Components Data Source'!F528</f>
        <v>MIAC: ADDON MODULES</v>
      </c>
      <c r="G528" s="8">
        <f>'Components Data Source'!G528</f>
        <v>0</v>
      </c>
      <c r="H528" s="8">
        <f>'Components Data Source'!H528</f>
        <v>0</v>
      </c>
      <c r="I528" s="8">
        <f>'Components Data Source'!I528</f>
        <v>0</v>
      </c>
      <c r="J528" s="8">
        <f>'Components Data Source'!J528</f>
        <v>1</v>
      </c>
      <c r="K528" s="8">
        <f>'Components Data Source'!K528</f>
        <v>0</v>
      </c>
      <c r="L528" s="8">
        <f>'Components Data Source'!L528</f>
        <v>0</v>
      </c>
      <c r="M528" s="8" t="s">
        <v>1727</v>
      </c>
      <c r="N528" s="17" t="str">
        <f>HYPERLINK('Components Data Source'!M528)</f>
        <v>https://www.flowcode.co.uk/wiki/index.php?title=Component:_ID_e8461f5f_751e_432e_9fa1_ca725f0001b1</v>
      </c>
      <c r="O528" s="8" t="s">
        <v>2590</v>
      </c>
      <c r="P528" s="8" t="s">
        <v>3563</v>
      </c>
      <c r="Q528" s="8" t="str">
        <f t="shared" si="18"/>
        <v/>
      </c>
      <c r="R528" s="8" t="s">
        <v>1727</v>
      </c>
      <c r="S528" s="8" t="s">
        <v>1727</v>
      </c>
      <c r="T528" s="8"/>
      <c r="U528" s="8"/>
      <c r="V528" s="8" t="s">
        <v>1730</v>
      </c>
      <c r="W528" s="8" t="s">
        <v>1730</v>
      </c>
      <c r="X528" s="8"/>
      <c r="Y528" s="8"/>
      <c r="Z528" s="18">
        <f t="shared" si="17"/>
        <v>2</v>
      </c>
      <c r="AA528" s="8"/>
      <c r="AB528" s="7" t="s">
        <v>2512</v>
      </c>
      <c r="AC528" s="7"/>
      <c r="AD528" s="8" t="s">
        <v>1721</v>
      </c>
      <c r="AE528" s="8" t="s">
        <v>1727</v>
      </c>
      <c r="AF528" s="8" t="s">
        <v>1727</v>
      </c>
      <c r="AG528" s="8"/>
      <c r="AH528" s="47"/>
      <c r="AI528" s="47">
        <f>VLOOKUP(B528,'Components Usage'!A$2:C$603,3,FALSE)</f>
        <v>0</v>
      </c>
      <c r="AJ528" s="28" t="s">
        <v>2401</v>
      </c>
    </row>
    <row r="529" spans="1:36" x14ac:dyDescent="0.25">
      <c r="A529" s="16" t="str">
        <f>'Components Data Source'!A529</f>
        <v>MIAC Basic</v>
      </c>
      <c r="B529" s="8" t="str">
        <f>'Components Data Source'!B529</f>
        <v>8C6AD2C7-F4A7-4584-A376-EC7FED05E5D3</v>
      </c>
      <c r="C529" s="8" t="str">
        <f>'Components Data Source'!C529</f>
        <v>ma_basic.fcpx</v>
      </c>
      <c r="D529" s="8" t="str">
        <f>'Components Data Source'!D529</f>
        <v>Components\IO_Source\MIAC Addons\ma_basic.fcfx</v>
      </c>
      <c r="E529" s="8" t="str">
        <f>'Components Data Source'!E529</f>
        <v>FREE</v>
      </c>
      <c r="F529" s="8" t="str">
        <f>'Components Data Source'!F529</f>
        <v>MIAC: ADDON MODULES</v>
      </c>
      <c r="G529" s="8">
        <f>'Components Data Source'!G529</f>
        <v>0</v>
      </c>
      <c r="H529" s="8">
        <f>'Components Data Source'!H529</f>
        <v>0</v>
      </c>
      <c r="I529" s="8">
        <f>'Components Data Source'!I529</f>
        <v>0</v>
      </c>
      <c r="J529" s="8">
        <f>'Components Data Source'!J529</f>
        <v>1</v>
      </c>
      <c r="K529" s="8">
        <f>'Components Data Source'!K529</f>
        <v>0</v>
      </c>
      <c r="L529" s="8">
        <f>'Components Data Source'!L529</f>
        <v>0</v>
      </c>
      <c r="M529" s="8" t="s">
        <v>1727</v>
      </c>
      <c r="N529" s="17" t="str">
        <f>HYPERLINK('Components Data Source'!M529)</f>
        <v>https://www.flowcode.co.uk/wiki/index.php?title=Component:_ID_8c6ad2c7_f4a7_4584_a376_ec7fed05e5d3</v>
      </c>
      <c r="O529" s="8" t="s">
        <v>1721</v>
      </c>
      <c r="P529" s="8"/>
      <c r="Q529" s="8" t="str">
        <f t="shared" si="18"/>
        <v/>
      </c>
      <c r="R529" s="8" t="s">
        <v>1727</v>
      </c>
      <c r="S529" s="8" t="s">
        <v>1727</v>
      </c>
      <c r="T529" s="8"/>
      <c r="U529" s="8"/>
      <c r="V529" s="8" t="s">
        <v>1730</v>
      </c>
      <c r="W529" s="8" t="s">
        <v>1730</v>
      </c>
      <c r="X529" s="8"/>
      <c r="Y529" s="8"/>
      <c r="Z529" s="18">
        <f t="shared" si="17"/>
        <v>2</v>
      </c>
      <c r="AA529" s="8"/>
      <c r="AB529" s="7" t="s">
        <v>2512</v>
      </c>
      <c r="AC529" s="7"/>
      <c r="AD529" s="8" t="s">
        <v>1721</v>
      </c>
      <c r="AE529" s="8" t="s">
        <v>1727</v>
      </c>
      <c r="AF529" s="8" t="s">
        <v>1727</v>
      </c>
      <c r="AG529" s="8"/>
      <c r="AH529" s="47"/>
      <c r="AI529" s="47">
        <f>VLOOKUP(B529,'Components Usage'!A$2:C$603,3,FALSE)</f>
        <v>0</v>
      </c>
      <c r="AJ529" s="28" t="s">
        <v>2401</v>
      </c>
    </row>
    <row r="530" spans="1:36" x14ac:dyDescent="0.25">
      <c r="A530" s="16" t="str">
        <f>'Components Data Source'!A530</f>
        <v>MIAC Bluetooth</v>
      </c>
      <c r="B530" s="8" t="str">
        <f>'Components Data Source'!B530</f>
        <v>6AB6C413-80F6-4DB4-9B1D-458412446D4C</v>
      </c>
      <c r="C530" s="8" t="str">
        <f>'Components Data Source'!C530</f>
        <v>ma_bluetooth.fcpx</v>
      </c>
      <c r="D530" s="8" t="str">
        <f>'Components Data Source'!D530</f>
        <v>Components\IO_Source\MIAC Addons\ma_bluetooth.fcfx</v>
      </c>
      <c r="E530" s="8" t="str">
        <f>'Components Data Source'!E530</f>
        <v>FREE</v>
      </c>
      <c r="F530" s="8" t="str">
        <f>'Components Data Source'!F530</f>
        <v>MIAC: ADDON MODULES</v>
      </c>
      <c r="G530" s="8">
        <f>'Components Data Source'!G530</f>
        <v>0</v>
      </c>
      <c r="H530" s="8">
        <f>'Components Data Source'!H530</f>
        <v>0</v>
      </c>
      <c r="I530" s="8">
        <f>'Components Data Source'!I530</f>
        <v>0</v>
      </c>
      <c r="J530" s="8">
        <f>'Components Data Source'!J530</f>
        <v>1</v>
      </c>
      <c r="K530" s="8">
        <f>'Components Data Source'!K530</f>
        <v>0</v>
      </c>
      <c r="L530" s="8">
        <f>'Components Data Source'!L530</f>
        <v>0</v>
      </c>
      <c r="M530" s="8" t="s">
        <v>1727</v>
      </c>
      <c r="N530" s="17" t="str">
        <f>HYPERLINK('Components Data Source'!M530)</f>
        <v>https://www.flowcode.co.uk/wiki/index.php?title=Component:_ID_6ab6c413_80f6_4db4_9b1d_458412446d4c</v>
      </c>
      <c r="O530" s="8" t="s">
        <v>2590</v>
      </c>
      <c r="P530" s="8" t="s">
        <v>3563</v>
      </c>
      <c r="Q530" s="8" t="str">
        <f t="shared" si="18"/>
        <v/>
      </c>
      <c r="R530" s="8" t="s">
        <v>1727</v>
      </c>
      <c r="S530" s="8" t="s">
        <v>1727</v>
      </c>
      <c r="T530" s="8"/>
      <c r="U530" s="8"/>
      <c r="V530" s="8" t="s">
        <v>1730</v>
      </c>
      <c r="W530" s="8" t="s">
        <v>1730</v>
      </c>
      <c r="X530" s="8"/>
      <c r="Y530" s="8"/>
      <c r="Z530" s="18">
        <f t="shared" si="17"/>
        <v>2</v>
      </c>
      <c r="AA530" s="8"/>
      <c r="AB530" s="7" t="s">
        <v>2512</v>
      </c>
      <c r="AC530" s="7"/>
      <c r="AD530" s="8" t="s">
        <v>1721</v>
      </c>
      <c r="AE530" s="8" t="s">
        <v>1727</v>
      </c>
      <c r="AF530" s="8" t="s">
        <v>1727</v>
      </c>
      <c r="AG530" s="8"/>
      <c r="AH530" s="47"/>
      <c r="AI530" s="47">
        <f>VLOOKUP(B530,'Components Usage'!A$2:C$603,3,FALSE)</f>
        <v>0</v>
      </c>
      <c r="AJ530" s="28" t="s">
        <v>2401</v>
      </c>
    </row>
    <row r="531" spans="1:36" x14ac:dyDescent="0.25">
      <c r="A531" s="16" t="str">
        <f>'Components Data Source'!A531</f>
        <v>MIAC GPS</v>
      </c>
      <c r="B531" s="8" t="str">
        <f>'Components Data Source'!B531</f>
        <v>BD4A15A6-C326-4762-8573-3E7A6FDE7D88</v>
      </c>
      <c r="C531" s="8" t="str">
        <f>'Components Data Source'!C531</f>
        <v>ma_gps.fcpx</v>
      </c>
      <c r="D531" s="8" t="str">
        <f>'Components Data Source'!D531</f>
        <v>Components\IO_Source\MIAC Addons\ma_gps.fcfx</v>
      </c>
      <c r="E531" s="8" t="str">
        <f>'Components Data Source'!E531</f>
        <v>FREE</v>
      </c>
      <c r="F531" s="8" t="str">
        <f>'Components Data Source'!F531</f>
        <v>MIAC: ADDON MODULES</v>
      </c>
      <c r="G531" s="8">
        <f>'Components Data Source'!G531</f>
        <v>0</v>
      </c>
      <c r="H531" s="8">
        <f>'Components Data Source'!H531</f>
        <v>0</v>
      </c>
      <c r="I531" s="8">
        <f>'Components Data Source'!I531</f>
        <v>0</v>
      </c>
      <c r="J531" s="8">
        <f>'Components Data Source'!J531</f>
        <v>1</v>
      </c>
      <c r="K531" s="8">
        <f>'Components Data Source'!K531</f>
        <v>0</v>
      </c>
      <c r="L531" s="8">
        <f>'Components Data Source'!L531</f>
        <v>0</v>
      </c>
      <c r="M531" s="8" t="s">
        <v>1727</v>
      </c>
      <c r="N531" s="17" t="str">
        <f>HYPERLINK('Components Data Source'!M531)</f>
        <v>https://www.flowcode.co.uk/wiki/index.php?title=Component:_ID_bd4a15a6_c326_4762_8573_3e7a6fde7d88</v>
      </c>
      <c r="O531" s="8" t="s">
        <v>1721</v>
      </c>
      <c r="P531" s="8"/>
      <c r="Q531" s="8" t="str">
        <f t="shared" si="18"/>
        <v/>
      </c>
      <c r="R531" s="8" t="s">
        <v>1727</v>
      </c>
      <c r="S531" s="8" t="s">
        <v>1727</v>
      </c>
      <c r="T531" s="8"/>
      <c r="U531" s="8"/>
      <c r="V531" s="8" t="s">
        <v>1730</v>
      </c>
      <c r="W531" s="8" t="s">
        <v>1730</v>
      </c>
      <c r="X531" s="8"/>
      <c r="Y531" s="8"/>
      <c r="Z531" s="18">
        <f t="shared" si="17"/>
        <v>2</v>
      </c>
      <c r="AA531" s="8"/>
      <c r="AB531" s="7" t="s">
        <v>2512</v>
      </c>
      <c r="AC531" s="7"/>
      <c r="AD531" s="8" t="s">
        <v>1721</v>
      </c>
      <c r="AE531" s="8" t="s">
        <v>1727</v>
      </c>
      <c r="AF531" s="8" t="s">
        <v>1727</v>
      </c>
      <c r="AG531" s="8"/>
      <c r="AH531" s="47"/>
      <c r="AI531" s="47">
        <f>VLOOKUP(B531,'Components Usage'!A$2:C$603,3,FALSE)</f>
        <v>0</v>
      </c>
      <c r="AJ531" s="28" t="s">
        <v>2401</v>
      </c>
    </row>
    <row r="532" spans="1:36" x14ac:dyDescent="0.25">
      <c r="A532" s="16" t="str">
        <f>'Components Data Source'!A532</f>
        <v>MIAC GSM</v>
      </c>
      <c r="B532" s="8" t="str">
        <f>'Components Data Source'!B532</f>
        <v>018199E8-EF66-49AF-BAC0-483043D71830</v>
      </c>
      <c r="C532" s="8" t="str">
        <f>'Components Data Source'!C532</f>
        <v>ma_gsm.fcpx</v>
      </c>
      <c r="D532" s="8" t="str">
        <f>'Components Data Source'!D532</f>
        <v>Components\IO_Source\MIAC Addons\ma_gsm.fcfx</v>
      </c>
      <c r="E532" s="8" t="str">
        <f>'Components Data Source'!E532</f>
        <v>FREE</v>
      </c>
      <c r="F532" s="8" t="str">
        <f>'Components Data Source'!F532</f>
        <v>MIAC: ADDON MODULES</v>
      </c>
      <c r="G532" s="8">
        <f>'Components Data Source'!G532</f>
        <v>0</v>
      </c>
      <c r="H532" s="8">
        <f>'Components Data Source'!H532</f>
        <v>0</v>
      </c>
      <c r="I532" s="8">
        <f>'Components Data Source'!I532</f>
        <v>0</v>
      </c>
      <c r="J532" s="8">
        <f>'Components Data Source'!J532</f>
        <v>1</v>
      </c>
      <c r="K532" s="8">
        <f>'Components Data Source'!K532</f>
        <v>0</v>
      </c>
      <c r="L532" s="8">
        <f>'Components Data Source'!L532</f>
        <v>0</v>
      </c>
      <c r="M532" s="8" t="s">
        <v>1727</v>
      </c>
      <c r="N532" s="17" t="str">
        <f>HYPERLINK('Components Data Source'!M532)</f>
        <v>https://www.flowcode.co.uk/wiki/index.php?title=Component:_ID_018199e8_ef66_49af_bac0_483043d71830</v>
      </c>
      <c r="O532" s="8" t="s">
        <v>2590</v>
      </c>
      <c r="P532" s="8" t="s">
        <v>3563</v>
      </c>
      <c r="Q532" s="8" t="str">
        <f t="shared" si="18"/>
        <v/>
      </c>
      <c r="R532" s="8" t="s">
        <v>1727</v>
      </c>
      <c r="S532" s="8" t="s">
        <v>1727</v>
      </c>
      <c r="T532" s="8"/>
      <c r="U532" s="8"/>
      <c r="V532" s="8" t="s">
        <v>1730</v>
      </c>
      <c r="W532" s="8" t="s">
        <v>1730</v>
      </c>
      <c r="X532" s="8"/>
      <c r="Y532" s="8"/>
      <c r="Z532" s="18">
        <f t="shared" si="17"/>
        <v>2</v>
      </c>
      <c r="AA532" s="8"/>
      <c r="AB532" s="7" t="s">
        <v>2512</v>
      </c>
      <c r="AC532" s="7"/>
      <c r="AD532" s="8" t="s">
        <v>1721</v>
      </c>
      <c r="AE532" s="8" t="s">
        <v>1727</v>
      </c>
      <c r="AF532" s="8" t="s">
        <v>1727</v>
      </c>
      <c r="AG532" s="8"/>
      <c r="AH532" s="47"/>
      <c r="AI532" s="47">
        <f>VLOOKUP(B532,'Components Usage'!A$2:C$603,3,FALSE)</f>
        <v>0</v>
      </c>
      <c r="AJ532" s="28" t="s">
        <v>2401</v>
      </c>
    </row>
    <row r="533" spans="1:36" x14ac:dyDescent="0.25">
      <c r="A533" s="16" t="str">
        <f>'Components Data Source'!A533</f>
        <v>MIAC Industrial</v>
      </c>
      <c r="B533" s="8" t="str">
        <f>'Components Data Source'!B533</f>
        <v>4C1BD3CF-A504-4A05-9AE7-318D6A4F9A07</v>
      </c>
      <c r="C533" s="8" t="str">
        <f>'Components Data Source'!C533</f>
        <v>ma_industrial.fcpx</v>
      </c>
      <c r="D533" s="8" t="str">
        <f>'Components Data Source'!D533</f>
        <v>Components\IO_Source\MIAC Addons\ma_industrial.fcfx</v>
      </c>
      <c r="E533" s="8" t="str">
        <f>'Components Data Source'!E533</f>
        <v>FREE</v>
      </c>
      <c r="F533" s="8" t="str">
        <f>'Components Data Source'!F533</f>
        <v>MIAC: ADDON MODULES</v>
      </c>
      <c r="G533" s="8">
        <f>'Components Data Source'!G533</f>
        <v>0</v>
      </c>
      <c r="H533" s="8">
        <f>'Components Data Source'!H533</f>
        <v>0</v>
      </c>
      <c r="I533" s="8">
        <f>'Components Data Source'!I533</f>
        <v>0</v>
      </c>
      <c r="J533" s="8">
        <f>'Components Data Source'!J533</f>
        <v>1</v>
      </c>
      <c r="K533" s="8">
        <f>'Components Data Source'!K533</f>
        <v>0</v>
      </c>
      <c r="L533" s="8">
        <f>'Components Data Source'!L533</f>
        <v>0</v>
      </c>
      <c r="M533" s="8" t="s">
        <v>1727</v>
      </c>
      <c r="N533" s="17" t="str">
        <f>HYPERLINK('Components Data Source'!M533)</f>
        <v>https://www.flowcode.co.uk/wiki/index.php?title=Component:_ID_4c1bd3cf_a504_4a05_9ae7_318d6a4f9a07</v>
      </c>
      <c r="O533" s="8" t="s">
        <v>2590</v>
      </c>
      <c r="P533" s="8" t="s">
        <v>3563</v>
      </c>
      <c r="Q533" s="8" t="str">
        <f t="shared" si="18"/>
        <v/>
      </c>
      <c r="R533" s="8" t="s">
        <v>1727</v>
      </c>
      <c r="S533" s="8" t="s">
        <v>1727</v>
      </c>
      <c r="T533" s="8"/>
      <c r="U533" s="8"/>
      <c r="V533" s="8" t="s">
        <v>1730</v>
      </c>
      <c r="W533" s="8" t="s">
        <v>1730</v>
      </c>
      <c r="X533" s="8"/>
      <c r="Y533" s="8"/>
      <c r="Z533" s="18">
        <f t="shared" si="17"/>
        <v>2</v>
      </c>
      <c r="AA533" s="8"/>
      <c r="AB533" s="7" t="s">
        <v>2512</v>
      </c>
      <c r="AC533" s="7"/>
      <c r="AD533" s="8" t="s">
        <v>1721</v>
      </c>
      <c r="AE533" s="8" t="s">
        <v>1727</v>
      </c>
      <c r="AF533" s="8" t="s">
        <v>1727</v>
      </c>
      <c r="AG533" s="8"/>
      <c r="AH533" s="47"/>
      <c r="AI533" s="47">
        <f>VLOOKUP(B533,'Components Usage'!A$2:C$603,3,FALSE)</f>
        <v>0</v>
      </c>
      <c r="AJ533" s="28" t="s">
        <v>2401</v>
      </c>
    </row>
    <row r="534" spans="1:36" x14ac:dyDescent="0.25">
      <c r="A534" s="16" t="str">
        <f>'Components Data Source'!A534</f>
        <v>MIAC Serial</v>
      </c>
      <c r="B534" s="8" t="str">
        <f>'Components Data Source'!B534</f>
        <v>126523D0-E391-4CCB-86C0-0E9D1B33D5F0</v>
      </c>
      <c r="C534" s="8" t="str">
        <f>'Components Data Source'!C534</f>
        <v>ma_serial.fcpx</v>
      </c>
      <c r="D534" s="8" t="str">
        <f>'Components Data Source'!D534</f>
        <v>Components\IO_Source\MIAC Addons\ma_serial.fcfx</v>
      </c>
      <c r="E534" s="8" t="str">
        <f>'Components Data Source'!E534</f>
        <v>FREE</v>
      </c>
      <c r="F534" s="8" t="str">
        <f>'Components Data Source'!F534</f>
        <v>MIAC: ADDON MODULES</v>
      </c>
      <c r="G534" s="8">
        <f>'Components Data Source'!G534</f>
        <v>0</v>
      </c>
      <c r="H534" s="8">
        <f>'Components Data Source'!H534</f>
        <v>0</v>
      </c>
      <c r="I534" s="8">
        <f>'Components Data Source'!I534</f>
        <v>0</v>
      </c>
      <c r="J534" s="8">
        <f>'Components Data Source'!J534</f>
        <v>1</v>
      </c>
      <c r="K534" s="8">
        <f>'Components Data Source'!K534</f>
        <v>0</v>
      </c>
      <c r="L534" s="8">
        <f>'Components Data Source'!L534</f>
        <v>0</v>
      </c>
      <c r="M534" s="8" t="s">
        <v>1727</v>
      </c>
      <c r="N534" s="17" t="str">
        <f>HYPERLINK('Components Data Source'!M534)</f>
        <v>https://www.flowcode.co.uk/wiki/index.php?title=Component:_ID_126523d0_e391_4ccb_86c0_0e9d1b33d5f0</v>
      </c>
      <c r="O534" s="8" t="s">
        <v>2590</v>
      </c>
      <c r="P534" s="8" t="s">
        <v>3563</v>
      </c>
      <c r="Q534" s="8" t="str">
        <f t="shared" si="18"/>
        <v/>
      </c>
      <c r="R534" s="8" t="s">
        <v>1727</v>
      </c>
      <c r="S534" s="8" t="s">
        <v>1727</v>
      </c>
      <c r="T534" s="8"/>
      <c r="U534" s="8"/>
      <c r="V534" s="8" t="s">
        <v>1730</v>
      </c>
      <c r="W534" s="8" t="s">
        <v>1730</v>
      </c>
      <c r="X534" s="8"/>
      <c r="Y534" s="8"/>
      <c r="Z534" s="18">
        <f t="shared" si="17"/>
        <v>2</v>
      </c>
      <c r="AA534" s="8"/>
      <c r="AB534" s="7" t="s">
        <v>2512</v>
      </c>
      <c r="AC534" s="7"/>
      <c r="AD534" s="8" t="s">
        <v>1721</v>
      </c>
      <c r="AE534" s="8" t="s">
        <v>1727</v>
      </c>
      <c r="AF534" s="8" t="s">
        <v>1727</v>
      </c>
      <c r="AG534" s="8"/>
      <c r="AH534" s="47"/>
      <c r="AI534" s="47">
        <f>VLOOKUP(B534,'Components Usage'!A$2:C$603,3,FALSE)</f>
        <v>0</v>
      </c>
      <c r="AJ534" s="28" t="s">
        <v>2401</v>
      </c>
    </row>
    <row r="535" spans="1:36" x14ac:dyDescent="0.25">
      <c r="A535" s="16" t="str">
        <f>'Components Data Source'!A535</f>
        <v>MIAC (PIC) CAN Slave</v>
      </c>
      <c r="B535" s="8" t="str">
        <f>'Components Data Source'!B535</f>
        <v>184DE24B-DAF7-457C-95CB-D9B97B939839</v>
      </c>
      <c r="C535" s="8" t="str">
        <f>'Components Data Source'!C535</f>
        <v>ma_slave.fcpx</v>
      </c>
      <c r="D535" s="8" t="str">
        <f>'Components Data Source'!D535</f>
        <v>Components\IO_Source\MIAC Addons\ma_slave.fcfx</v>
      </c>
      <c r="E535" s="8" t="str">
        <f>'Components Data Source'!E535</f>
        <v>FREE</v>
      </c>
      <c r="F535" s="8" t="str">
        <f>'Components Data Source'!F535</f>
        <v>MIAC: ADDON MODULES</v>
      </c>
      <c r="G535" s="8">
        <f>'Components Data Source'!G535</f>
        <v>0</v>
      </c>
      <c r="H535" s="8">
        <f>'Components Data Source'!H535</f>
        <v>0</v>
      </c>
      <c r="I535" s="8">
        <f>'Components Data Source'!I535</f>
        <v>0</v>
      </c>
      <c r="J535" s="8">
        <f>'Components Data Source'!J535</f>
        <v>1</v>
      </c>
      <c r="K535" s="8">
        <f>'Components Data Source'!K535</f>
        <v>0</v>
      </c>
      <c r="L535" s="8">
        <f>'Components Data Source'!L535</f>
        <v>0</v>
      </c>
      <c r="M535" s="8" t="s">
        <v>1727</v>
      </c>
      <c r="N535" s="17" t="str">
        <f>HYPERLINK('Components Data Source'!M535)</f>
        <v>https://www.flowcode.co.uk/wiki/index.php?title=Component:_ID_184de24b_daf7_457c_95cb_d9b97b939839</v>
      </c>
      <c r="O535" s="8" t="s">
        <v>1721</v>
      </c>
      <c r="P535" s="8"/>
      <c r="Q535" s="8" t="str">
        <f t="shared" si="18"/>
        <v/>
      </c>
      <c r="R535" s="8" t="s">
        <v>1727</v>
      </c>
      <c r="S535" s="8" t="s">
        <v>1727</v>
      </c>
      <c r="T535" s="8"/>
      <c r="U535" s="8"/>
      <c r="V535" s="8" t="s">
        <v>1730</v>
      </c>
      <c r="W535" s="8" t="s">
        <v>1730</v>
      </c>
      <c r="X535" s="8"/>
      <c r="Y535" s="8"/>
      <c r="Z535" s="18">
        <f t="shared" si="17"/>
        <v>2</v>
      </c>
      <c r="AA535" s="8"/>
      <c r="AB535" s="7"/>
      <c r="AC535" s="7"/>
      <c r="AD535" s="8" t="s">
        <v>1721</v>
      </c>
      <c r="AE535" s="8" t="s">
        <v>1727</v>
      </c>
      <c r="AF535" s="8" t="s">
        <v>1727</v>
      </c>
      <c r="AG535" s="8"/>
      <c r="AH535" s="47"/>
      <c r="AI535" s="47">
        <f>VLOOKUP(B535,'Components Usage'!A$2:C$603,3,FALSE)</f>
        <v>0</v>
      </c>
      <c r="AJ535" s="28" t="s">
        <v>2401</v>
      </c>
    </row>
    <row r="536" spans="1:36" x14ac:dyDescent="0.25">
      <c r="A536" s="16" t="str">
        <f>'Components Data Source'!A536</f>
        <v>MIAC Zigbee Coordinator</v>
      </c>
      <c r="B536" s="8" t="str">
        <f>'Components Data Source'!B536</f>
        <v>B5E4FAAC-ED09-4E4C-A644-09E1E151A405</v>
      </c>
      <c r="C536" s="8" t="str">
        <f>'Components Data Source'!C536</f>
        <v>ma_zigbee_c.fcpx</v>
      </c>
      <c r="D536" s="8" t="str">
        <f>'Components Data Source'!D536</f>
        <v>Components\IO_Source\MIAC Addons\ma_zigbee_c.fcfx</v>
      </c>
      <c r="E536" s="8" t="str">
        <f>'Components Data Source'!E536</f>
        <v>FREE</v>
      </c>
      <c r="F536" s="8" t="str">
        <f>'Components Data Source'!F536</f>
        <v>MIAC: ADDON MODULES</v>
      </c>
      <c r="G536" s="8">
        <f>'Components Data Source'!G536</f>
        <v>0</v>
      </c>
      <c r="H536" s="8">
        <f>'Components Data Source'!H536</f>
        <v>0</v>
      </c>
      <c r="I536" s="8">
        <f>'Components Data Source'!I536</f>
        <v>0</v>
      </c>
      <c r="J536" s="8">
        <f>'Components Data Source'!J536</f>
        <v>1</v>
      </c>
      <c r="K536" s="8">
        <f>'Components Data Source'!K536</f>
        <v>0</v>
      </c>
      <c r="L536" s="8">
        <f>'Components Data Source'!L536</f>
        <v>0</v>
      </c>
      <c r="M536" s="8" t="s">
        <v>1727</v>
      </c>
      <c r="N536" s="17" t="str">
        <f>HYPERLINK('Components Data Source'!M536)</f>
        <v>https://www.flowcode.co.uk/wiki/index.php?title=Component:_ID_b5e4faac_ed09_4e4c_a644_09e1e151a405</v>
      </c>
      <c r="O536" s="8" t="s">
        <v>2590</v>
      </c>
      <c r="P536" s="8" t="s">
        <v>3563</v>
      </c>
      <c r="Q536" s="8" t="str">
        <f t="shared" si="18"/>
        <v/>
      </c>
      <c r="R536" s="8" t="s">
        <v>1727</v>
      </c>
      <c r="S536" s="8" t="s">
        <v>1727</v>
      </c>
      <c r="T536" s="8"/>
      <c r="U536" s="8"/>
      <c r="V536" s="8" t="s">
        <v>1730</v>
      </c>
      <c r="W536" s="8" t="s">
        <v>1730</v>
      </c>
      <c r="X536" s="8"/>
      <c r="Y536" s="8"/>
      <c r="Z536" s="18">
        <f t="shared" si="17"/>
        <v>2</v>
      </c>
      <c r="AA536" s="8"/>
      <c r="AB536" s="7" t="s">
        <v>2512</v>
      </c>
      <c r="AC536" s="7"/>
      <c r="AD536" s="8" t="s">
        <v>1721</v>
      </c>
      <c r="AE536" s="8" t="s">
        <v>1727</v>
      </c>
      <c r="AF536" s="8" t="s">
        <v>1727</v>
      </c>
      <c r="AG536" s="8"/>
      <c r="AH536" s="47"/>
      <c r="AI536" s="47">
        <f>VLOOKUP(B536,'Components Usage'!A$2:C$603,3,FALSE)</f>
        <v>0</v>
      </c>
      <c r="AJ536" s="28" t="s">
        <v>2401</v>
      </c>
    </row>
    <row r="537" spans="1:36" x14ac:dyDescent="0.25">
      <c r="A537" s="16" t="str">
        <f>'Components Data Source'!A537</f>
        <v>MIAC Zigbee Router</v>
      </c>
      <c r="B537" s="8" t="str">
        <f>'Components Data Source'!B537</f>
        <v>8DD620E3-3CDB-4D8A-BA3D-CD4DBCA0BA34</v>
      </c>
      <c r="C537" s="8" t="str">
        <f>'Components Data Source'!C537</f>
        <v>ma_zigbee_r.fcpx</v>
      </c>
      <c r="D537" s="8" t="str">
        <f>'Components Data Source'!D537</f>
        <v>Components\IO_Source\MIAC Addons\ma_zigbee_r.fcfx</v>
      </c>
      <c r="E537" s="8" t="str">
        <f>'Components Data Source'!E537</f>
        <v>FREE</v>
      </c>
      <c r="F537" s="8" t="str">
        <f>'Components Data Source'!F537</f>
        <v>MIAC: ADDON MODULES</v>
      </c>
      <c r="G537" s="8">
        <f>'Components Data Source'!G537</f>
        <v>0</v>
      </c>
      <c r="H537" s="8">
        <f>'Components Data Source'!H537</f>
        <v>0</v>
      </c>
      <c r="I537" s="8">
        <f>'Components Data Source'!I537</f>
        <v>0</v>
      </c>
      <c r="J537" s="8">
        <f>'Components Data Source'!J537</f>
        <v>1</v>
      </c>
      <c r="K537" s="8">
        <f>'Components Data Source'!K537</f>
        <v>0</v>
      </c>
      <c r="L537" s="8">
        <f>'Components Data Source'!L537</f>
        <v>0</v>
      </c>
      <c r="M537" s="8" t="s">
        <v>1727</v>
      </c>
      <c r="N537" s="17" t="str">
        <f>HYPERLINK('Components Data Source'!M537)</f>
        <v>https://www.flowcode.co.uk/wiki/index.php?title=Component:_ID_8dd620e3_3cdb_4d8a_ba3d_cd4dbca0ba34</v>
      </c>
      <c r="O537" s="8" t="s">
        <v>2590</v>
      </c>
      <c r="P537" s="8" t="s">
        <v>3563</v>
      </c>
      <c r="Q537" s="8" t="str">
        <f t="shared" si="18"/>
        <v/>
      </c>
      <c r="R537" s="8" t="s">
        <v>1727</v>
      </c>
      <c r="S537" s="8" t="s">
        <v>1727</v>
      </c>
      <c r="T537" s="8"/>
      <c r="U537" s="8"/>
      <c r="V537" s="8" t="s">
        <v>1730</v>
      </c>
      <c r="W537" s="8" t="s">
        <v>1730</v>
      </c>
      <c r="X537" s="8"/>
      <c r="Y537" s="8"/>
      <c r="Z537" s="18">
        <f t="shared" si="17"/>
        <v>2</v>
      </c>
      <c r="AA537" s="8"/>
      <c r="AB537" s="7" t="s">
        <v>2512</v>
      </c>
      <c r="AC537" s="7"/>
      <c r="AD537" s="8" t="s">
        <v>1721</v>
      </c>
      <c r="AE537" s="8" t="s">
        <v>1727</v>
      </c>
      <c r="AF537" s="8" t="s">
        <v>1727</v>
      </c>
      <c r="AG537" s="8"/>
      <c r="AH537" s="47"/>
      <c r="AI537" s="47">
        <f>VLOOKUP(B537,'Components Usage'!A$2:C$603,3,FALSE)</f>
        <v>0</v>
      </c>
      <c r="AJ537" s="28" t="s">
        <v>2401</v>
      </c>
    </row>
    <row r="538" spans="1:36" hidden="1" x14ac:dyDescent="0.25">
      <c r="A538" s="16" t="str">
        <f>'Components Data Source'!A538</f>
        <v>Meter Square</v>
      </c>
      <c r="B538" s="8" t="str">
        <f>'Components Data Source'!B538</f>
        <v>4AEAD223-94B8-4744-9674-7C21ACC80681</v>
      </c>
      <c r="C538" s="8" t="str">
        <f>'Components Data Source'!C538</f>
        <v>meter_square.fcpx</v>
      </c>
      <c r="D538" s="8" t="str">
        <f>'Components Data Source'!D538</f>
        <v>Components\IO_Source\meter_square.fcfx</v>
      </c>
      <c r="E538" s="8" t="str">
        <f>'Components Data Source'!E538</f>
        <v>MODELS</v>
      </c>
      <c r="F538" s="8" t="str">
        <f>'Components Data Source'!F538</f>
        <v>ADVANCED SHAPES</v>
      </c>
      <c r="G538" s="8">
        <f>'Components Data Source'!G538</f>
        <v>0</v>
      </c>
      <c r="H538" s="8">
        <f>'Components Data Source'!H538</f>
        <v>0</v>
      </c>
      <c r="I538" s="8">
        <f>'Components Data Source'!I538</f>
        <v>0</v>
      </c>
      <c r="J538" s="8">
        <f>'Components Data Source'!J538</f>
        <v>1</v>
      </c>
      <c r="K538" s="8">
        <f>'Components Data Source'!K538</f>
        <v>1</v>
      </c>
      <c r="L538" s="8">
        <f>'Components Data Source'!L538</f>
        <v>1</v>
      </c>
      <c r="M538" s="8" t="s">
        <v>1727</v>
      </c>
      <c r="N538" s="17" t="str">
        <f>HYPERLINK('Components Data Source'!M538)</f>
        <v>https://www.flowcode.co.uk/wiki/index.php?title=Component:_ID_4aead223_94b8_4744_9674_7c21acc80681</v>
      </c>
      <c r="O538" s="8" t="s">
        <v>1721</v>
      </c>
      <c r="P538" s="8"/>
      <c r="Q538" s="8" t="str">
        <f t="shared" si="18"/>
        <v/>
      </c>
      <c r="R538" s="8" t="s">
        <v>1727</v>
      </c>
      <c r="S538" s="8" t="s">
        <v>1727</v>
      </c>
      <c r="T538" s="8"/>
      <c r="U538" s="8"/>
      <c r="V538" s="8" t="s">
        <v>1730</v>
      </c>
      <c r="W538" s="8" t="s">
        <v>1730</v>
      </c>
      <c r="X538" s="8"/>
      <c r="Y538" s="8"/>
      <c r="Z538" s="18">
        <f t="shared" si="17"/>
        <v>2</v>
      </c>
      <c r="AA538" s="8"/>
      <c r="AB538" s="7"/>
      <c r="AC538" s="7"/>
      <c r="AD538" s="8" t="s">
        <v>1721</v>
      </c>
      <c r="AE538" s="8" t="s">
        <v>2401</v>
      </c>
      <c r="AF538" s="8" t="s">
        <v>2401</v>
      </c>
      <c r="AG538" s="8"/>
      <c r="AH538" s="47"/>
      <c r="AI538" s="47">
        <f>VLOOKUP(B538,'Components Usage'!A$2:C$603,3,FALSE)</f>
        <v>8</v>
      </c>
      <c r="AJ538" s="28" t="s">
        <v>2401</v>
      </c>
    </row>
    <row r="539" spans="1:36" x14ac:dyDescent="0.25">
      <c r="A539" s="16" t="str">
        <f>'Components Data Source'!A539</f>
        <v>MIAC (PIC)</v>
      </c>
      <c r="B539" s="8" t="str">
        <f>'Components Data Source'!B539</f>
        <v>D69543A8-F38B-488A-B905-9FA2D5970BEB</v>
      </c>
      <c r="C539" s="8" t="str">
        <f>'Components Data Source'!C539</f>
        <v>miac.fcpx</v>
      </c>
      <c r="D539" s="8" t="str">
        <f>'Components Data Source'!D539</f>
        <v>Components\IO_Source\MIAC.fcfx</v>
      </c>
      <c r="E539" s="8" t="str">
        <f>'Components Data Source'!E539</f>
        <v>FREE</v>
      </c>
      <c r="F539" s="8" t="str">
        <f>'Components Data Source'!F539</f>
        <v>MIAC MODULE</v>
      </c>
      <c r="G539" s="8">
        <f>'Components Data Source'!G539</f>
        <v>0</v>
      </c>
      <c r="H539" s="8">
        <f>'Components Data Source'!H539</f>
        <v>0</v>
      </c>
      <c r="I539" s="8">
        <f>'Components Data Source'!I539</f>
        <v>0</v>
      </c>
      <c r="J539" s="8">
        <f>'Components Data Source'!J539</f>
        <v>1</v>
      </c>
      <c r="K539" s="8">
        <f>'Components Data Source'!K539</f>
        <v>1</v>
      </c>
      <c r="L539" s="8">
        <f>'Components Data Source'!L539</f>
        <v>0</v>
      </c>
      <c r="M539" s="8" t="s">
        <v>1727</v>
      </c>
      <c r="N539" s="17" t="str">
        <f>HYPERLINK('Components Data Source'!M539)</f>
        <v>https://www.flowcode.co.uk/wiki/index.php?title=Component:_ID_d69543a8_f38b_488a_b905_9fa2d5970beb</v>
      </c>
      <c r="O539" s="8" t="s">
        <v>1721</v>
      </c>
      <c r="P539" s="8"/>
      <c r="Q539" s="8" t="str">
        <f t="shared" si="18"/>
        <v/>
      </c>
      <c r="R539" s="8" t="s">
        <v>1727</v>
      </c>
      <c r="S539" s="8" t="s">
        <v>1727</v>
      </c>
      <c r="T539" s="8"/>
      <c r="U539" s="8"/>
      <c r="V539" s="8" t="s">
        <v>1730</v>
      </c>
      <c r="W539" s="8" t="s">
        <v>1730</v>
      </c>
      <c r="X539" s="8"/>
      <c r="Y539" s="8"/>
      <c r="Z539" s="18">
        <f t="shared" si="17"/>
        <v>2</v>
      </c>
      <c r="AA539" s="8"/>
      <c r="AB539" s="7"/>
      <c r="AC539" s="7"/>
      <c r="AD539" s="8" t="s">
        <v>1721</v>
      </c>
      <c r="AE539" s="8" t="s">
        <v>1721</v>
      </c>
      <c r="AF539" s="8" t="s">
        <v>2401</v>
      </c>
      <c r="AG539" s="8"/>
      <c r="AH539" s="47"/>
      <c r="AI539" s="47">
        <f>VLOOKUP(B539,'Components Usage'!A$2:C$603,3,FALSE)</f>
        <v>13</v>
      </c>
      <c r="AJ539" s="28" t="s">
        <v>2401</v>
      </c>
    </row>
    <row r="540" spans="1:36" x14ac:dyDescent="0.25">
      <c r="A540" s="16" t="str">
        <f>'Components Data Source'!A540</f>
        <v>MIAC (Arduino-Compatible)</v>
      </c>
      <c r="B540" s="8" t="str">
        <f>'Components Data Source'!B540</f>
        <v>463BFC0E-2A04-414C-BF85-10718FA2CA08</v>
      </c>
      <c r="C540" s="8" t="str">
        <f>'Components Data Source'!C540</f>
        <v>miac_arduino.fcpx</v>
      </c>
      <c r="D540" s="8" t="str">
        <f>'Components Data Source'!D540</f>
        <v>Components\IO_Source\MIAC (Arduino).fcfx</v>
      </c>
      <c r="E540" s="8" t="str">
        <f>'Components Data Source'!E540</f>
        <v>FREE</v>
      </c>
      <c r="F540" s="8" t="str">
        <f>'Components Data Source'!F540</f>
        <v>MIAC MODULE</v>
      </c>
      <c r="G540" s="8">
        <f>'Components Data Source'!G540</f>
        <v>0</v>
      </c>
      <c r="H540" s="8">
        <f>'Components Data Source'!H540</f>
        <v>0</v>
      </c>
      <c r="I540" s="8">
        <f>'Components Data Source'!I540</f>
        <v>0</v>
      </c>
      <c r="J540" s="8">
        <f>'Components Data Source'!J540</f>
        <v>1</v>
      </c>
      <c r="K540" s="8">
        <f>'Components Data Source'!K540</f>
        <v>0</v>
      </c>
      <c r="L540" s="8">
        <f>'Components Data Source'!L540</f>
        <v>0</v>
      </c>
      <c r="M540" s="8" t="s">
        <v>1727</v>
      </c>
      <c r="N540" s="17" t="str">
        <f>HYPERLINK('Components Data Source'!M540)</f>
        <v>https://www.flowcode.co.uk/wiki/index.php?title=Component:_ID_463bfc0e_2a04_414c_bf85_10718fa2ca08</v>
      </c>
      <c r="O540" s="8" t="s">
        <v>1721</v>
      </c>
      <c r="P540" s="8"/>
      <c r="Q540" s="8" t="str">
        <f t="shared" si="18"/>
        <v/>
      </c>
      <c r="R540" s="8" t="s">
        <v>1727</v>
      </c>
      <c r="S540" s="8" t="s">
        <v>1727</v>
      </c>
      <c r="T540" s="8"/>
      <c r="U540" s="8"/>
      <c r="V540" s="8" t="s">
        <v>1730</v>
      </c>
      <c r="W540" s="8" t="s">
        <v>1730</v>
      </c>
      <c r="X540" s="8"/>
      <c r="Y540" s="8"/>
      <c r="Z540" s="18">
        <f t="shared" si="17"/>
        <v>2</v>
      </c>
      <c r="AA540" s="8"/>
      <c r="AB540" s="7"/>
      <c r="AC540" s="7"/>
      <c r="AD540" s="8" t="s">
        <v>1721</v>
      </c>
      <c r="AE540" s="8" t="s">
        <v>1727</v>
      </c>
      <c r="AF540" s="8" t="s">
        <v>2401</v>
      </c>
      <c r="AG540" s="8"/>
      <c r="AH540" s="47"/>
      <c r="AI540" s="47">
        <f>VLOOKUP(B540,'Components Usage'!A$2:C$603,3,FALSE)</f>
        <v>3</v>
      </c>
      <c r="AJ540" s="28" t="s">
        <v>2401</v>
      </c>
    </row>
    <row r="541" spans="1:36" x14ac:dyDescent="0.25">
      <c r="A541" s="16" t="str">
        <f>'Components Data Source'!A541</f>
        <v>MIAC (dsPIC)</v>
      </c>
      <c r="B541" s="8" t="str">
        <f>'Components Data Source'!B541</f>
        <v>596E6F4D-D87A-4E8B-B108-C0501127C382</v>
      </c>
      <c r="C541" s="8" t="str">
        <f>'Components Data Source'!C541</f>
        <v>miac_dspic.fcpx</v>
      </c>
      <c r="D541" s="8" t="str">
        <f>'Components Data Source'!D541</f>
        <v>Components\IO_Source\MIAC (dsPIC).fcfx</v>
      </c>
      <c r="E541" s="8" t="str">
        <f>'Components Data Source'!E541</f>
        <v>FREE</v>
      </c>
      <c r="F541" s="8" t="str">
        <f>'Components Data Source'!F541</f>
        <v>MIAC MODULE</v>
      </c>
      <c r="G541" s="8">
        <f>'Components Data Source'!G541</f>
        <v>0</v>
      </c>
      <c r="H541" s="8">
        <f>'Components Data Source'!H541</f>
        <v>0</v>
      </c>
      <c r="I541" s="8">
        <f>'Components Data Source'!I541</f>
        <v>0</v>
      </c>
      <c r="J541" s="8">
        <f>'Components Data Source'!J541</f>
        <v>1</v>
      </c>
      <c r="K541" s="8">
        <f>'Components Data Source'!K541</f>
        <v>0</v>
      </c>
      <c r="L541" s="8">
        <f>'Components Data Source'!L541</f>
        <v>0</v>
      </c>
      <c r="M541" s="8" t="s">
        <v>1727</v>
      </c>
      <c r="N541" s="17" t="str">
        <f>HYPERLINK('Components Data Source'!M541)</f>
        <v>https://www.flowcode.co.uk/wiki/index.php?title=Component:_ID_596e6f4d_d87a_4e8b_b108_c0501127c382</v>
      </c>
      <c r="O541" s="8" t="s">
        <v>1721</v>
      </c>
      <c r="P541" s="8"/>
      <c r="Q541" s="8" t="str">
        <f t="shared" si="18"/>
        <v/>
      </c>
      <c r="R541" s="8" t="s">
        <v>1727</v>
      </c>
      <c r="S541" s="8" t="s">
        <v>1727</v>
      </c>
      <c r="T541" s="8"/>
      <c r="U541" s="8"/>
      <c r="V541" s="8" t="s">
        <v>1730</v>
      </c>
      <c r="W541" s="8" t="s">
        <v>1730</v>
      </c>
      <c r="X541" s="8"/>
      <c r="Y541" s="8"/>
      <c r="Z541" s="18">
        <f t="shared" si="17"/>
        <v>2</v>
      </c>
      <c r="AA541" s="8"/>
      <c r="AB541" s="7"/>
      <c r="AC541" s="7"/>
      <c r="AD541" s="8" t="s">
        <v>1721</v>
      </c>
      <c r="AE541" s="8" t="s">
        <v>1727</v>
      </c>
      <c r="AF541" s="8" t="s">
        <v>2401</v>
      </c>
      <c r="AG541" s="8"/>
      <c r="AH541" s="47"/>
      <c r="AI541" s="47">
        <f>VLOOKUP(B541,'Components Usage'!A$2:C$603,3,FALSE)</f>
        <v>9</v>
      </c>
      <c r="AJ541" s="28" t="s">
        <v>2401</v>
      </c>
    </row>
    <row r="542" spans="1:36" hidden="1" x14ac:dyDescent="0.25">
      <c r="A542" s="16" t="str">
        <f>'Components Data Source'!A542</f>
        <v>Servo Motor (Tower Pro 9g)</v>
      </c>
      <c r="B542" s="8" t="str">
        <f>'Components Data Source'!B542</f>
        <v>B6FDC61F-7BE2-49C7-925F-AEA3DC284CBA</v>
      </c>
      <c r="C542" s="8" t="str">
        <f>'Components Data Source'!C542</f>
        <v>micro_servo.fcpx</v>
      </c>
      <c r="D542" s="8" t="str">
        <f>'Components Data Source'!D542</f>
        <v>Components\IO_Source\mechatronics\Micro Servo 9G.fcfx</v>
      </c>
      <c r="E542" s="8" t="str">
        <f>'Components Data Source'!E542</f>
        <v>MECHATRONICS</v>
      </c>
      <c r="F542" s="8">
        <f>'Components Data Source'!F542</f>
        <v>0</v>
      </c>
      <c r="G542" s="8">
        <f>'Components Data Source'!G542</f>
        <v>0</v>
      </c>
      <c r="H542" s="8">
        <f>'Components Data Source'!H542</f>
        <v>0</v>
      </c>
      <c r="I542" s="8">
        <f>'Components Data Source'!I542</f>
        <v>0</v>
      </c>
      <c r="J542" s="8">
        <f>'Components Data Source'!J542</f>
        <v>1</v>
      </c>
      <c r="K542" s="8">
        <f>'Components Data Source'!K542</f>
        <v>1</v>
      </c>
      <c r="L542" s="8">
        <f>'Components Data Source'!L542</f>
        <v>0</v>
      </c>
      <c r="M542" s="8" t="s">
        <v>1727</v>
      </c>
      <c r="N542" s="17" t="str">
        <f>HYPERLINK('Components Data Source'!M542)</f>
        <v>https://www.flowcode.co.uk/wiki/index.php?title=Component:_ID_b6fdc61f_7be2_49c7_925f_aea3dc284cba</v>
      </c>
      <c r="O542" s="8" t="s">
        <v>1721</v>
      </c>
      <c r="P542" s="8"/>
      <c r="Q542" s="8" t="str">
        <f t="shared" si="18"/>
        <v/>
      </c>
      <c r="R542" s="8" t="s">
        <v>1727</v>
      </c>
      <c r="S542" s="8" t="s">
        <v>1727</v>
      </c>
      <c r="T542" s="8"/>
      <c r="U542" s="8"/>
      <c r="V542" s="8" t="s">
        <v>1730</v>
      </c>
      <c r="W542" s="8" t="s">
        <v>1730</v>
      </c>
      <c r="X542" s="8"/>
      <c r="Y542" s="8"/>
      <c r="Z542" s="18">
        <f t="shared" si="17"/>
        <v>2</v>
      </c>
      <c r="AA542" s="8"/>
      <c r="AB542" s="7"/>
      <c r="AC542" s="7"/>
      <c r="AD542" s="8" t="s">
        <v>1721</v>
      </c>
      <c r="AE542" s="8" t="s">
        <v>1721</v>
      </c>
      <c r="AF542" s="8" t="s">
        <v>2401</v>
      </c>
      <c r="AG542" s="8"/>
      <c r="AH542" s="47"/>
      <c r="AI542" s="47">
        <f>VLOOKUP(B542,'Components Usage'!A$2:C$603,3,FALSE)</f>
        <v>11</v>
      </c>
      <c r="AJ542" s="28" t="s">
        <v>2401</v>
      </c>
    </row>
    <row r="543" spans="1:36" hidden="1" x14ac:dyDescent="0.25">
      <c r="A543" s="16" t="str">
        <f>'Components Data Source'!A543</f>
        <v>MIDI</v>
      </c>
      <c r="B543" s="8" t="str">
        <f>'Components Data Source'!B543</f>
        <v>A9B43242-9CCC-4F1C-B2D1-ACDFBE420FC1</v>
      </c>
      <c r="C543" s="8" t="str">
        <f>'Components Data Source'!C543</f>
        <v>midi.fcpx</v>
      </c>
      <c r="D543" s="8" t="str">
        <f>'Components Data Source'!D543</f>
        <v>Components\IO_Source\MIDI.fcfx</v>
      </c>
      <c r="E543" s="8" t="str">
        <f>'Components Data Source'!E543</f>
        <v>COMMSA</v>
      </c>
      <c r="F543" s="8" t="str">
        <f>'Components Data Source'!F543</f>
        <v>COMMS: SYSTEM</v>
      </c>
      <c r="G543" s="8">
        <f>'Components Data Source'!G543</f>
        <v>0</v>
      </c>
      <c r="H543" s="8">
        <f>'Components Data Source'!H543</f>
        <v>0</v>
      </c>
      <c r="I543" s="8" t="str">
        <f>'Components Data Source'!I543</f>
        <v xml:space="preserve">UART </v>
      </c>
      <c r="J543" s="8">
        <f>'Components Data Source'!J543</f>
        <v>1</v>
      </c>
      <c r="K543" s="8">
        <f>'Components Data Source'!K543</f>
        <v>1</v>
      </c>
      <c r="L543" s="8">
        <f>'Components Data Source'!L543</f>
        <v>0</v>
      </c>
      <c r="M543" s="8" t="s">
        <v>1727</v>
      </c>
      <c r="N543" s="17" t="str">
        <f>HYPERLINK('Components Data Source'!M543)</f>
        <v>https://www.flowcode.co.uk/wiki/index.php?title=Component:_ID_a9b43242_9ccc_4f1c_b2d1_acdfbe420fc1</v>
      </c>
      <c r="O543" s="8" t="s">
        <v>1721</v>
      </c>
      <c r="P543" s="8"/>
      <c r="Q543" s="8" t="str">
        <f t="shared" si="18"/>
        <v/>
      </c>
      <c r="R543" s="1" t="s">
        <v>1721</v>
      </c>
      <c r="S543" s="1" t="s">
        <v>1721</v>
      </c>
      <c r="T543" s="1" t="s">
        <v>1721</v>
      </c>
      <c r="U543" s="1" t="s">
        <v>1721</v>
      </c>
      <c r="V543" s="1" t="s">
        <v>1731</v>
      </c>
      <c r="W543" s="1" t="s">
        <v>1183</v>
      </c>
      <c r="X543" s="1" t="s">
        <v>1721</v>
      </c>
      <c r="Y543" s="8" t="s">
        <v>1721</v>
      </c>
      <c r="Z543" s="18">
        <f t="shared" si="17"/>
        <v>1</v>
      </c>
      <c r="AA543" s="8"/>
      <c r="AB543" s="7"/>
      <c r="AC543" s="7"/>
      <c r="AD543" s="8" t="s">
        <v>1721</v>
      </c>
      <c r="AE543" s="8" t="s">
        <v>1721</v>
      </c>
      <c r="AF543" s="8" t="s">
        <v>1727</v>
      </c>
      <c r="AG543" s="8"/>
      <c r="AH543" s="47"/>
      <c r="AI543" s="47">
        <f>VLOOKUP(B543,'Components Usage'!A$2:C$603,3,FALSE)</f>
        <v>3</v>
      </c>
      <c r="AJ543" s="28" t="s">
        <v>2401</v>
      </c>
    </row>
    <row r="544" spans="1:36" x14ac:dyDescent="0.2">
      <c r="A544" s="16" t="str">
        <f>'Components Data Source'!A544</f>
        <v>Motion Helper</v>
      </c>
      <c r="B544" s="8" t="str">
        <f>'Components Data Source'!B544</f>
        <v>DDC97F5D-2B6C-4E5A-BE40-C5C91123B8CC</v>
      </c>
      <c r="C544" s="8" t="str">
        <f>'Components Data Source'!C544</f>
        <v>motion_helper.fcpx</v>
      </c>
      <c r="D544" s="8" t="str">
        <f>'Components Data Source'!D544</f>
        <v>Components\IO_Source\mechatronics\Motion Helper.fcfx</v>
      </c>
      <c r="E544" s="8" t="str">
        <f>'Components Data Source'!E544</f>
        <v>FREE</v>
      </c>
      <c r="F544" s="8" t="str">
        <f>'Components Data Source'!F544</f>
        <v>MISC</v>
      </c>
      <c r="G544" s="8">
        <f>'Components Data Source'!G544</f>
        <v>0</v>
      </c>
      <c r="H544" s="8">
        <f>'Components Data Source'!H544</f>
        <v>0</v>
      </c>
      <c r="I544" s="8">
        <f>'Components Data Source'!I544</f>
        <v>0</v>
      </c>
      <c r="J544" s="8">
        <f>'Components Data Source'!J544</f>
        <v>1</v>
      </c>
      <c r="K544" s="8">
        <f>'Components Data Source'!K544</f>
        <v>1</v>
      </c>
      <c r="L544" s="8">
        <f>'Components Data Source'!L544</f>
        <v>1</v>
      </c>
      <c r="M544" s="8" t="s">
        <v>1727</v>
      </c>
      <c r="N544" s="17" t="str">
        <f>HYPERLINK('Components Data Source'!M544)</f>
        <v>https://www.flowcode.co.uk/wiki/index.php?title=Component:_ID_ddc97f5d_2b6c_4e5a_be40_c5c91123b8cc</v>
      </c>
      <c r="O544" s="8" t="s">
        <v>1721</v>
      </c>
      <c r="P544" s="45" t="s">
        <v>3552</v>
      </c>
      <c r="Q544" s="8" t="str">
        <f t="shared" si="18"/>
        <v/>
      </c>
      <c r="R544" s="8" t="s">
        <v>1721</v>
      </c>
      <c r="S544" s="8" t="s">
        <v>1721</v>
      </c>
      <c r="T544" s="8" t="s">
        <v>1727</v>
      </c>
      <c r="U544" s="8" t="s">
        <v>2568</v>
      </c>
      <c r="V544" s="8" t="s">
        <v>1731</v>
      </c>
      <c r="W544" s="8" t="s">
        <v>1731</v>
      </c>
      <c r="X544" s="8" t="s">
        <v>1721</v>
      </c>
      <c r="Y544" s="8" t="s">
        <v>1721</v>
      </c>
      <c r="Z544" s="18">
        <f t="shared" si="17"/>
        <v>1</v>
      </c>
      <c r="AA544" s="8"/>
      <c r="AB544" s="7"/>
      <c r="AC544" s="7"/>
      <c r="AD544" s="8" t="s">
        <v>1721</v>
      </c>
      <c r="AE544" s="8" t="s">
        <v>1721</v>
      </c>
      <c r="AF544" s="8" t="s">
        <v>2401</v>
      </c>
      <c r="AG544" s="8"/>
      <c r="AH544" s="47"/>
      <c r="AI544" s="47">
        <f>VLOOKUP(B544,'Components Usage'!A$2:C$603,3,FALSE)</f>
        <v>0</v>
      </c>
      <c r="AJ544" s="28" t="s">
        <v>2401</v>
      </c>
    </row>
    <row r="545" spans="1:36" hidden="1" x14ac:dyDescent="0.25">
      <c r="A545" s="16" t="str">
        <f>'Components Data Source'!A545</f>
        <v>Motor Template</v>
      </c>
      <c r="B545" s="8" t="str">
        <f>'Components Data Source'!B545</f>
        <v>952471C7-11CA-430B-AB72-4FDA8B195F83</v>
      </c>
      <c r="C545" s="8" t="str">
        <f>'Components Data Source'!C545</f>
        <v>motor_base.fcpx</v>
      </c>
      <c r="D545" s="8" t="str">
        <f>'Components Data Source'!D545</f>
        <v>Components\IO_Source\mechatronics\motor_base.fcfx</v>
      </c>
      <c r="E545" s="8" t="str">
        <f>'Components Data Source'!E545</f>
        <v>MECHATRONICS</v>
      </c>
      <c r="F545" s="8" t="str">
        <f>'Components Data Source'!F545</f>
        <v>MECHATRONICS</v>
      </c>
      <c r="G545" s="8">
        <f>'Components Data Source'!G545</f>
        <v>0</v>
      </c>
      <c r="H545" s="8">
        <f>'Components Data Source'!H545</f>
        <v>0</v>
      </c>
      <c r="I545" s="8">
        <f>'Components Data Source'!I545</f>
        <v>0</v>
      </c>
      <c r="J545" s="8">
        <f>'Components Data Source'!J545</f>
        <v>1</v>
      </c>
      <c r="K545" s="8">
        <f>'Components Data Source'!K545</f>
        <v>1</v>
      </c>
      <c r="L545" s="8">
        <f>'Components Data Source'!L545</f>
        <v>0</v>
      </c>
      <c r="M545" s="8" t="s">
        <v>1727</v>
      </c>
      <c r="N545" s="17" t="str">
        <f>HYPERLINK('Components Data Source'!M545)</f>
        <v>https://www.flowcode.co.uk/wiki/index.php?title=Component:_ID_952471c7_11ca_430b_ab72_4fda8b195f83</v>
      </c>
      <c r="O545" s="8" t="s">
        <v>1721</v>
      </c>
      <c r="P545" s="8"/>
      <c r="Q545" s="8" t="str">
        <f t="shared" si="18"/>
        <v/>
      </c>
      <c r="R545" s="8" t="s">
        <v>2520</v>
      </c>
      <c r="S545" s="8"/>
      <c r="T545" s="8"/>
      <c r="U545" s="8"/>
      <c r="V545" s="8" t="s">
        <v>1730</v>
      </c>
      <c r="W545" s="8" t="s">
        <v>1730</v>
      </c>
      <c r="X545" s="8"/>
      <c r="Y545" s="8"/>
      <c r="Z545" s="18">
        <f t="shared" si="17"/>
        <v>0</v>
      </c>
      <c r="AA545" s="8"/>
      <c r="AB545" s="7"/>
      <c r="AC545" s="7"/>
      <c r="AD545" s="8" t="s">
        <v>1721</v>
      </c>
      <c r="AE545" s="8" t="s">
        <v>1721</v>
      </c>
      <c r="AF545" s="8" t="s">
        <v>2401</v>
      </c>
      <c r="AG545" s="8"/>
      <c r="AH545" s="47"/>
      <c r="AI545" s="47">
        <f>VLOOKUP(B545,'Components Usage'!A$2:C$603,3,FALSE)</f>
        <v>0</v>
      </c>
      <c r="AJ545" s="28" t="s">
        <v>2401</v>
      </c>
    </row>
    <row r="546" spans="1:36" hidden="1" x14ac:dyDescent="0.25">
      <c r="A546" s="16" t="str">
        <f>'Components Data Source'!A546</f>
        <v>DC Motor</v>
      </c>
      <c r="B546" s="8" t="str">
        <f>'Components Data Source'!B546</f>
        <v>3BECC5A1-4034-45CA-B84F-D995C6CACDB2</v>
      </c>
      <c r="C546" s="8" t="str">
        <f>'Components Data Source'!C546</f>
        <v>motor_reversible.fcpx</v>
      </c>
      <c r="D546" s="8" t="str">
        <f>'Components Data Source'!D546</f>
        <v>Components\IO_Source\mechatronics\Motor_with_reverse.fcfx</v>
      </c>
      <c r="E546" s="8" t="str">
        <f>'Components Data Source'!E546</f>
        <v>MECHATRONICS</v>
      </c>
      <c r="F546" s="8">
        <f>'Components Data Source'!F546</f>
        <v>0</v>
      </c>
      <c r="G546" s="8">
        <f>'Components Data Source'!G546</f>
        <v>0</v>
      </c>
      <c r="H546" s="8">
        <f>'Components Data Source'!H546</f>
        <v>0</v>
      </c>
      <c r="I546" s="8" t="str">
        <f>'Components Data Source'!I546</f>
        <v xml:space="preserve">PWM </v>
      </c>
      <c r="J546" s="8">
        <f>'Components Data Source'!J546</f>
        <v>1</v>
      </c>
      <c r="K546" s="8">
        <f>'Components Data Source'!K546</f>
        <v>1</v>
      </c>
      <c r="L546" s="8">
        <f>'Components Data Source'!L546</f>
        <v>0</v>
      </c>
      <c r="M546" s="8" t="s">
        <v>1727</v>
      </c>
      <c r="N546" s="17" t="str">
        <f>HYPERLINK('Components Data Source'!M546)</f>
        <v>https://www.flowcode.co.uk/wiki/index.php?title=Component:_ID_3becc5a1_4034_45ca_b84f_d995c6cacdb2</v>
      </c>
      <c r="O546" s="8" t="s">
        <v>1721</v>
      </c>
      <c r="P546" s="8"/>
      <c r="Q546" s="8" t="str">
        <f t="shared" si="18"/>
        <v/>
      </c>
      <c r="R546" s="8" t="s">
        <v>1727</v>
      </c>
      <c r="S546" s="8" t="s">
        <v>1727</v>
      </c>
      <c r="T546" s="8"/>
      <c r="U546" s="8"/>
      <c r="V546" s="8" t="s">
        <v>1730</v>
      </c>
      <c r="W546" s="8" t="s">
        <v>1730</v>
      </c>
      <c r="X546" s="8"/>
      <c r="Y546" s="8"/>
      <c r="Z546" s="18">
        <f t="shared" si="17"/>
        <v>2</v>
      </c>
      <c r="AA546" s="8"/>
      <c r="AB546" s="7"/>
      <c r="AC546" s="7"/>
      <c r="AD546" s="8" t="s">
        <v>1721</v>
      </c>
      <c r="AE546" s="8" t="s">
        <v>1721</v>
      </c>
      <c r="AF546" s="8" t="s">
        <v>1727</v>
      </c>
      <c r="AG546" s="8" t="s">
        <v>1721</v>
      </c>
      <c r="AH546" s="47"/>
      <c r="AI546" s="47">
        <f>VLOOKUP(B546,'Components Usage'!A$2:C$603,3,FALSE)</f>
        <v>127</v>
      </c>
      <c r="AJ546" s="28" t="s">
        <v>2401</v>
      </c>
    </row>
    <row r="547" spans="1:36" hidden="1" x14ac:dyDescent="0.25">
      <c r="A547" s="16" t="str">
        <f>'Components Data Source'!A547</f>
        <v>DC Motor (Half Bridge)</v>
      </c>
      <c r="B547" s="8" t="str">
        <f>'Components Data Source'!B547</f>
        <v>4EDCB163-5216-44C4-99D9-D6B24869F341</v>
      </c>
      <c r="C547" s="8" t="str">
        <f>'Components Data Source'!C547</f>
        <v>motor_simple.fcpx</v>
      </c>
      <c r="D547" s="8" t="str">
        <f>'Components Data Source'!D547</f>
        <v>Components\IO_Source\mechatronics\Motor_simple.fcfx</v>
      </c>
      <c r="E547" s="8" t="str">
        <f>'Components Data Source'!E547</f>
        <v>MECHATRONICS</v>
      </c>
      <c r="F547" s="8">
        <f>'Components Data Source'!F547</f>
        <v>0</v>
      </c>
      <c r="G547" s="8">
        <f>'Components Data Source'!G547</f>
        <v>0</v>
      </c>
      <c r="H547" s="8">
        <f>'Components Data Source'!H547</f>
        <v>0</v>
      </c>
      <c r="I547" s="8">
        <f>'Components Data Source'!I547</f>
        <v>0</v>
      </c>
      <c r="J547" s="8">
        <f>'Components Data Source'!J547</f>
        <v>1</v>
      </c>
      <c r="K547" s="8">
        <f>'Components Data Source'!K547</f>
        <v>1</v>
      </c>
      <c r="L547" s="8">
        <f>'Components Data Source'!L547</f>
        <v>0</v>
      </c>
      <c r="M547" s="8" t="s">
        <v>1727</v>
      </c>
      <c r="N547" s="17" t="str">
        <f>HYPERLINK('Components Data Source'!M547)</f>
        <v>https://www.flowcode.co.uk/wiki/index.php?title=Component:_ID_4edcb163_5216_44c4_99d9_d6b24869f341</v>
      </c>
      <c r="O547" s="8" t="s">
        <v>1721</v>
      </c>
      <c r="P547" s="8"/>
      <c r="Q547" s="8" t="str">
        <f t="shared" si="18"/>
        <v/>
      </c>
      <c r="R547" s="8" t="s">
        <v>1727</v>
      </c>
      <c r="S547" s="8" t="s">
        <v>1727</v>
      </c>
      <c r="T547" s="8"/>
      <c r="U547" s="8"/>
      <c r="V547" s="8" t="s">
        <v>1730</v>
      </c>
      <c r="W547" s="8" t="s">
        <v>1730</v>
      </c>
      <c r="X547" s="8"/>
      <c r="Y547" s="8"/>
      <c r="Z547" s="18">
        <f t="shared" si="17"/>
        <v>2</v>
      </c>
      <c r="AA547" s="8"/>
      <c r="AB547" s="7"/>
      <c r="AC547" s="7"/>
      <c r="AD547" s="8" t="s">
        <v>1721</v>
      </c>
      <c r="AE547" s="8" t="s">
        <v>1721</v>
      </c>
      <c r="AF547" s="8" t="s">
        <v>1727</v>
      </c>
      <c r="AG547" s="8"/>
      <c r="AH547" s="47"/>
      <c r="AI547" s="47">
        <f>VLOOKUP(B547,'Components Usage'!A$2:C$603,3,FALSE)</f>
        <v>3</v>
      </c>
      <c r="AJ547" s="28" t="s">
        <v>2401</v>
      </c>
    </row>
    <row r="548" spans="1:36" hidden="1" x14ac:dyDescent="0.25">
      <c r="A548" s="16" t="str">
        <f>'Components Data Source'!A548</f>
        <v>RF 2.4GHz(nRF24L01)</v>
      </c>
      <c r="B548" s="8" t="str">
        <f>'Components Data Source'!B548</f>
        <v>882B6951-9944-48CC-8989-6EBD3D91956F</v>
      </c>
      <c r="C548" s="8" t="str">
        <f>'Components Data Source'!C548</f>
        <v>nRF24L01.fcpx</v>
      </c>
      <c r="D548" s="8" t="str">
        <f>'Components Data Source'!D548</f>
        <v>Components\IO_Source\nRF24L01.fcfx</v>
      </c>
      <c r="E548" s="8" t="str">
        <f>'Components Data Source'!E548</f>
        <v>COMMSB</v>
      </c>
      <c r="F548" s="8" t="str">
        <f>'Components Data Source'!F548</f>
        <v>WIRELESS</v>
      </c>
      <c r="G548" s="8">
        <f>'Components Data Source'!G548</f>
        <v>0</v>
      </c>
      <c r="H548" s="8">
        <f>'Components Data Source'!H548</f>
        <v>0</v>
      </c>
      <c r="I548" s="8" t="str">
        <f>'Components Data Source'!I548</f>
        <v xml:space="preserve">SPI </v>
      </c>
      <c r="J548" s="8">
        <f>'Components Data Source'!J548</f>
        <v>1</v>
      </c>
      <c r="K548" s="8">
        <f>'Components Data Source'!K548</f>
        <v>1</v>
      </c>
      <c r="L548" s="8">
        <f>'Components Data Source'!L548</f>
        <v>0</v>
      </c>
      <c r="M548" s="8" t="s">
        <v>1727</v>
      </c>
      <c r="N548" s="17" t="str">
        <f>HYPERLINK('Components Data Source'!M548)</f>
        <v>https://www.flowcode.co.uk/wiki/index.php?title=Component:_ID_882b6951_9944_48cc_8989_6ebd3d91956f</v>
      </c>
      <c r="O548" s="8" t="s">
        <v>1721</v>
      </c>
      <c r="P548" s="8"/>
      <c r="Q548" s="8" t="str">
        <f t="shared" si="18"/>
        <v/>
      </c>
      <c r="R548" s="1" t="s">
        <v>1721</v>
      </c>
      <c r="S548" s="1" t="s">
        <v>1721</v>
      </c>
      <c r="T548" s="1" t="s">
        <v>1721</v>
      </c>
      <c r="U548" s="1" t="s">
        <v>1721</v>
      </c>
      <c r="V548" s="1" t="s">
        <v>1731</v>
      </c>
      <c r="W548" s="1" t="s">
        <v>1180</v>
      </c>
      <c r="X548" s="1" t="s">
        <v>1721</v>
      </c>
      <c r="Y548" s="8" t="s">
        <v>1721</v>
      </c>
      <c r="Z548" s="18">
        <f t="shared" si="17"/>
        <v>1</v>
      </c>
      <c r="AA548" s="8"/>
      <c r="AB548" s="7"/>
      <c r="AC548" s="7"/>
      <c r="AD548" s="8" t="s">
        <v>1721</v>
      </c>
      <c r="AE548" s="8" t="s">
        <v>1727</v>
      </c>
      <c r="AF548" s="8" t="s">
        <v>1727</v>
      </c>
      <c r="AG548" s="8"/>
      <c r="AH548" s="47"/>
      <c r="AI548" s="47">
        <f>VLOOKUP(B548,'Components Usage'!A$2:C$603,3,FALSE)</f>
        <v>22</v>
      </c>
      <c r="AJ548" s="28" t="s">
        <v>2401</v>
      </c>
    </row>
    <row r="549" spans="1:36" hidden="1" x14ac:dyDescent="0.25">
      <c r="A549" s="16" t="str">
        <f>'Components Data Source'!A549</f>
        <v>Switch (Push PCB)</v>
      </c>
      <c r="B549" s="8" t="str">
        <f>'Components Data Source'!B549</f>
        <v>FC04A65F-F03D-40C8-9F69-0D23D2DAAC29</v>
      </c>
      <c r="C549" s="8" t="str">
        <f>'Components Data Source'!C549</f>
        <v>pcb_switch.fcpx</v>
      </c>
      <c r="D549" s="8" t="str">
        <f>'Components Data Source'!D549</f>
        <v>Components\IO_Source\switch\sw_push_pcb.fcfx</v>
      </c>
      <c r="E549" s="8" t="str">
        <f>'Components Data Source'!E549</f>
        <v>BASICIO</v>
      </c>
      <c r="F549" s="8">
        <f>'Components Data Source'!F549</f>
        <v>0</v>
      </c>
      <c r="G549" s="8">
        <f>'Components Data Source'!G549</f>
        <v>0</v>
      </c>
      <c r="H549" s="8">
        <f>'Components Data Source'!H549</f>
        <v>0</v>
      </c>
      <c r="I549" s="8">
        <f>'Components Data Source'!I549</f>
        <v>0</v>
      </c>
      <c r="J549" s="8">
        <f>'Components Data Source'!J549</f>
        <v>1</v>
      </c>
      <c r="K549" s="8">
        <f>'Components Data Source'!K549</f>
        <v>0</v>
      </c>
      <c r="L549" s="8">
        <f>'Components Data Source'!L549</f>
        <v>0</v>
      </c>
      <c r="M549" s="8" t="s">
        <v>1727</v>
      </c>
      <c r="N549" s="17" t="str">
        <f>HYPERLINK('Components Data Source'!M549)</f>
        <v>https://www.flowcode.co.uk/wiki/index.php?title=Component:_ID_fc04a65f_f03d_40c8_9f69_0d23d2daac29</v>
      </c>
      <c r="O549" s="8" t="s">
        <v>1721</v>
      </c>
      <c r="P549" s="8"/>
      <c r="Q549" s="8" t="str">
        <f t="shared" si="18"/>
        <v/>
      </c>
      <c r="R549" s="8" t="s">
        <v>1727</v>
      </c>
      <c r="S549" s="8" t="s">
        <v>1727</v>
      </c>
      <c r="T549" s="8"/>
      <c r="U549" s="8"/>
      <c r="V549" s="8" t="s">
        <v>1730</v>
      </c>
      <c r="W549" s="8" t="s">
        <v>1730</v>
      </c>
      <c r="X549" s="8"/>
      <c r="Y549" s="8"/>
      <c r="Z549" s="18">
        <f t="shared" si="17"/>
        <v>2</v>
      </c>
      <c r="AA549" s="8"/>
      <c r="AB549" s="7"/>
      <c r="AC549" s="7"/>
      <c r="AD549" s="8" t="s">
        <v>1721</v>
      </c>
      <c r="AE549" s="8" t="s">
        <v>1727</v>
      </c>
      <c r="AF549" s="8" t="s">
        <v>1721</v>
      </c>
      <c r="AG549" s="8" t="s">
        <v>1721</v>
      </c>
      <c r="AH549" s="47" t="s">
        <v>3648</v>
      </c>
      <c r="AI549" s="47">
        <f>VLOOKUP(B549,'Components Usage'!A$2:C$603,3,FALSE)</f>
        <v>68</v>
      </c>
      <c r="AJ549" s="28" t="s">
        <v>1721</v>
      </c>
    </row>
    <row r="550" spans="1:36" hidden="1" x14ac:dyDescent="0.25">
      <c r="A550" s="16" t="str">
        <f>'Components Data Source'!A550</f>
        <v>Proximity Switch Template</v>
      </c>
      <c r="B550" s="8" t="str">
        <f>'Components Data Source'!B550</f>
        <v>92B44587-A7A8-444F-ABE6-93E5D1669BC6</v>
      </c>
      <c r="C550" s="8" t="str">
        <f>'Components Data Source'!C550</f>
        <v>proximity_base.fcpx</v>
      </c>
      <c r="D550" s="8" t="str">
        <f>'Components Data Source'!D550</f>
        <v>Components\IO_Source\Sensors\Proximity_base.fcfx</v>
      </c>
      <c r="E550" s="8" t="str">
        <f>'Components Data Source'!E550</f>
        <v>SENSORS</v>
      </c>
      <c r="F550" s="8" t="str">
        <f>'Components Data Source'!F550</f>
        <v>SENSORS</v>
      </c>
      <c r="G550" s="8">
        <f>'Components Data Source'!G550</f>
        <v>0</v>
      </c>
      <c r="H550" s="8">
        <f>'Components Data Source'!H550</f>
        <v>0</v>
      </c>
      <c r="I550" s="8">
        <f>'Components Data Source'!I550</f>
        <v>0</v>
      </c>
      <c r="J550" s="8">
        <f>'Components Data Source'!J550</f>
        <v>1</v>
      </c>
      <c r="K550" s="8">
        <f>'Components Data Source'!K550</f>
        <v>0</v>
      </c>
      <c r="L550" s="8">
        <f>'Components Data Source'!L550</f>
        <v>0</v>
      </c>
      <c r="M550" s="8" t="s">
        <v>1727</v>
      </c>
      <c r="N550" s="17" t="str">
        <f>HYPERLINK('Components Data Source'!M550)</f>
        <v>https://www.flowcode.co.uk/wiki/index.php?title=Component:_ID_92b44587_a7a8_444f_abe6_93e5d1669bc6</v>
      </c>
      <c r="O550" s="8" t="s">
        <v>1721</v>
      </c>
      <c r="P550" s="8" t="s">
        <v>2776</v>
      </c>
      <c r="Q550" s="8" t="str">
        <f t="shared" si="18"/>
        <v/>
      </c>
      <c r="R550" s="8" t="s">
        <v>1727</v>
      </c>
      <c r="S550" s="8" t="s">
        <v>2483</v>
      </c>
      <c r="T550" s="8"/>
      <c r="U550" s="8"/>
      <c r="V550" s="8" t="s">
        <v>1730</v>
      </c>
      <c r="W550" s="8" t="s">
        <v>1730</v>
      </c>
      <c r="X550" s="8"/>
      <c r="Y550" s="8"/>
      <c r="Z550" s="18">
        <f t="shared" si="17"/>
        <v>2</v>
      </c>
      <c r="AA550" s="8"/>
      <c r="AB550" s="7"/>
      <c r="AC550" s="7"/>
      <c r="AD550" s="8" t="s">
        <v>1721</v>
      </c>
      <c r="AE550" s="8" t="s">
        <v>1721</v>
      </c>
      <c r="AF550" s="8" t="s">
        <v>2401</v>
      </c>
      <c r="AG550" s="8"/>
      <c r="AH550" s="47"/>
      <c r="AI550" s="47">
        <f>VLOOKUP(B550,'Components Usage'!A$2:C$603,3,FALSE)</f>
        <v>2</v>
      </c>
      <c r="AJ550" s="28" t="s">
        <v>2401</v>
      </c>
    </row>
    <row r="551" spans="1:36" hidden="1" x14ac:dyDescent="0.25">
      <c r="A551" s="16" t="str">
        <f>'Components Data Source'!A551</f>
        <v>Quadrature Encoder</v>
      </c>
      <c r="B551" s="8" t="str">
        <f>'Components Data Source'!B551</f>
        <v>3531A68D-7686-44B7-A3A5-67AFDA8467DC</v>
      </c>
      <c r="C551" s="8" t="str">
        <f>'Components Data Source'!C551</f>
        <v>quadenc.fcpx</v>
      </c>
      <c r="D551" s="8" t="str">
        <f>'Components Data Source'!D551</f>
        <v>Components\IO_Source\mechatronics\Quadrature Encoder.fcfx</v>
      </c>
      <c r="E551" s="8" t="str">
        <f>'Components Data Source'!E551</f>
        <v>MECHATRONICS</v>
      </c>
      <c r="F551" s="8" t="str">
        <f>'Components Data Source'!F551</f>
        <v>GENERAL INPUT</v>
      </c>
      <c r="G551" s="8">
        <f>'Components Data Source'!G551</f>
        <v>0</v>
      </c>
      <c r="H551" s="8">
        <f>'Components Data Source'!H551</f>
        <v>0</v>
      </c>
      <c r="I551" s="8">
        <f>'Components Data Source'!I551</f>
        <v>0</v>
      </c>
      <c r="J551" s="8">
        <f>'Components Data Source'!J551</f>
        <v>1</v>
      </c>
      <c r="K551" s="8">
        <f>'Components Data Source'!K551</f>
        <v>1</v>
      </c>
      <c r="L551" s="8">
        <f>'Components Data Source'!L551</f>
        <v>0</v>
      </c>
      <c r="M551" s="8" t="s">
        <v>1727</v>
      </c>
      <c r="N551" s="17" t="str">
        <f>HYPERLINK('Components Data Source'!M551)</f>
        <v>https://www.flowcode.co.uk/wiki/index.php?title=Component:_ID_3531a68d_7686_44b7_a3a5_67afda8467dc</v>
      </c>
      <c r="O551" s="8" t="s">
        <v>1721</v>
      </c>
      <c r="P551" s="40"/>
      <c r="Q551" s="8" t="str">
        <f t="shared" si="18"/>
        <v/>
      </c>
      <c r="R551" s="8" t="s">
        <v>1727</v>
      </c>
      <c r="S551" s="8" t="s">
        <v>1727</v>
      </c>
      <c r="T551" s="8"/>
      <c r="U551" s="8"/>
      <c r="V551" s="8" t="s">
        <v>1730</v>
      </c>
      <c r="W551" s="8" t="s">
        <v>1730</v>
      </c>
      <c r="X551" s="8"/>
      <c r="Y551" s="8"/>
      <c r="Z551" s="18">
        <f t="shared" si="17"/>
        <v>2</v>
      </c>
      <c r="AA551" s="8"/>
      <c r="AB551" s="7"/>
      <c r="AC551" s="7"/>
      <c r="AD551" s="8" t="s">
        <v>1721</v>
      </c>
      <c r="AE551" s="8" t="s">
        <v>1721</v>
      </c>
      <c r="AF551" s="8" t="s">
        <v>2401</v>
      </c>
      <c r="AG551" s="8"/>
      <c r="AH551" s="47"/>
      <c r="AI551" s="47">
        <f>VLOOKUP(B551,'Components Usage'!A$2:C$603,3,FALSE)</f>
        <v>38</v>
      </c>
      <c r="AJ551" s="28" t="s">
        <v>2401</v>
      </c>
    </row>
    <row r="552" spans="1:36" hidden="1" x14ac:dyDescent="0.25">
      <c r="A552" s="16" t="str">
        <f>'Components Data Source'!A552</f>
        <v>Reed Switch</v>
      </c>
      <c r="B552" s="8" t="str">
        <f>'Components Data Source'!B552</f>
        <v>1C8BC72F-4944-4456-AF99-9686C237D6B3</v>
      </c>
      <c r="C552" s="8" t="str">
        <f>'Components Data Source'!C552</f>
        <v>reed_switch.fcpx</v>
      </c>
      <c r="D552" s="8" t="str">
        <f>'Components Data Source'!D552</f>
        <v>Components\IO_Source\Sensors\Reed_Switch.fcfx</v>
      </c>
      <c r="E552" s="8" t="str">
        <f>'Components Data Source'!E552</f>
        <v>SENSORS</v>
      </c>
      <c r="F552" s="8" t="str">
        <f>'Components Data Source'!F552</f>
        <v>MAGNETIC</v>
      </c>
      <c r="G552" s="8">
        <f>'Components Data Source'!G552</f>
        <v>0</v>
      </c>
      <c r="H552" s="8">
        <f>'Components Data Source'!H552</f>
        <v>0</v>
      </c>
      <c r="I552" s="8">
        <f>'Components Data Source'!I552</f>
        <v>0</v>
      </c>
      <c r="J552" s="8">
        <f>'Components Data Source'!J552</f>
        <v>1</v>
      </c>
      <c r="K552" s="8">
        <f>'Components Data Source'!K552</f>
        <v>1</v>
      </c>
      <c r="L552" s="8">
        <f>'Components Data Source'!L552</f>
        <v>0</v>
      </c>
      <c r="M552" s="8" t="s">
        <v>1727</v>
      </c>
      <c r="N552" s="17" t="str">
        <f>HYPERLINK('Components Data Source'!M552)</f>
        <v>https://www.flowcode.co.uk/wiki/index.php?title=Component:_ID_1c8bc72f_4944_4456_af99_9686c237d6b3</v>
      </c>
      <c r="O552" s="8" t="s">
        <v>1721</v>
      </c>
      <c r="P552" s="8"/>
      <c r="Q552" s="8" t="str">
        <f t="shared" si="18"/>
        <v/>
      </c>
      <c r="R552" s="8" t="s">
        <v>2520</v>
      </c>
      <c r="S552" s="8"/>
      <c r="T552" s="8"/>
      <c r="U552" s="8"/>
      <c r="V552" s="8" t="s">
        <v>1730</v>
      </c>
      <c r="W552" s="8" t="s">
        <v>1730</v>
      </c>
      <c r="X552" s="8"/>
      <c r="Y552" s="8"/>
      <c r="Z552" s="18">
        <f t="shared" si="17"/>
        <v>0</v>
      </c>
      <c r="AA552" s="8"/>
      <c r="AB552" s="7"/>
      <c r="AC552" s="7"/>
      <c r="AD552" s="8" t="s">
        <v>1721</v>
      </c>
      <c r="AE552" s="8" t="s">
        <v>2401</v>
      </c>
      <c r="AF552" s="8" t="s">
        <v>2401</v>
      </c>
      <c r="AG552" s="8"/>
      <c r="AH552" s="47"/>
      <c r="AI552" s="47">
        <f>VLOOKUP(B552,'Components Usage'!A$2:C$603,3,FALSE)</f>
        <v>2</v>
      </c>
      <c r="AJ552" s="28" t="s">
        <v>2401</v>
      </c>
    </row>
    <row r="553" spans="1:36" hidden="1" x14ac:dyDescent="0.25">
      <c r="A553" s="16" t="str">
        <f>'Components Data Source'!A553</f>
        <v>LED (Generic RGB)</v>
      </c>
      <c r="B553" s="8" t="str">
        <f>'Components Data Source'!B553</f>
        <v>1FB787A5-54FB-4847-9299-3ADBF9927B59</v>
      </c>
      <c r="C553" s="8" t="str">
        <f>'Components Data Source'!C553</f>
        <v>rgb_led.fcpx</v>
      </c>
      <c r="D553" s="8" t="str">
        <f>'Components Data Source'!D553</f>
        <v>Components\IO_Source\outputs\RGB_LED.fcfx</v>
      </c>
      <c r="E553" s="8" t="str">
        <f>'Components Data Source'!E553</f>
        <v>BASICIO</v>
      </c>
      <c r="F553" s="8" t="str">
        <f>'Components Data Source'!F553</f>
        <v>LED</v>
      </c>
      <c r="G553" s="8">
        <f>'Components Data Source'!G553</f>
        <v>0</v>
      </c>
      <c r="H553" s="8">
        <f>'Components Data Source'!H553</f>
        <v>0</v>
      </c>
      <c r="I553" s="8">
        <f>'Components Data Source'!I553</f>
        <v>0</v>
      </c>
      <c r="J553" s="8">
        <f>'Components Data Source'!J553</f>
        <v>1</v>
      </c>
      <c r="K553" s="8">
        <f>'Components Data Source'!K553</f>
        <v>1</v>
      </c>
      <c r="L553" s="8">
        <f>'Components Data Source'!L553</f>
        <v>0</v>
      </c>
      <c r="M553" s="8" t="s">
        <v>1727</v>
      </c>
      <c r="N553" s="17" t="str">
        <f>HYPERLINK('Components Data Source'!M553)</f>
        <v>https://www.flowcode.co.uk/wiki/index.php?title=Component:_ID_1fb787a5_54fb_4847_9299_3adbf9927b59</v>
      </c>
      <c r="O553" s="8" t="s">
        <v>1721</v>
      </c>
      <c r="P553" s="8"/>
      <c r="Q553" s="8" t="str">
        <f t="shared" si="18"/>
        <v/>
      </c>
      <c r="R553" s="8" t="s">
        <v>1727</v>
      </c>
      <c r="S553" s="8" t="s">
        <v>1727</v>
      </c>
      <c r="T553" s="8"/>
      <c r="U553" s="8"/>
      <c r="V553" s="8" t="s">
        <v>1730</v>
      </c>
      <c r="W553" s="8" t="s">
        <v>1730</v>
      </c>
      <c r="X553" s="8"/>
      <c r="Y553" s="8"/>
      <c r="Z553" s="18">
        <f t="shared" si="17"/>
        <v>2</v>
      </c>
      <c r="AA553" s="8"/>
      <c r="AB553" s="7"/>
      <c r="AC553" s="7"/>
      <c r="AD553" s="8" t="s">
        <v>1721</v>
      </c>
      <c r="AE553" s="8" t="s">
        <v>1721</v>
      </c>
      <c r="AF553" s="8" t="s">
        <v>1721</v>
      </c>
      <c r="AG553" s="8"/>
      <c r="AH553" s="47"/>
      <c r="AI553" s="47">
        <f>VLOOKUP(B553,'Components Usage'!A$2:C$603,3,FALSE)</f>
        <v>8</v>
      </c>
      <c r="AJ553" s="28" t="s">
        <v>2401</v>
      </c>
    </row>
    <row r="554" spans="1:36" hidden="1" x14ac:dyDescent="0.25">
      <c r="A554" s="16" t="str">
        <f>'Components Data Source'!A554</f>
        <v>Real Time Clock (MCP7940N)</v>
      </c>
      <c r="B554" s="8" t="str">
        <f>'Components Data Source'!B554</f>
        <v>C48DFDEB-1177-4381-86DD-D7A98FEFEB7A</v>
      </c>
      <c r="C554" s="8" t="str">
        <f>'Components Data Source'!C554</f>
        <v>rtc_mcp7940n.fcpx</v>
      </c>
      <c r="D554" s="8" t="str">
        <f>'Components Data Source'!D554</f>
        <v>Components\IO_Source\RTC (MCP7940N).fcfx</v>
      </c>
      <c r="E554" s="8" t="str">
        <f>'Components Data Source'!E554</f>
        <v>STORAGE</v>
      </c>
      <c r="F554" s="8" t="str">
        <f>'Components Data Source'!F554</f>
        <v>STORAGE</v>
      </c>
      <c r="G554" s="8">
        <f>'Components Data Source'!G554</f>
        <v>0</v>
      </c>
      <c r="H554" s="8">
        <f>'Components Data Source'!H554</f>
        <v>0</v>
      </c>
      <c r="I554" s="8" t="str">
        <f>'Components Data Source'!I554</f>
        <v xml:space="preserve">I2C </v>
      </c>
      <c r="J554" s="8">
        <f>'Components Data Source'!J554</f>
        <v>1</v>
      </c>
      <c r="K554" s="8">
        <f>'Components Data Source'!K554</f>
        <v>1</v>
      </c>
      <c r="L554" s="8">
        <f>'Components Data Source'!L554</f>
        <v>0</v>
      </c>
      <c r="M554" s="8" t="s">
        <v>1727</v>
      </c>
      <c r="N554" s="17" t="str">
        <f>HYPERLINK('Components Data Source'!M554)</f>
        <v>https://www.flowcode.co.uk/wiki/index.php?title=Component:_ID_c48dfdeb_1177_4381_86dd_d7a98fefeb7a</v>
      </c>
      <c r="O554" s="8" t="s">
        <v>1721</v>
      </c>
      <c r="P554" s="8"/>
      <c r="Q554" s="8" t="str">
        <f t="shared" si="18"/>
        <v/>
      </c>
      <c r="R554" s="8" t="s">
        <v>1721</v>
      </c>
      <c r="S554" s="8" t="s">
        <v>1721</v>
      </c>
      <c r="T554" s="8" t="s">
        <v>1721</v>
      </c>
      <c r="U554" s="8" t="s">
        <v>1721</v>
      </c>
      <c r="V554" s="8" t="s">
        <v>1731</v>
      </c>
      <c r="W554" s="8" t="s">
        <v>1175</v>
      </c>
      <c r="X554" s="8" t="s">
        <v>1721</v>
      </c>
      <c r="Y554" s="8" t="s">
        <v>1721</v>
      </c>
      <c r="Z554" s="18">
        <f t="shared" si="17"/>
        <v>1</v>
      </c>
      <c r="AA554" s="8"/>
      <c r="AB554" s="7"/>
      <c r="AC554" s="7"/>
      <c r="AD554" s="8" t="s">
        <v>1721</v>
      </c>
      <c r="AE554" s="8" t="s">
        <v>1727</v>
      </c>
      <c r="AF554" s="8" t="s">
        <v>1727</v>
      </c>
      <c r="AG554" s="8"/>
      <c r="AH554" s="47"/>
      <c r="AI554" s="47">
        <f>VLOOKUP(B554,'Components Usage'!A$2:C$603,3,FALSE)</f>
        <v>6</v>
      </c>
      <c r="AJ554" s="28" t="s">
        <v>2401</v>
      </c>
    </row>
    <row r="555" spans="1:36" x14ac:dyDescent="0.2">
      <c r="A555" s="16" t="str">
        <f>'Components Data Source'!A555</f>
        <v>UART SCADA(CAL)</v>
      </c>
      <c r="B555" s="8" t="str">
        <f>'Components Data Source'!B555</f>
        <v>A7C1210D-3637-4A18-A6B3-9414EE73B179</v>
      </c>
      <c r="C555" s="8" t="str">
        <f>'Components Data Source'!C555</f>
        <v>scada_uart.fcpx</v>
      </c>
      <c r="D555" s="8" t="str">
        <f>'Components Data Source'!D555</f>
        <v>Components\CAL_Source\UART_SCADA.fcfx</v>
      </c>
      <c r="E555" s="8" t="str">
        <f>'Components Data Source'!E555</f>
        <v>FREE</v>
      </c>
      <c r="F555" s="8" t="str">
        <f>'Components Data Source'!F555</f>
        <v>MISC</v>
      </c>
      <c r="G555" s="8">
        <f>'Components Data Source'!G555</f>
        <v>0</v>
      </c>
      <c r="H555" s="8">
        <f>'Components Data Source'!H555</f>
        <v>0</v>
      </c>
      <c r="I555" s="8">
        <f>'Components Data Source'!I555</f>
        <v>0</v>
      </c>
      <c r="J555" s="8">
        <f>'Components Data Source'!J555</f>
        <v>1</v>
      </c>
      <c r="K555" s="8">
        <f>'Components Data Source'!K555</f>
        <v>1</v>
      </c>
      <c r="L555" s="8">
        <f>'Components Data Source'!L555</f>
        <v>1</v>
      </c>
      <c r="M555" s="8" t="s">
        <v>1727</v>
      </c>
      <c r="N555" s="17" t="str">
        <f>HYPERLINK('Components Data Source'!M555)</f>
        <v>https://www.flowcode.co.uk/wiki/index.php?title=Component:_ID_a7c1210d_3637_4a18_a6b3_9414ee73b179</v>
      </c>
      <c r="O555" s="8" t="s">
        <v>1721</v>
      </c>
      <c r="P555" s="45" t="s">
        <v>3552</v>
      </c>
      <c r="Q555" s="8" t="str">
        <f t="shared" si="18"/>
        <v/>
      </c>
      <c r="R555" s="8" t="s">
        <v>1721</v>
      </c>
      <c r="S555" s="8" t="s">
        <v>1721</v>
      </c>
      <c r="T555" s="8" t="s">
        <v>1727</v>
      </c>
      <c r="U555" s="8" t="s">
        <v>2568</v>
      </c>
      <c r="V555" s="8" t="s">
        <v>1731</v>
      </c>
      <c r="W555" s="8" t="s">
        <v>1731</v>
      </c>
      <c r="X555" s="8" t="s">
        <v>1721</v>
      </c>
      <c r="Y555" s="8" t="s">
        <v>1721</v>
      </c>
      <c r="Z555" s="18">
        <f t="shared" si="17"/>
        <v>1</v>
      </c>
      <c r="AA555" s="8"/>
      <c r="AB555" s="7"/>
      <c r="AC555" s="7"/>
      <c r="AD555" s="8" t="s">
        <v>1721</v>
      </c>
      <c r="AE555" s="8" t="s">
        <v>1727</v>
      </c>
      <c r="AF555" s="8" t="s">
        <v>2401</v>
      </c>
      <c r="AG555" s="8"/>
      <c r="AH555" s="47"/>
      <c r="AI555" s="47">
        <f>VLOOKUP(B555,'Components Usage'!A$2:C$603,3,FALSE)</f>
        <v>32</v>
      </c>
      <c r="AJ555" s="28" t="s">
        <v>2401</v>
      </c>
    </row>
    <row r="556" spans="1:36" x14ac:dyDescent="0.25">
      <c r="A556" s="16" t="str">
        <f>'Components Data Source'!A556</f>
        <v>Scale Linear Template</v>
      </c>
      <c r="B556" s="8" t="str">
        <f>'Components Data Source'!B556</f>
        <v>34671299-61E7-40D8-AAC1-E33C93759D73</v>
      </c>
      <c r="C556" s="8" t="str">
        <f>'Components Data Source'!C556</f>
        <v>scale_linear.fcpx</v>
      </c>
      <c r="D556" s="8" t="str">
        <f>'Components Data Source'!D556</f>
        <v>Components\IO_Source\Scale_Linear.fcfx</v>
      </c>
      <c r="E556" s="8" t="str">
        <f>'Components Data Source'!E556</f>
        <v>FREE</v>
      </c>
      <c r="F556" s="8" t="str">
        <f>'Components Data Source'!F556</f>
        <v>ADVANCED SHAPES</v>
      </c>
      <c r="G556" s="8">
        <f>'Components Data Source'!G556</f>
        <v>0</v>
      </c>
      <c r="H556" s="8">
        <f>'Components Data Source'!H556</f>
        <v>0</v>
      </c>
      <c r="I556" s="8">
        <f>'Components Data Source'!I556</f>
        <v>0</v>
      </c>
      <c r="J556" s="8">
        <f>'Components Data Source'!J556</f>
        <v>1</v>
      </c>
      <c r="K556" s="8">
        <f>'Components Data Source'!K556</f>
        <v>1</v>
      </c>
      <c r="L556" s="8">
        <f>'Components Data Source'!L556</f>
        <v>1</v>
      </c>
      <c r="M556" s="8" t="s">
        <v>1727</v>
      </c>
      <c r="N556" s="17" t="str">
        <f>HYPERLINK('Components Data Source'!M556)</f>
        <v>https://www.flowcode.co.uk/wiki/index.php?title=Component:_ID_34671299_61e7_40d8_aac1_e33c93759d73</v>
      </c>
      <c r="O556" s="8" t="s">
        <v>1721</v>
      </c>
      <c r="P556" s="8"/>
      <c r="Q556" s="8" t="str">
        <f t="shared" si="18"/>
        <v/>
      </c>
      <c r="R556" s="8" t="s">
        <v>1727</v>
      </c>
      <c r="S556" s="8" t="s">
        <v>1727</v>
      </c>
      <c r="T556" s="8"/>
      <c r="U556" s="8"/>
      <c r="V556" s="8" t="s">
        <v>1730</v>
      </c>
      <c r="W556" s="8" t="s">
        <v>1730</v>
      </c>
      <c r="X556" s="8"/>
      <c r="Y556" s="8"/>
      <c r="Z556" s="18">
        <f t="shared" si="17"/>
        <v>2</v>
      </c>
      <c r="AA556" s="8"/>
      <c r="AB556" s="7"/>
      <c r="AC556" s="7"/>
      <c r="AD556" s="8" t="s">
        <v>1721</v>
      </c>
      <c r="AE556" s="8" t="s">
        <v>1721</v>
      </c>
      <c r="AF556" s="8" t="s">
        <v>2401</v>
      </c>
      <c r="AG556" s="8"/>
      <c r="AH556" s="47"/>
      <c r="AI556" s="47">
        <f>VLOOKUP(B556,'Components Usage'!A$2:C$603,3,FALSE)</f>
        <v>0</v>
      </c>
      <c r="AJ556" s="28" t="s">
        <v>2401</v>
      </c>
    </row>
    <row r="557" spans="1:36" x14ac:dyDescent="0.25">
      <c r="A557" s="16" t="str">
        <f>'Components Data Source'!A557</f>
        <v>Data Recorder Setup</v>
      </c>
      <c r="B557" s="8" t="str">
        <f>'Components Data Source'!B557</f>
        <v>33B1E2C6-5509-40BF-A464-167EDCBCF571</v>
      </c>
      <c r="C557" s="8" t="str">
        <f>'Components Data Source'!C557</f>
        <v>scopeview.fcpx</v>
      </c>
      <c r="D557" s="8" t="str">
        <f>'Components Data Source'!D557</f>
        <v>Components\IO_Source\scope_viewer.fcfx</v>
      </c>
      <c r="E557" s="8" t="str">
        <f>'Components Data Source'!E557</f>
        <v>FREE</v>
      </c>
      <c r="F557" s="8" t="str">
        <f>'Components Data Source'!F557</f>
        <v>RUNTIME TOOLS</v>
      </c>
      <c r="G557" s="8">
        <f>'Components Data Source'!G557</f>
        <v>0</v>
      </c>
      <c r="H557" s="8">
        <f>'Components Data Source'!H557</f>
        <v>0</v>
      </c>
      <c r="I557" s="8">
        <f>'Components Data Source'!I557</f>
        <v>0</v>
      </c>
      <c r="J557" s="8">
        <f>'Components Data Source'!J557</f>
        <v>1</v>
      </c>
      <c r="K557" s="8">
        <f>'Components Data Source'!K557</f>
        <v>1</v>
      </c>
      <c r="L557" s="8">
        <f>'Components Data Source'!L557</f>
        <v>0</v>
      </c>
      <c r="M557" s="8" t="s">
        <v>1727</v>
      </c>
      <c r="N557" s="17" t="str">
        <f>HYPERLINK('Components Data Source'!M557)</f>
        <v>https://www.flowcode.co.uk/wiki/index.php?title=Component:_ID_33b1e2c6_5509_40bf_a464_167edcbcf571</v>
      </c>
      <c r="O557" s="8" t="s">
        <v>1721</v>
      </c>
      <c r="P557" s="8"/>
      <c r="Q557" s="8" t="str">
        <f t="shared" si="18"/>
        <v/>
      </c>
      <c r="R557" s="8" t="s">
        <v>1721</v>
      </c>
      <c r="S557" s="8" t="s">
        <v>1721</v>
      </c>
      <c r="T557" s="8" t="s">
        <v>1727</v>
      </c>
      <c r="U557" s="8" t="s">
        <v>2568</v>
      </c>
      <c r="V557" s="8" t="s">
        <v>1731</v>
      </c>
      <c r="W557" s="8" t="s">
        <v>1731</v>
      </c>
      <c r="X557" s="8" t="s">
        <v>1721</v>
      </c>
      <c r="Y557" s="8" t="s">
        <v>1721</v>
      </c>
      <c r="Z557" s="18">
        <f t="shared" si="17"/>
        <v>1</v>
      </c>
      <c r="AA557" s="8"/>
      <c r="AB557" s="7"/>
      <c r="AC557" s="7"/>
      <c r="AD557" s="8" t="s">
        <v>1721</v>
      </c>
      <c r="AE557" s="8" t="s">
        <v>1721</v>
      </c>
      <c r="AF557" s="8" t="s">
        <v>2401</v>
      </c>
      <c r="AG557" s="8"/>
      <c r="AH557" s="47"/>
      <c r="AI557" s="47">
        <f>VLOOKUP(B557,'Components Usage'!A$2:C$603,3,FALSE)</f>
        <v>14</v>
      </c>
      <c r="AJ557" s="28" t="s">
        <v>2401</v>
      </c>
    </row>
    <row r="558" spans="1:36" hidden="1" x14ac:dyDescent="0.25">
      <c r="A558" s="16" t="str">
        <f>'Components Data Source'!A558</f>
        <v>Serial EEPROM (24C01 - 24C16)</v>
      </c>
      <c r="B558" s="8" t="str">
        <f>'Components Data Source'!B558</f>
        <v>FDB712E0-3861-4E64-9C68-67EADE64B089</v>
      </c>
      <c r="C558" s="8" t="str">
        <f>'Components Data Source'!C558</f>
        <v>serial_24c16.fcpx</v>
      </c>
      <c r="D558" s="8" t="str">
        <f>'Components Data Source'!D558</f>
        <v>Components\IO_Source\Storage\Serial EEPROM (24C16).fcfx</v>
      </c>
      <c r="E558" s="8" t="str">
        <f>'Components Data Source'!E558</f>
        <v>STORAGE</v>
      </c>
      <c r="F558" s="8" t="str">
        <f>'Components Data Source'!F558</f>
        <v>STORAGE</v>
      </c>
      <c r="G558" s="8">
        <f>'Components Data Source'!G558</f>
        <v>0</v>
      </c>
      <c r="H558" s="8">
        <f>'Components Data Source'!H558</f>
        <v>0</v>
      </c>
      <c r="I558" s="8" t="str">
        <f>'Components Data Source'!I558</f>
        <v xml:space="preserve">I2C </v>
      </c>
      <c r="J558" s="8">
        <f>'Components Data Source'!J558</f>
        <v>1</v>
      </c>
      <c r="K558" s="8">
        <f>'Components Data Source'!K558</f>
        <v>1</v>
      </c>
      <c r="L558" s="8">
        <f>'Components Data Source'!L558</f>
        <v>0</v>
      </c>
      <c r="M558" s="8" t="s">
        <v>1727</v>
      </c>
      <c r="N558" s="17" t="str">
        <f>HYPERLINK('Components Data Source'!M558)</f>
        <v>https://www.flowcode.co.uk/wiki/index.php?title=Component:_ID_fdb712e0_3861_4e64_9c68_67eade64b089</v>
      </c>
      <c r="O558" s="8" t="s">
        <v>1721</v>
      </c>
      <c r="P558" s="8" t="s">
        <v>2774</v>
      </c>
      <c r="Q558" s="8" t="str">
        <f t="shared" si="18"/>
        <v/>
      </c>
      <c r="R558" s="8" t="s">
        <v>1721</v>
      </c>
      <c r="S558" s="8" t="s">
        <v>1721</v>
      </c>
      <c r="T558" s="8"/>
      <c r="U558" s="8"/>
      <c r="V558" s="8" t="s">
        <v>1731</v>
      </c>
      <c r="W558" s="8" t="s">
        <v>1175</v>
      </c>
      <c r="X558" s="8"/>
      <c r="Y558" s="8" t="s">
        <v>1721</v>
      </c>
      <c r="Z558" s="18">
        <f t="shared" si="17"/>
        <v>1</v>
      </c>
      <c r="AA558" s="8"/>
      <c r="AB558" s="7"/>
      <c r="AC558" s="7"/>
      <c r="AD558" s="8" t="s">
        <v>1721</v>
      </c>
      <c r="AE558" s="8" t="s">
        <v>1727</v>
      </c>
      <c r="AF558" s="8" t="s">
        <v>1727</v>
      </c>
      <c r="AG558" s="8"/>
      <c r="AH558" s="47"/>
      <c r="AI558" s="47">
        <f>VLOOKUP(B558,'Components Usage'!A$2:C$603,3,FALSE)</f>
        <v>38</v>
      </c>
      <c r="AJ558" s="28" t="s">
        <v>2401</v>
      </c>
    </row>
    <row r="559" spans="1:36" hidden="1" x14ac:dyDescent="0.25">
      <c r="A559" s="16" t="str">
        <f>'Components Data Source'!A559</f>
        <v>Serial EEPROM (24C32)</v>
      </c>
      <c r="B559" s="8" t="str">
        <f>'Components Data Source'!B559</f>
        <v>35934F36-5CDA-49E7-B1A0-05C85722D858</v>
      </c>
      <c r="C559" s="8" t="str">
        <f>'Components Data Source'!C559</f>
        <v>serial_eeprom.fcpx</v>
      </c>
      <c r="D559" s="8" t="str">
        <f>'Components Data Source'!D559</f>
        <v>Components\IO_Source\Storage\Serial EEPROM (24C32).fcfx</v>
      </c>
      <c r="E559" s="8" t="str">
        <f>'Components Data Source'!E559</f>
        <v>STORAGE</v>
      </c>
      <c r="F559" s="8" t="str">
        <f>'Components Data Source'!F559</f>
        <v>STORAGE</v>
      </c>
      <c r="G559" s="8">
        <f>'Components Data Source'!G559</f>
        <v>0</v>
      </c>
      <c r="H559" s="8">
        <f>'Components Data Source'!H559</f>
        <v>0</v>
      </c>
      <c r="I559" s="8" t="str">
        <f>'Components Data Source'!I559</f>
        <v xml:space="preserve">I2C </v>
      </c>
      <c r="J559" s="8">
        <f>'Components Data Source'!J559</f>
        <v>1</v>
      </c>
      <c r="K559" s="8">
        <f>'Components Data Source'!K559</f>
        <v>1</v>
      </c>
      <c r="L559" s="8">
        <f>'Components Data Source'!L559</f>
        <v>0</v>
      </c>
      <c r="M559" s="8" t="s">
        <v>1727</v>
      </c>
      <c r="N559" s="17" t="str">
        <f>HYPERLINK('Components Data Source'!M559)</f>
        <v>https://www.flowcode.co.uk/wiki/index.php?title=Component:_ID_35934f36_5cda_49e7_b1a0_05c85722d858</v>
      </c>
      <c r="O559" s="8" t="s">
        <v>1721</v>
      </c>
      <c r="P559" s="8"/>
      <c r="Q559" s="8" t="str">
        <f t="shared" si="18"/>
        <v/>
      </c>
      <c r="R559" s="8" t="s">
        <v>1721</v>
      </c>
      <c r="S559" s="8" t="s">
        <v>1721</v>
      </c>
      <c r="T559" s="8" t="s">
        <v>1721</v>
      </c>
      <c r="U559" s="8" t="s">
        <v>1721</v>
      </c>
      <c r="V559" s="8" t="s">
        <v>1731</v>
      </c>
      <c r="W559" s="8" t="s">
        <v>1175</v>
      </c>
      <c r="X559" s="8" t="s">
        <v>1721</v>
      </c>
      <c r="Y559" s="8" t="s">
        <v>1721</v>
      </c>
      <c r="Z559" s="18">
        <f t="shared" si="17"/>
        <v>1</v>
      </c>
      <c r="AA559" s="8"/>
      <c r="AB559" s="7" t="s">
        <v>2585</v>
      </c>
      <c r="AC559" s="7"/>
      <c r="AD559" s="8" t="s">
        <v>1721</v>
      </c>
      <c r="AE559" s="8" t="s">
        <v>1727</v>
      </c>
      <c r="AF559" s="8" t="s">
        <v>1727</v>
      </c>
      <c r="AG559" s="8"/>
      <c r="AH559" s="47" t="s">
        <v>3649</v>
      </c>
      <c r="AI559" s="47">
        <f>VLOOKUP(B559,'Components Usage'!A$2:C$603,3,FALSE)</f>
        <v>94</v>
      </c>
      <c r="AJ559" s="28" t="s">
        <v>2401</v>
      </c>
    </row>
    <row r="560" spans="1:36" hidden="1" x14ac:dyDescent="0.25">
      <c r="A560" s="16" t="str">
        <f>'Components Data Source'!A560</f>
        <v>Serial EEPROM (24LC512)</v>
      </c>
      <c r="B560" s="8" t="str">
        <f>'Components Data Source'!B560</f>
        <v>4D9912C0-0F17-4FBE-9C76-09331167A886</v>
      </c>
      <c r="C560" s="8" t="str">
        <f>'Components Data Source'!C560</f>
        <v>serial_eeprom512.fcpx</v>
      </c>
      <c r="D560" s="8" t="str">
        <f>'Components Data Source'!D560</f>
        <v>Components\IO_Source\Storage\Serial EEPROM (24LC512).fcfx</v>
      </c>
      <c r="E560" s="8" t="str">
        <f>'Components Data Source'!E560</f>
        <v>STORAGE</v>
      </c>
      <c r="F560" s="8" t="str">
        <f>'Components Data Source'!F560</f>
        <v>STORAGE</v>
      </c>
      <c r="G560" s="8">
        <f>'Components Data Source'!G560</f>
        <v>0</v>
      </c>
      <c r="H560" s="8">
        <f>'Components Data Source'!H560</f>
        <v>0</v>
      </c>
      <c r="I560" s="8" t="str">
        <f>'Components Data Source'!I560</f>
        <v xml:space="preserve">I2C </v>
      </c>
      <c r="J560" s="8">
        <f>'Components Data Source'!J560</f>
        <v>1</v>
      </c>
      <c r="K560" s="8">
        <f>'Components Data Source'!K560</f>
        <v>1</v>
      </c>
      <c r="L560" s="8">
        <f>'Components Data Source'!L560</f>
        <v>0</v>
      </c>
      <c r="M560" s="8" t="s">
        <v>1727</v>
      </c>
      <c r="N560" s="17" t="str">
        <f>HYPERLINK('Components Data Source'!M560)</f>
        <v>https://www.flowcode.co.uk/wiki/index.php?title=Component:_ID_4d9912c0_0f17_4fbe_9c76_09331167a886</v>
      </c>
      <c r="O560" s="8" t="s">
        <v>1721</v>
      </c>
      <c r="P560" s="8"/>
      <c r="Q560" s="8" t="str">
        <f t="shared" si="18"/>
        <v/>
      </c>
      <c r="R560" s="8" t="s">
        <v>1721</v>
      </c>
      <c r="S560" s="8" t="s">
        <v>1721</v>
      </c>
      <c r="T560" s="8"/>
      <c r="U560" s="8"/>
      <c r="V560" s="8" t="s">
        <v>1731</v>
      </c>
      <c r="W560" s="8" t="s">
        <v>1175</v>
      </c>
      <c r="X560" s="8"/>
      <c r="Y560" s="8" t="s">
        <v>1721</v>
      </c>
      <c r="Z560" s="18">
        <f t="shared" si="17"/>
        <v>1</v>
      </c>
      <c r="AA560" s="8"/>
      <c r="AB560" s="7"/>
      <c r="AC560" s="7"/>
      <c r="AD560" s="8" t="s">
        <v>1727</v>
      </c>
      <c r="AE560" s="8"/>
      <c r="AF560" s="8"/>
      <c r="AG560" s="8"/>
      <c r="AH560" s="47"/>
      <c r="AI560" s="47">
        <f>VLOOKUP(B560,'Components Usage'!A$2:C$603,3,FALSE)</f>
        <v>0</v>
      </c>
      <c r="AJ560" s="28"/>
    </row>
    <row r="561" spans="1:36" hidden="1" x14ac:dyDescent="0.2">
      <c r="A561" s="16" t="str">
        <f>'Components Data Source'!A561</f>
        <v>Servo Motor Template</v>
      </c>
      <c r="B561" s="8" t="str">
        <f>'Components Data Source'!B561</f>
        <v>FBAD3C39-8C38-49B7-A860-AE37E9B979A2</v>
      </c>
      <c r="C561" s="8" t="str">
        <f>'Components Data Source'!C561</f>
        <v>servo_base.fcpx</v>
      </c>
      <c r="D561" s="8" t="str">
        <f>'Components Data Source'!D561</f>
        <v>Components\IO_Source\mechatronics\Servo Motor Base.fcfx</v>
      </c>
      <c r="E561" s="8" t="str">
        <f>'Components Data Source'!E561</f>
        <v>MECHATRONICS</v>
      </c>
      <c r="F561" s="8" t="str">
        <f>'Components Data Source'!F561</f>
        <v>MECHATRONICS</v>
      </c>
      <c r="G561" s="8">
        <f>'Components Data Source'!G561</f>
        <v>0</v>
      </c>
      <c r="H561" s="8">
        <f>'Components Data Source'!H561</f>
        <v>0</v>
      </c>
      <c r="I561" s="8">
        <f>'Components Data Source'!I561</f>
        <v>0</v>
      </c>
      <c r="J561" s="8">
        <f>'Components Data Source'!J561</f>
        <v>1</v>
      </c>
      <c r="K561" s="8">
        <f>'Components Data Source'!K561</f>
        <v>1</v>
      </c>
      <c r="L561" s="8">
        <f>'Components Data Source'!L561</f>
        <v>0</v>
      </c>
      <c r="M561" s="8" t="s">
        <v>1727</v>
      </c>
      <c r="N561" s="17" t="str">
        <f>HYPERLINK('Components Data Source'!M561)</f>
        <v>https://www.flowcode.co.uk/wiki/index.php?title=Component:_ID_fbad3c39_8c38_49b7_a860_ae37e9b979a2</v>
      </c>
      <c r="O561" s="8" t="s">
        <v>1721</v>
      </c>
      <c r="P561" s="45" t="s">
        <v>3552</v>
      </c>
      <c r="Q561" s="8" t="str">
        <f t="shared" si="18"/>
        <v/>
      </c>
      <c r="R561" s="8" t="s">
        <v>1721</v>
      </c>
      <c r="S561" s="8" t="s">
        <v>1721</v>
      </c>
      <c r="T561" s="8" t="s">
        <v>1727</v>
      </c>
      <c r="U561" s="8" t="s">
        <v>2568</v>
      </c>
      <c r="V561" s="8" t="s">
        <v>1731</v>
      </c>
      <c r="W561" s="8" t="s">
        <v>1731</v>
      </c>
      <c r="X561" s="8" t="s">
        <v>1721</v>
      </c>
      <c r="Y561" s="8" t="s">
        <v>1721</v>
      </c>
      <c r="Z561" s="18">
        <f t="shared" si="17"/>
        <v>1</v>
      </c>
      <c r="AA561" s="8"/>
      <c r="AB561" s="7" t="s">
        <v>2513</v>
      </c>
      <c r="AC561" s="7"/>
      <c r="AD561" s="8" t="s">
        <v>1721</v>
      </c>
      <c r="AE561" s="8" t="s">
        <v>1721</v>
      </c>
      <c r="AF561" s="8" t="s">
        <v>2401</v>
      </c>
      <c r="AG561" s="8"/>
      <c r="AH561" s="47"/>
      <c r="AI561" s="47">
        <f>VLOOKUP(B561,'Components Usage'!A$2:C$603,3,FALSE)</f>
        <v>0</v>
      </c>
      <c r="AJ561" s="28" t="s">
        <v>2401</v>
      </c>
    </row>
    <row r="562" spans="1:36" x14ac:dyDescent="0.25">
      <c r="A562" s="16" t="str">
        <f>'Components Data Source'!A562</f>
        <v>Bowl</v>
      </c>
      <c r="B562" s="8" t="str">
        <f>'Components Data Source'!B562</f>
        <v>BEA47EE6-07BE-4545-A699-50C160EA12C0</v>
      </c>
      <c r="C562" s="8" t="str">
        <f>'Components Data Source'!C562</f>
        <v>shape_bowl.fcpx</v>
      </c>
      <c r="D562" s="8" t="str">
        <f>'Components Data Source'!D562</f>
        <v>Components\IO_Source\Shapes\shape_bowl.fcfx</v>
      </c>
      <c r="E562" s="8" t="str">
        <f>'Components Data Source'!E562</f>
        <v>FREE</v>
      </c>
      <c r="F562" s="8" t="str">
        <f>'Components Data Source'!F562</f>
        <v>3D SHAPES</v>
      </c>
      <c r="G562" s="8">
        <f>'Components Data Source'!G562</f>
        <v>0</v>
      </c>
      <c r="H562" s="8">
        <f>'Components Data Source'!H562</f>
        <v>0</v>
      </c>
      <c r="I562" s="8">
        <f>'Components Data Source'!I562</f>
        <v>0</v>
      </c>
      <c r="J562" s="8">
        <f>'Components Data Source'!J562</f>
        <v>1</v>
      </c>
      <c r="K562" s="8">
        <f>'Components Data Source'!K562</f>
        <v>0</v>
      </c>
      <c r="L562" s="8">
        <f>'Components Data Source'!L562</f>
        <v>1</v>
      </c>
      <c r="M562" s="8" t="s">
        <v>1727</v>
      </c>
      <c r="N562" s="17" t="str">
        <f>HYPERLINK('Components Data Source'!M562)</f>
        <v>https://www.flowcode.co.uk/wiki/index.php?title=Component:_ID_bea47ee6_07be_4545_a699_50c160ea12c0</v>
      </c>
      <c r="O562" s="8" t="s">
        <v>1721</v>
      </c>
      <c r="P562" s="8"/>
      <c r="Q562" s="8">
        <f t="shared" si="18"/>
        <v>1</v>
      </c>
      <c r="R562" s="8" t="s">
        <v>1727</v>
      </c>
      <c r="S562" s="8" t="s">
        <v>1727</v>
      </c>
      <c r="T562" s="8"/>
      <c r="U562" s="8"/>
      <c r="V562" s="8" t="s">
        <v>1730</v>
      </c>
      <c r="W562" s="8" t="s">
        <v>1730</v>
      </c>
      <c r="X562" s="8"/>
      <c r="Y562" s="8"/>
      <c r="Z562" s="18">
        <f t="shared" si="17"/>
        <v>2</v>
      </c>
      <c r="AA562" s="8"/>
      <c r="AB562" s="7"/>
      <c r="AC562" s="7"/>
      <c r="AD562" s="8" t="s">
        <v>1721</v>
      </c>
      <c r="AE562" s="8" t="s">
        <v>2401</v>
      </c>
      <c r="AF562" s="8" t="s">
        <v>2401</v>
      </c>
      <c r="AG562" s="8"/>
      <c r="AH562" s="47"/>
      <c r="AI562" s="47">
        <f>VLOOKUP(B562,'Components Usage'!A$2:C$603,3,FALSE)</f>
        <v>0</v>
      </c>
      <c r="AJ562" s="28" t="s">
        <v>2401</v>
      </c>
    </row>
    <row r="563" spans="1:36" x14ac:dyDescent="0.25">
      <c r="A563" s="16" t="str">
        <f>'Components Data Source'!A563</f>
        <v>Cone</v>
      </c>
      <c r="B563" s="8" t="str">
        <f>'Components Data Source'!B563</f>
        <v>18D0ECEA-755F-43F7-9444-9DC9EFAF859F</v>
      </c>
      <c r="C563" s="8" t="str">
        <f>'Components Data Source'!C563</f>
        <v>shape_cone.fcpx</v>
      </c>
      <c r="D563" s="8" t="str">
        <f>'Components Data Source'!D563</f>
        <v>Components\IO_Source\Shapes\shape_cone.fcfx</v>
      </c>
      <c r="E563" s="8" t="str">
        <f>'Components Data Source'!E563</f>
        <v>FREE</v>
      </c>
      <c r="F563" s="8" t="str">
        <f>'Components Data Source'!F563</f>
        <v>3D SHAPES</v>
      </c>
      <c r="G563" s="8">
        <f>'Components Data Source'!G563</f>
        <v>0</v>
      </c>
      <c r="H563" s="8">
        <f>'Components Data Source'!H563</f>
        <v>0</v>
      </c>
      <c r="I563" s="8">
        <f>'Components Data Source'!I563</f>
        <v>0</v>
      </c>
      <c r="J563" s="8">
        <f>'Components Data Source'!J563</f>
        <v>1</v>
      </c>
      <c r="K563" s="8">
        <f>'Components Data Source'!K563</f>
        <v>0</v>
      </c>
      <c r="L563" s="8">
        <f>'Components Data Source'!L563</f>
        <v>1</v>
      </c>
      <c r="M563" s="8" t="s">
        <v>1727</v>
      </c>
      <c r="N563" s="17" t="str">
        <f>HYPERLINK('Components Data Source'!M563)</f>
        <v>https://www.flowcode.co.uk/wiki/index.php?title=Component:_ID_18d0ecea_755f_43f7_9444_9dc9efaf859f</v>
      </c>
      <c r="O563" s="8" t="s">
        <v>1721</v>
      </c>
      <c r="P563" s="8"/>
      <c r="Q563" s="8">
        <f t="shared" si="18"/>
        <v>1</v>
      </c>
      <c r="R563" s="8" t="s">
        <v>1727</v>
      </c>
      <c r="S563" s="8" t="s">
        <v>1727</v>
      </c>
      <c r="T563" s="8"/>
      <c r="U563" s="8"/>
      <c r="V563" s="8" t="s">
        <v>1730</v>
      </c>
      <c r="W563" s="8" t="s">
        <v>1730</v>
      </c>
      <c r="X563" s="8"/>
      <c r="Y563" s="8"/>
      <c r="Z563" s="18">
        <f t="shared" si="17"/>
        <v>2</v>
      </c>
      <c r="AA563" s="8"/>
      <c r="AB563" s="7"/>
      <c r="AC563" s="7"/>
      <c r="AD563" s="8" t="s">
        <v>1721</v>
      </c>
      <c r="AE563" s="8" t="s">
        <v>2401</v>
      </c>
      <c r="AF563" s="8" t="s">
        <v>2401</v>
      </c>
      <c r="AG563" s="8"/>
      <c r="AH563" s="47"/>
      <c r="AI563" s="47">
        <f>VLOOKUP(B563,'Components Usage'!A$2:C$603,3,FALSE)</f>
        <v>5</v>
      </c>
      <c r="AJ563" s="28" t="s">
        <v>2401</v>
      </c>
    </row>
    <row r="564" spans="1:36" x14ac:dyDescent="0.25">
      <c r="A564" s="16" t="str">
        <f>'Components Data Source'!A564</f>
        <v>Cuboid</v>
      </c>
      <c r="B564" s="8" t="str">
        <f>'Components Data Source'!B564</f>
        <v>4CBAE05A-FEE8-4685-B94C-829ABC3466AB</v>
      </c>
      <c r="C564" s="8" t="str">
        <f>'Components Data Source'!C564</f>
        <v>shape_cuboid.fcpx</v>
      </c>
      <c r="D564" s="8" t="str">
        <f>'Components Data Source'!D564</f>
        <v>Components\IO_Source\Shapes\shape_cuboid.fcfx</v>
      </c>
      <c r="E564" s="8" t="str">
        <f>'Components Data Source'!E564</f>
        <v>FREE</v>
      </c>
      <c r="F564" s="8" t="str">
        <f>'Components Data Source'!F564</f>
        <v>3D SHAPES</v>
      </c>
      <c r="G564" s="8">
        <f>'Components Data Source'!G564</f>
        <v>0</v>
      </c>
      <c r="H564" s="8">
        <f>'Components Data Source'!H564</f>
        <v>0</v>
      </c>
      <c r="I564" s="8">
        <f>'Components Data Source'!I564</f>
        <v>0</v>
      </c>
      <c r="J564" s="8">
        <f>'Components Data Source'!J564</f>
        <v>1</v>
      </c>
      <c r="K564" s="8">
        <f>'Components Data Source'!K564</f>
        <v>0</v>
      </c>
      <c r="L564" s="8">
        <f>'Components Data Source'!L564</f>
        <v>1</v>
      </c>
      <c r="M564" s="8" t="s">
        <v>1727</v>
      </c>
      <c r="N564" s="17" t="str">
        <f>HYPERLINK('Components Data Source'!M564)</f>
        <v>https://www.flowcode.co.uk/wiki/index.php?title=Component:_ID_4cbae05a_fee8_4685_b94c_829abc3466ab</v>
      </c>
      <c r="O564" s="8" t="s">
        <v>1721</v>
      </c>
      <c r="P564" s="8"/>
      <c r="Q564" s="8">
        <f t="shared" si="18"/>
        <v>1</v>
      </c>
      <c r="R564" s="8" t="s">
        <v>1727</v>
      </c>
      <c r="S564" s="8" t="s">
        <v>1727</v>
      </c>
      <c r="T564" s="8"/>
      <c r="U564" s="8"/>
      <c r="V564" s="8" t="s">
        <v>1730</v>
      </c>
      <c r="W564" s="8" t="s">
        <v>1730</v>
      </c>
      <c r="X564" s="8"/>
      <c r="Y564" s="8"/>
      <c r="Z564" s="18">
        <f t="shared" si="17"/>
        <v>2</v>
      </c>
      <c r="AA564" s="8"/>
      <c r="AB564" s="7"/>
      <c r="AC564" s="7"/>
      <c r="AD564" s="8" t="s">
        <v>1721</v>
      </c>
      <c r="AE564" s="8" t="s">
        <v>2401</v>
      </c>
      <c r="AF564" s="8" t="s">
        <v>2401</v>
      </c>
      <c r="AG564" s="8"/>
      <c r="AH564" s="47"/>
      <c r="AI564" s="47">
        <f>VLOOKUP(B564,'Components Usage'!A$2:C$603,3,FALSE)</f>
        <v>21</v>
      </c>
      <c r="AJ564" s="28" t="s">
        <v>2401</v>
      </c>
    </row>
    <row r="565" spans="1:36" x14ac:dyDescent="0.25">
      <c r="A565" s="16" t="str">
        <f>'Components Data Source'!A565</f>
        <v>Cylinder</v>
      </c>
      <c r="B565" s="8" t="str">
        <f>'Components Data Source'!B565</f>
        <v>C87D4BFD-6D1B-45EA-83B4-63250326B329</v>
      </c>
      <c r="C565" s="8" t="str">
        <f>'Components Data Source'!C565</f>
        <v>shape_cylinder.fcpx</v>
      </c>
      <c r="D565" s="8" t="str">
        <f>'Components Data Source'!D565</f>
        <v>Components\IO_Source\Shapes\shape_cylinder.fcfx</v>
      </c>
      <c r="E565" s="8" t="str">
        <f>'Components Data Source'!E565</f>
        <v>FREE</v>
      </c>
      <c r="F565" s="8" t="str">
        <f>'Components Data Source'!F565</f>
        <v>3D SHAPES</v>
      </c>
      <c r="G565" s="8">
        <f>'Components Data Source'!G565</f>
        <v>0</v>
      </c>
      <c r="H565" s="8">
        <f>'Components Data Source'!H565</f>
        <v>0</v>
      </c>
      <c r="I565" s="8">
        <f>'Components Data Source'!I565</f>
        <v>0</v>
      </c>
      <c r="J565" s="8">
        <f>'Components Data Source'!J565</f>
        <v>1</v>
      </c>
      <c r="K565" s="8">
        <f>'Components Data Source'!K565</f>
        <v>0</v>
      </c>
      <c r="L565" s="8">
        <f>'Components Data Source'!L565</f>
        <v>1</v>
      </c>
      <c r="M565" s="8" t="s">
        <v>1727</v>
      </c>
      <c r="N565" s="17" t="str">
        <f>HYPERLINK('Components Data Source'!M565)</f>
        <v>https://www.flowcode.co.uk/wiki/index.php?title=Component:_ID_c87d4bfd_6d1b_45ea_83b4_63250326b329</v>
      </c>
      <c r="O565" s="8" t="s">
        <v>1721</v>
      </c>
      <c r="P565" s="8"/>
      <c r="Q565" s="8">
        <f t="shared" si="18"/>
        <v>1</v>
      </c>
      <c r="R565" s="8" t="s">
        <v>1727</v>
      </c>
      <c r="S565" s="8" t="s">
        <v>1727</v>
      </c>
      <c r="T565" s="8"/>
      <c r="U565" s="8"/>
      <c r="V565" s="8" t="s">
        <v>1730</v>
      </c>
      <c r="W565" s="8" t="s">
        <v>1730</v>
      </c>
      <c r="X565" s="8"/>
      <c r="Y565" s="8"/>
      <c r="Z565" s="18">
        <f t="shared" si="17"/>
        <v>2</v>
      </c>
      <c r="AA565" s="8"/>
      <c r="AB565" s="7"/>
      <c r="AC565" s="7"/>
      <c r="AD565" s="8" t="s">
        <v>1721</v>
      </c>
      <c r="AE565" s="8" t="s">
        <v>2401</v>
      </c>
      <c r="AF565" s="8" t="s">
        <v>2401</v>
      </c>
      <c r="AG565" s="8"/>
      <c r="AH565" s="47"/>
      <c r="AI565" s="47">
        <f>VLOOKUP(B565,'Components Usage'!A$2:C$603,3,FALSE)</f>
        <v>1</v>
      </c>
      <c r="AJ565" s="28" t="s">
        <v>2401</v>
      </c>
    </row>
    <row r="566" spans="1:36" x14ac:dyDescent="0.25">
      <c r="A566" s="16" t="str">
        <f>'Components Data Source'!A566</f>
        <v>Diamond</v>
      </c>
      <c r="B566" s="8" t="str">
        <f>'Components Data Source'!B566</f>
        <v>A7B268FB-4991-4AB8-B394-C1D6997C7422</v>
      </c>
      <c r="C566" s="8" t="str">
        <f>'Components Data Source'!C566</f>
        <v>shape_diamond.fcpx</v>
      </c>
      <c r="D566" s="8" t="str">
        <f>'Components Data Source'!D566</f>
        <v>Components\IO_Source\Shapes\shape_diamond.fcfx</v>
      </c>
      <c r="E566" s="8" t="str">
        <f>'Components Data Source'!E566</f>
        <v>FREE</v>
      </c>
      <c r="F566" s="8" t="str">
        <f>'Components Data Source'!F566</f>
        <v>3D SHAPES</v>
      </c>
      <c r="G566" s="8">
        <f>'Components Data Source'!G566</f>
        <v>0</v>
      </c>
      <c r="H566" s="8">
        <f>'Components Data Source'!H566</f>
        <v>0</v>
      </c>
      <c r="I566" s="8">
        <f>'Components Data Source'!I566</f>
        <v>0</v>
      </c>
      <c r="J566" s="8">
        <f>'Components Data Source'!J566</f>
        <v>1</v>
      </c>
      <c r="K566" s="8">
        <f>'Components Data Source'!K566</f>
        <v>0</v>
      </c>
      <c r="L566" s="8">
        <f>'Components Data Source'!L566</f>
        <v>1</v>
      </c>
      <c r="M566" s="8" t="s">
        <v>1727</v>
      </c>
      <c r="N566" s="17" t="str">
        <f>HYPERLINK('Components Data Source'!M566)</f>
        <v>https://www.flowcode.co.uk/wiki/index.php?title=Component:_ID_a7b268fb_4991_4ab8_b394_c1d6997c7422</v>
      </c>
      <c r="O566" s="8" t="s">
        <v>1721</v>
      </c>
      <c r="P566" s="8"/>
      <c r="Q566" s="8">
        <f t="shared" si="18"/>
        <v>1</v>
      </c>
      <c r="R566" s="8" t="s">
        <v>1727</v>
      </c>
      <c r="S566" s="8" t="s">
        <v>1727</v>
      </c>
      <c r="T566" s="8"/>
      <c r="U566" s="8"/>
      <c r="V566" s="8" t="s">
        <v>1730</v>
      </c>
      <c r="W566" s="8" t="s">
        <v>1730</v>
      </c>
      <c r="X566" s="8"/>
      <c r="Y566" s="8"/>
      <c r="Z566" s="18">
        <f t="shared" si="17"/>
        <v>2</v>
      </c>
      <c r="AA566" s="8"/>
      <c r="AB566" s="7"/>
      <c r="AC566" s="7"/>
      <c r="AD566" s="8" t="s">
        <v>1721</v>
      </c>
      <c r="AE566" s="8" t="s">
        <v>2401</v>
      </c>
      <c r="AF566" s="8" t="s">
        <v>2401</v>
      </c>
      <c r="AG566" s="8"/>
      <c r="AH566" s="47"/>
      <c r="AI566" s="47">
        <f>VLOOKUP(B566,'Components Usage'!A$2:C$603,3,FALSE)</f>
        <v>0</v>
      </c>
      <c r="AJ566" s="28" t="s">
        <v>2401</v>
      </c>
    </row>
    <row r="567" spans="1:36" x14ac:dyDescent="0.25">
      <c r="A567" s="16" t="str">
        <f>'Components Data Source'!A567</f>
        <v>Ellipse</v>
      </c>
      <c r="B567" s="8" t="str">
        <f>'Components Data Source'!B567</f>
        <v>93C4EFFE-9D15-4A15-A750-F47D206143A7</v>
      </c>
      <c r="C567" s="8" t="str">
        <f>'Components Data Source'!C567</f>
        <v>shape_ellipse.fcpx</v>
      </c>
      <c r="D567" s="8" t="str">
        <f>'Components Data Source'!D567</f>
        <v>Components\IO_Source\Shapes\shape_ellipse.fcfx</v>
      </c>
      <c r="E567" s="8" t="str">
        <f>'Components Data Source'!E567</f>
        <v>FREE</v>
      </c>
      <c r="F567" s="8" t="str">
        <f>'Components Data Source'!F567</f>
        <v>2D SHAPES</v>
      </c>
      <c r="G567" s="8">
        <f>'Components Data Source'!G567</f>
        <v>0</v>
      </c>
      <c r="H567" s="8">
        <f>'Components Data Source'!H567</f>
        <v>0</v>
      </c>
      <c r="I567" s="8">
        <f>'Components Data Source'!I567</f>
        <v>0</v>
      </c>
      <c r="J567" s="8">
        <f>'Components Data Source'!J567</f>
        <v>1</v>
      </c>
      <c r="K567" s="8">
        <f>'Components Data Source'!K567</f>
        <v>0</v>
      </c>
      <c r="L567" s="8">
        <f>'Components Data Source'!L567</f>
        <v>1</v>
      </c>
      <c r="M567" s="8" t="s">
        <v>1727</v>
      </c>
      <c r="N567" s="17" t="str">
        <f>HYPERLINK('Components Data Source'!M567)</f>
        <v>https://www.flowcode.co.uk/wiki/index.php?title=Component:_ID_93c4effe_9d15_4a15_a750_f47d206143a7</v>
      </c>
      <c r="O567" s="8" t="s">
        <v>1721</v>
      </c>
      <c r="P567" s="8"/>
      <c r="Q567" s="8">
        <f t="shared" si="18"/>
        <v>1</v>
      </c>
      <c r="R567" s="8" t="s">
        <v>1727</v>
      </c>
      <c r="S567" s="8" t="s">
        <v>1727</v>
      </c>
      <c r="T567" s="8"/>
      <c r="U567" s="8"/>
      <c r="V567" s="8" t="s">
        <v>1730</v>
      </c>
      <c r="W567" s="8" t="s">
        <v>1730</v>
      </c>
      <c r="X567" s="8"/>
      <c r="Y567" s="8"/>
      <c r="Z567" s="18">
        <f t="shared" si="17"/>
        <v>2</v>
      </c>
      <c r="AA567" s="8"/>
      <c r="AB567" s="7"/>
      <c r="AC567" s="7"/>
      <c r="AD567" s="8" t="s">
        <v>1721</v>
      </c>
      <c r="AE567" s="8" t="s">
        <v>2401</v>
      </c>
      <c r="AF567" s="8" t="s">
        <v>2401</v>
      </c>
      <c r="AG567" s="8"/>
      <c r="AH567" s="47"/>
      <c r="AI567" s="47">
        <f>VLOOKUP(B567,'Components Usage'!A$2:C$603,3,FALSE)</f>
        <v>11</v>
      </c>
      <c r="AJ567" s="28" t="s">
        <v>2401</v>
      </c>
    </row>
    <row r="568" spans="1:36" x14ac:dyDescent="0.25">
      <c r="A568" s="16" t="str">
        <f>'Components Data Source'!A568</f>
        <v>Hemisphere</v>
      </c>
      <c r="B568" s="8" t="str">
        <f>'Components Data Source'!B568</f>
        <v>B8BF4AA3-E477-4D95-9592-F7F609357658</v>
      </c>
      <c r="C568" s="8" t="str">
        <f>'Components Data Source'!C568</f>
        <v>shape_hemisphere.fcpx</v>
      </c>
      <c r="D568" s="8" t="str">
        <f>'Components Data Source'!D568</f>
        <v>Components\IO_Source\Shapes\shape_hemisphere.fcfx</v>
      </c>
      <c r="E568" s="8" t="str">
        <f>'Components Data Source'!E568</f>
        <v>FREE</v>
      </c>
      <c r="F568" s="8" t="str">
        <f>'Components Data Source'!F568</f>
        <v>3D SHAPES</v>
      </c>
      <c r="G568" s="8">
        <f>'Components Data Source'!G568</f>
        <v>0</v>
      </c>
      <c r="H568" s="8">
        <f>'Components Data Source'!H568</f>
        <v>0</v>
      </c>
      <c r="I568" s="8">
        <f>'Components Data Source'!I568</f>
        <v>0</v>
      </c>
      <c r="J568" s="8">
        <f>'Components Data Source'!J568</f>
        <v>1</v>
      </c>
      <c r="K568" s="8">
        <f>'Components Data Source'!K568</f>
        <v>0</v>
      </c>
      <c r="L568" s="8">
        <f>'Components Data Source'!L568</f>
        <v>1</v>
      </c>
      <c r="M568" s="8" t="s">
        <v>1727</v>
      </c>
      <c r="N568" s="17" t="str">
        <f>HYPERLINK('Components Data Source'!M568)</f>
        <v>https://www.flowcode.co.uk/wiki/index.php?title=Component:_ID_b8bf4aa3_e477_4d95_9592_f7f609357658</v>
      </c>
      <c r="O568" s="8" t="s">
        <v>1721</v>
      </c>
      <c r="P568" s="8"/>
      <c r="Q568" s="8">
        <f t="shared" si="18"/>
        <v>1</v>
      </c>
      <c r="R568" s="8" t="s">
        <v>1727</v>
      </c>
      <c r="S568" s="8" t="s">
        <v>1727</v>
      </c>
      <c r="T568" s="8"/>
      <c r="U568" s="8"/>
      <c r="V568" s="8" t="s">
        <v>1730</v>
      </c>
      <c r="W568" s="8" t="s">
        <v>1730</v>
      </c>
      <c r="X568" s="8"/>
      <c r="Y568" s="8"/>
      <c r="Z568" s="18">
        <f t="shared" si="17"/>
        <v>2</v>
      </c>
      <c r="AA568" s="8"/>
      <c r="AB568" s="7"/>
      <c r="AC568" s="7"/>
      <c r="AD568" s="8" t="s">
        <v>1721</v>
      </c>
      <c r="AE568" s="8" t="s">
        <v>2401</v>
      </c>
      <c r="AF568" s="8" t="s">
        <v>2401</v>
      </c>
      <c r="AG568" s="8"/>
      <c r="AH568" s="47"/>
      <c r="AI568" s="47">
        <f>VLOOKUP(B568,'Components Usage'!A$2:C$603,3,FALSE)</f>
        <v>2</v>
      </c>
      <c r="AJ568" s="28" t="s">
        <v>2401</v>
      </c>
    </row>
    <row r="569" spans="1:36" x14ac:dyDescent="0.25">
      <c r="A569" s="16" t="str">
        <f>'Components Data Source'!A569</f>
        <v>Honeycomb</v>
      </c>
      <c r="B569" s="8" t="str">
        <f>'Components Data Source'!B569</f>
        <v>296EC9FD-CF9B-4338-BB42-B92E4326AF25</v>
      </c>
      <c r="C569" s="8" t="str">
        <f>'Components Data Source'!C569</f>
        <v>shape_honeycomb.fcpx</v>
      </c>
      <c r="D569" s="8" t="str">
        <f>'Components Data Source'!D569</f>
        <v>Components\IO_Source\Shapes\shape_honeycomb.fcfx</v>
      </c>
      <c r="E569" s="8" t="str">
        <f>'Components Data Source'!E569</f>
        <v>FREE</v>
      </c>
      <c r="F569" s="8" t="str">
        <f>'Components Data Source'!F569</f>
        <v>3D SHAPES</v>
      </c>
      <c r="G569" s="8">
        <f>'Components Data Source'!G569</f>
        <v>0</v>
      </c>
      <c r="H569" s="8">
        <f>'Components Data Source'!H569</f>
        <v>0</v>
      </c>
      <c r="I569" s="8">
        <f>'Components Data Source'!I569</f>
        <v>0</v>
      </c>
      <c r="J569" s="8">
        <f>'Components Data Source'!J569</f>
        <v>1</v>
      </c>
      <c r="K569" s="8">
        <f>'Components Data Source'!K569</f>
        <v>0</v>
      </c>
      <c r="L569" s="8">
        <f>'Components Data Source'!L569</f>
        <v>1</v>
      </c>
      <c r="M569" s="8" t="s">
        <v>1727</v>
      </c>
      <c r="N569" s="17" t="str">
        <f>HYPERLINK('Components Data Source'!M569)</f>
        <v>https://www.flowcode.co.uk/wiki/index.php?title=Component:_ID_296ec9fd_cf9b_4338_bb42_b92e4326af25</v>
      </c>
      <c r="O569" s="8" t="s">
        <v>1721</v>
      </c>
      <c r="P569" s="8"/>
      <c r="Q569" s="8">
        <f t="shared" si="18"/>
        <v>1</v>
      </c>
      <c r="R569" s="8" t="s">
        <v>1727</v>
      </c>
      <c r="S569" s="8" t="s">
        <v>1727</v>
      </c>
      <c r="T569" s="8"/>
      <c r="U569" s="8"/>
      <c r="V569" s="8" t="s">
        <v>1730</v>
      </c>
      <c r="W569" s="8" t="s">
        <v>1730</v>
      </c>
      <c r="X569" s="8"/>
      <c r="Y569" s="8"/>
      <c r="Z569" s="18">
        <f t="shared" si="17"/>
        <v>2</v>
      </c>
      <c r="AA569" s="8"/>
      <c r="AB569" s="7"/>
      <c r="AC569" s="7"/>
      <c r="AD569" s="8" t="s">
        <v>1721</v>
      </c>
      <c r="AE569" s="8" t="s">
        <v>2401</v>
      </c>
      <c r="AF569" s="8" t="s">
        <v>2401</v>
      </c>
      <c r="AG569" s="8"/>
      <c r="AH569" s="47"/>
      <c r="AI569" s="47">
        <f>VLOOKUP(B569,'Components Usage'!A$2:C$603,3,FALSE)</f>
        <v>0</v>
      </c>
      <c r="AJ569" s="28" t="s">
        <v>2401</v>
      </c>
    </row>
    <row r="570" spans="1:36" x14ac:dyDescent="0.25">
      <c r="A570" s="16" t="str">
        <f>'Components Data Source'!A570</f>
        <v>Label</v>
      </c>
      <c r="B570" s="8" t="str">
        <f>'Components Data Source'!B570</f>
        <v>9A971EE1-28E0-4E47-9C09-71268383FC75</v>
      </c>
      <c r="C570" s="8" t="str">
        <f>'Components Data Source'!C570</f>
        <v>shape_label.fcpx</v>
      </c>
      <c r="D570" s="8" t="str">
        <f>'Components Data Source'!D570</f>
        <v>Components\IO_Source\Shapes\shape_label.fcfx</v>
      </c>
      <c r="E570" s="8" t="str">
        <f>'Components Data Source'!E570</f>
        <v>FREE</v>
      </c>
      <c r="F570" s="8" t="str">
        <f>'Components Data Source'!F570</f>
        <v>2D SHAPES</v>
      </c>
      <c r="G570" s="8">
        <f>'Components Data Source'!G570</f>
        <v>0</v>
      </c>
      <c r="H570" s="8">
        <f>'Components Data Source'!H570</f>
        <v>0</v>
      </c>
      <c r="I570" s="8">
        <f>'Components Data Source'!I570</f>
        <v>0</v>
      </c>
      <c r="J570" s="8">
        <f>'Components Data Source'!J570</f>
        <v>1</v>
      </c>
      <c r="K570" s="8">
        <f>'Components Data Source'!K570</f>
        <v>0</v>
      </c>
      <c r="L570" s="8">
        <f>'Components Data Source'!L570</f>
        <v>1</v>
      </c>
      <c r="M570" s="8" t="s">
        <v>1727</v>
      </c>
      <c r="N570" s="17" t="str">
        <f>HYPERLINK('Components Data Source'!M570)</f>
        <v>https://www.flowcode.co.uk/wiki/index.php?title=Component:_ID_9a971ee1_28e0_4e47_9c09_71268383fc75</v>
      </c>
      <c r="O570" s="8" t="s">
        <v>1721</v>
      </c>
      <c r="P570" s="8"/>
      <c r="Q570" s="8">
        <f t="shared" si="18"/>
        <v>1</v>
      </c>
      <c r="R570" s="8" t="s">
        <v>1727</v>
      </c>
      <c r="S570" s="8" t="s">
        <v>1727</v>
      </c>
      <c r="T570" s="8"/>
      <c r="U570" s="8"/>
      <c r="V570" s="8" t="s">
        <v>1730</v>
      </c>
      <c r="W570" s="8" t="s">
        <v>1730</v>
      </c>
      <c r="X570" s="8"/>
      <c r="Y570" s="8"/>
      <c r="Z570" s="18">
        <f t="shared" si="17"/>
        <v>2</v>
      </c>
      <c r="AA570" s="8"/>
      <c r="AB570" s="7"/>
      <c r="AC570" s="7"/>
      <c r="AD570" s="8" t="s">
        <v>1721</v>
      </c>
      <c r="AE570" s="8" t="s">
        <v>2401</v>
      </c>
      <c r="AF570" s="8" t="s">
        <v>2401</v>
      </c>
      <c r="AG570" s="8" t="s">
        <v>2401</v>
      </c>
      <c r="AH570" s="47"/>
      <c r="AI570" s="47">
        <f>VLOOKUP(B570,'Components Usage'!A$2:C$603,3,FALSE)</f>
        <v>139</v>
      </c>
      <c r="AJ570" s="28" t="s">
        <v>2401</v>
      </c>
    </row>
    <row r="571" spans="1:36" x14ac:dyDescent="0.25">
      <c r="A571" s="16" t="str">
        <f>'Components Data Source'!A571</f>
        <v>Line</v>
      </c>
      <c r="B571" s="8" t="str">
        <f>'Components Data Source'!B571</f>
        <v>3A376EF4-ADA5-4D3F-B255-2CF7139F051D</v>
      </c>
      <c r="C571" s="8" t="str">
        <f>'Components Data Source'!C571</f>
        <v>shape_line.fcpx</v>
      </c>
      <c r="D571" s="8" t="str">
        <f>'Components Data Source'!D571</f>
        <v>Components\IO_Source\Shapes\shape_line.fcfx</v>
      </c>
      <c r="E571" s="8" t="str">
        <f>'Components Data Source'!E571</f>
        <v>FREE</v>
      </c>
      <c r="F571" s="8" t="str">
        <f>'Components Data Source'!F571</f>
        <v>2D SHAPES</v>
      </c>
      <c r="G571" s="8">
        <f>'Components Data Source'!G571</f>
        <v>0</v>
      </c>
      <c r="H571" s="8">
        <f>'Components Data Source'!H571</f>
        <v>0</v>
      </c>
      <c r="I571" s="8">
        <f>'Components Data Source'!I571</f>
        <v>0</v>
      </c>
      <c r="J571" s="8">
        <f>'Components Data Source'!J571</f>
        <v>1</v>
      </c>
      <c r="K571" s="8">
        <f>'Components Data Source'!K571</f>
        <v>1</v>
      </c>
      <c r="L571" s="8">
        <f>'Components Data Source'!L571</f>
        <v>1</v>
      </c>
      <c r="M571" s="8" t="s">
        <v>1727</v>
      </c>
      <c r="N571" s="17" t="str">
        <f>HYPERLINK('Components Data Source'!M571)</f>
        <v>https://www.flowcode.co.uk/wiki/index.php?title=Component:_ID_3a376ef4_ada5_4d3f_b255_2cf7139f051d</v>
      </c>
      <c r="O571" s="8" t="s">
        <v>1721</v>
      </c>
      <c r="P571" s="8"/>
      <c r="Q571" s="8" t="str">
        <f t="shared" si="18"/>
        <v/>
      </c>
      <c r="R571" s="8" t="s">
        <v>1727</v>
      </c>
      <c r="S571" s="8" t="s">
        <v>1727</v>
      </c>
      <c r="T571" s="8"/>
      <c r="U571" s="8"/>
      <c r="V571" s="8" t="s">
        <v>1730</v>
      </c>
      <c r="W571" s="8" t="s">
        <v>1730</v>
      </c>
      <c r="X571" s="8"/>
      <c r="Y571" s="8"/>
      <c r="Z571" s="18">
        <f t="shared" si="17"/>
        <v>2</v>
      </c>
      <c r="AA571" s="8"/>
      <c r="AB571" s="7"/>
      <c r="AC571" s="7"/>
      <c r="AD571" s="8" t="s">
        <v>1721</v>
      </c>
      <c r="AE571" s="8" t="s">
        <v>2401</v>
      </c>
      <c r="AF571" s="8" t="s">
        <v>2401</v>
      </c>
      <c r="AG571" s="8"/>
      <c r="AH571" s="47"/>
      <c r="AI571" s="47">
        <f>VLOOKUP(B571,'Components Usage'!A$2:C$603,3,FALSE)</f>
        <v>6</v>
      </c>
      <c r="AJ571" s="28" t="s">
        <v>2401</v>
      </c>
    </row>
    <row r="572" spans="1:36" x14ac:dyDescent="0.25">
      <c r="A572" s="16" t="str">
        <f>'Components Data Source'!A572</f>
        <v>Prism</v>
      </c>
      <c r="B572" s="8" t="str">
        <f>'Components Data Source'!B572</f>
        <v>783AF32A-4D8C-466C-938D-7B3C97E76E83</v>
      </c>
      <c r="C572" s="8" t="str">
        <f>'Components Data Source'!C572</f>
        <v>shape_prism.fcpx</v>
      </c>
      <c r="D572" s="8" t="str">
        <f>'Components Data Source'!D572</f>
        <v>Components\IO_Source\Shapes\shape_prism.fcfx</v>
      </c>
      <c r="E572" s="8" t="str">
        <f>'Components Data Source'!E572</f>
        <v>FREE</v>
      </c>
      <c r="F572" s="8" t="str">
        <f>'Components Data Source'!F572</f>
        <v>3D SHAPES</v>
      </c>
      <c r="G572" s="8">
        <f>'Components Data Source'!G572</f>
        <v>0</v>
      </c>
      <c r="H572" s="8">
        <f>'Components Data Source'!H572</f>
        <v>0</v>
      </c>
      <c r="I572" s="8">
        <f>'Components Data Source'!I572</f>
        <v>0</v>
      </c>
      <c r="J572" s="8">
        <f>'Components Data Source'!J572</f>
        <v>1</v>
      </c>
      <c r="K572" s="8">
        <f>'Components Data Source'!K572</f>
        <v>0</v>
      </c>
      <c r="L572" s="8">
        <f>'Components Data Source'!L572</f>
        <v>1</v>
      </c>
      <c r="M572" s="8" t="s">
        <v>1727</v>
      </c>
      <c r="N572" s="17" t="str">
        <f>HYPERLINK('Components Data Source'!M572)</f>
        <v>https://www.flowcode.co.uk/wiki/index.php?title=Component:_ID_783af32a_4d8c_466c_938d_7b3c97e76e83</v>
      </c>
      <c r="O572" s="8" t="s">
        <v>1721</v>
      </c>
      <c r="P572" s="8"/>
      <c r="Q572" s="8">
        <f t="shared" si="18"/>
        <v>1</v>
      </c>
      <c r="R572" s="8" t="s">
        <v>1727</v>
      </c>
      <c r="S572" s="8" t="s">
        <v>1727</v>
      </c>
      <c r="T572" s="8"/>
      <c r="U572" s="8"/>
      <c r="V572" s="8" t="s">
        <v>1730</v>
      </c>
      <c r="W572" s="8" t="s">
        <v>1730</v>
      </c>
      <c r="X572" s="8"/>
      <c r="Y572" s="8"/>
      <c r="Z572" s="18">
        <f t="shared" si="17"/>
        <v>2</v>
      </c>
      <c r="AA572" s="8"/>
      <c r="AB572" s="7"/>
      <c r="AC572" s="7"/>
      <c r="AD572" s="8" t="s">
        <v>1721</v>
      </c>
      <c r="AE572" s="8" t="s">
        <v>2401</v>
      </c>
      <c r="AF572" s="8" t="s">
        <v>2401</v>
      </c>
      <c r="AG572" s="8"/>
      <c r="AH572" s="47"/>
      <c r="AI572" s="47">
        <f>VLOOKUP(B572,'Components Usage'!A$2:C$603,3,FALSE)</f>
        <v>6</v>
      </c>
      <c r="AJ572" s="28" t="s">
        <v>2401</v>
      </c>
    </row>
    <row r="573" spans="1:36" x14ac:dyDescent="0.25">
      <c r="A573" s="16" t="str">
        <f>'Components Data Source'!A573</f>
        <v>Pyramid</v>
      </c>
      <c r="B573" s="8" t="str">
        <f>'Components Data Source'!B573</f>
        <v>7A7F8ADF-6B2A-4594-A511-94D47124A465</v>
      </c>
      <c r="C573" s="8" t="str">
        <f>'Components Data Source'!C573</f>
        <v>shape_pyramid.fcpx</v>
      </c>
      <c r="D573" s="8" t="str">
        <f>'Components Data Source'!D573</f>
        <v>Components\IO_Source\Shapes\shape_pyramid.fcfx</v>
      </c>
      <c r="E573" s="8" t="str">
        <f>'Components Data Source'!E573</f>
        <v>FREE</v>
      </c>
      <c r="F573" s="8" t="str">
        <f>'Components Data Source'!F573</f>
        <v>3D SHAPES</v>
      </c>
      <c r="G573" s="8">
        <f>'Components Data Source'!G573</f>
        <v>0</v>
      </c>
      <c r="H573" s="8">
        <f>'Components Data Source'!H573</f>
        <v>0</v>
      </c>
      <c r="I573" s="8">
        <f>'Components Data Source'!I573</f>
        <v>0</v>
      </c>
      <c r="J573" s="8">
        <f>'Components Data Source'!J573</f>
        <v>1</v>
      </c>
      <c r="K573" s="8">
        <f>'Components Data Source'!K573</f>
        <v>0</v>
      </c>
      <c r="L573" s="8">
        <f>'Components Data Source'!L573</f>
        <v>1</v>
      </c>
      <c r="M573" s="8" t="s">
        <v>1727</v>
      </c>
      <c r="N573" s="17" t="str">
        <f>HYPERLINK('Components Data Source'!M573)</f>
        <v>https://www.flowcode.co.uk/wiki/index.php?title=Component:_ID_7a7f8adf_6b2a_4594_a511_94d47124a465</v>
      </c>
      <c r="O573" s="8" t="s">
        <v>1721</v>
      </c>
      <c r="P573" s="8"/>
      <c r="Q573" s="8">
        <f t="shared" si="18"/>
        <v>1</v>
      </c>
      <c r="R573" s="8" t="s">
        <v>1727</v>
      </c>
      <c r="S573" s="8" t="s">
        <v>1727</v>
      </c>
      <c r="T573" s="8"/>
      <c r="U573" s="8"/>
      <c r="V573" s="8" t="s">
        <v>1730</v>
      </c>
      <c r="W573" s="8" t="s">
        <v>1730</v>
      </c>
      <c r="X573" s="8"/>
      <c r="Y573" s="8"/>
      <c r="Z573" s="18">
        <f t="shared" si="17"/>
        <v>2</v>
      </c>
      <c r="AA573" s="8"/>
      <c r="AB573" s="7"/>
      <c r="AC573" s="7"/>
      <c r="AD573" s="8" t="s">
        <v>1721</v>
      </c>
      <c r="AE573" s="8" t="s">
        <v>2401</v>
      </c>
      <c r="AF573" s="8" t="s">
        <v>2401</v>
      </c>
      <c r="AG573" s="8"/>
      <c r="AH573" s="47"/>
      <c r="AI573" s="47">
        <f>VLOOKUP(B573,'Components Usage'!A$2:C$603,3,FALSE)</f>
        <v>0</v>
      </c>
      <c r="AJ573" s="28" t="s">
        <v>2401</v>
      </c>
    </row>
    <row r="574" spans="1:36" x14ac:dyDescent="0.25">
      <c r="A574" s="16" t="str">
        <f>'Components Data Source'!A574</f>
        <v>Rectangle</v>
      </c>
      <c r="B574" s="8" t="str">
        <f>'Components Data Source'!B574</f>
        <v>9EC41243-060F-42C3-93B0-DE81ADA331FA</v>
      </c>
      <c r="C574" s="8" t="str">
        <f>'Components Data Source'!C574</f>
        <v>shape_rectangle.fcpx</v>
      </c>
      <c r="D574" s="8" t="str">
        <f>'Components Data Source'!D574</f>
        <v>Components\IO_Source\Shapes\shape_rectangle.fcfx</v>
      </c>
      <c r="E574" s="8" t="str">
        <f>'Components Data Source'!E574</f>
        <v>FREE</v>
      </c>
      <c r="F574" s="8" t="str">
        <f>'Components Data Source'!F574</f>
        <v>2D SHAPES</v>
      </c>
      <c r="G574" s="8">
        <f>'Components Data Source'!G574</f>
        <v>0</v>
      </c>
      <c r="H574" s="8">
        <f>'Components Data Source'!H574</f>
        <v>0</v>
      </c>
      <c r="I574" s="8">
        <f>'Components Data Source'!I574</f>
        <v>0</v>
      </c>
      <c r="J574" s="8">
        <f>'Components Data Source'!J574</f>
        <v>1</v>
      </c>
      <c r="K574" s="8">
        <f>'Components Data Source'!K574</f>
        <v>0</v>
      </c>
      <c r="L574" s="8">
        <f>'Components Data Source'!L574</f>
        <v>1</v>
      </c>
      <c r="M574" s="8" t="s">
        <v>1727</v>
      </c>
      <c r="N574" s="17" t="str">
        <f>HYPERLINK('Components Data Source'!M574)</f>
        <v>https://www.flowcode.co.uk/wiki/index.php?title=Component:_ID_9ec41243_060f_42c3_93b0_de81ada331fa</v>
      </c>
      <c r="O574" s="8" t="s">
        <v>1721</v>
      </c>
      <c r="P574" s="8"/>
      <c r="Q574" s="8">
        <f t="shared" si="18"/>
        <v>1</v>
      </c>
      <c r="R574" s="8" t="s">
        <v>1727</v>
      </c>
      <c r="S574" s="8" t="s">
        <v>1727</v>
      </c>
      <c r="T574" s="8"/>
      <c r="U574" s="8"/>
      <c r="V574" s="8" t="s">
        <v>1730</v>
      </c>
      <c r="W574" s="8" t="s">
        <v>1730</v>
      </c>
      <c r="X574" s="8"/>
      <c r="Y574" s="8"/>
      <c r="Z574" s="18">
        <f t="shared" si="17"/>
        <v>2</v>
      </c>
      <c r="AA574" s="8"/>
      <c r="AB574" s="7"/>
      <c r="AC574" s="7"/>
      <c r="AD574" s="8" t="s">
        <v>1721</v>
      </c>
      <c r="AE574" s="8" t="s">
        <v>2401</v>
      </c>
      <c r="AF574" s="8" t="s">
        <v>2401</v>
      </c>
      <c r="AG574" s="8" t="s">
        <v>2401</v>
      </c>
      <c r="AH574" s="47"/>
      <c r="AI574" s="47">
        <f>VLOOKUP(B574,'Components Usage'!A$2:C$603,3,FALSE)</f>
        <v>75</v>
      </c>
      <c r="AJ574" s="28" t="s">
        <v>2401</v>
      </c>
    </row>
    <row r="575" spans="1:36" x14ac:dyDescent="0.25">
      <c r="A575" s="16" t="str">
        <f>'Components Data Source'!A575</f>
        <v>Rounded rectangle</v>
      </c>
      <c r="B575" s="8" t="str">
        <f>'Components Data Source'!B575</f>
        <v>8583543F-4A30-428C-BAA1-699145E36314</v>
      </c>
      <c r="C575" s="8" t="str">
        <f>'Components Data Source'!C575</f>
        <v>shape_rounded_rectangle.fcpx</v>
      </c>
      <c r="D575" s="8" t="str">
        <f>'Components Data Source'!D575</f>
        <v>Components\IO_Source\Shapes\shape_rounded_rectangle.fcfx</v>
      </c>
      <c r="E575" s="8" t="str">
        <f>'Components Data Source'!E575</f>
        <v>FREE</v>
      </c>
      <c r="F575" s="8" t="str">
        <f>'Components Data Source'!F575</f>
        <v>2D SHAPES</v>
      </c>
      <c r="G575" s="8">
        <f>'Components Data Source'!G575</f>
        <v>0</v>
      </c>
      <c r="H575" s="8">
        <f>'Components Data Source'!H575</f>
        <v>0</v>
      </c>
      <c r="I575" s="8">
        <f>'Components Data Source'!I575</f>
        <v>0</v>
      </c>
      <c r="J575" s="8">
        <f>'Components Data Source'!J575</f>
        <v>1</v>
      </c>
      <c r="K575" s="8">
        <f>'Components Data Source'!K575</f>
        <v>0</v>
      </c>
      <c r="L575" s="8">
        <f>'Components Data Source'!L575</f>
        <v>1</v>
      </c>
      <c r="M575" s="8" t="s">
        <v>1727</v>
      </c>
      <c r="N575" s="17" t="str">
        <f>HYPERLINK('Components Data Source'!M575)</f>
        <v>https://www.flowcode.co.uk/wiki/index.php?title=Component:_ID_8583543f_4a30_428c_baa1_699145e36314</v>
      </c>
      <c r="O575" s="8" t="s">
        <v>1721</v>
      </c>
      <c r="P575" s="8"/>
      <c r="Q575" s="8">
        <f t="shared" si="18"/>
        <v>1</v>
      </c>
      <c r="R575" s="8" t="s">
        <v>1727</v>
      </c>
      <c r="S575" s="8" t="s">
        <v>1727</v>
      </c>
      <c r="T575" s="8"/>
      <c r="U575" s="8"/>
      <c r="V575" s="8" t="s">
        <v>1730</v>
      </c>
      <c r="W575" s="8" t="s">
        <v>1730</v>
      </c>
      <c r="X575" s="8"/>
      <c r="Y575" s="8"/>
      <c r="Z575" s="18">
        <f t="shared" si="17"/>
        <v>2</v>
      </c>
      <c r="AA575" s="8"/>
      <c r="AB575" s="7"/>
      <c r="AC575" s="7"/>
      <c r="AD575" s="8" t="s">
        <v>1721</v>
      </c>
      <c r="AE575" s="8" t="s">
        <v>2401</v>
      </c>
      <c r="AF575" s="8" t="s">
        <v>2401</v>
      </c>
      <c r="AG575" s="8"/>
      <c r="AH575" s="47"/>
      <c r="AI575" s="47">
        <f>VLOOKUP(B575,'Components Usage'!A$2:C$603,3,FALSE)</f>
        <v>24</v>
      </c>
      <c r="AJ575" s="28" t="s">
        <v>2401</v>
      </c>
    </row>
    <row r="576" spans="1:36" x14ac:dyDescent="0.25">
      <c r="A576" s="16" t="str">
        <f>'Components Data Source'!A576</f>
        <v>Sphere</v>
      </c>
      <c r="B576" s="8" t="str">
        <f>'Components Data Source'!B576</f>
        <v>B295124A-85EC-4FAE-943F-347BB2C50311</v>
      </c>
      <c r="C576" s="8" t="str">
        <f>'Components Data Source'!C576</f>
        <v>shape_sphere.fcpx</v>
      </c>
      <c r="D576" s="8" t="str">
        <f>'Components Data Source'!D576</f>
        <v>Components\IO_Source\Shapes\shape_sphere.fcfx</v>
      </c>
      <c r="E576" s="8" t="str">
        <f>'Components Data Source'!E576</f>
        <v>FREE</v>
      </c>
      <c r="F576" s="8" t="str">
        <f>'Components Data Source'!F576</f>
        <v>3D SHAPES</v>
      </c>
      <c r="G576" s="8">
        <f>'Components Data Source'!G576</f>
        <v>0</v>
      </c>
      <c r="H576" s="8">
        <f>'Components Data Source'!H576</f>
        <v>0</v>
      </c>
      <c r="I576" s="8">
        <f>'Components Data Source'!I576</f>
        <v>0</v>
      </c>
      <c r="J576" s="8">
        <f>'Components Data Source'!J576</f>
        <v>1</v>
      </c>
      <c r="K576" s="8">
        <f>'Components Data Source'!K576</f>
        <v>1</v>
      </c>
      <c r="L576" s="8">
        <f>'Components Data Source'!L576</f>
        <v>1</v>
      </c>
      <c r="M576" s="8" t="s">
        <v>1727</v>
      </c>
      <c r="N576" s="17" t="str">
        <f>HYPERLINK('Components Data Source'!M576)</f>
        <v>https://www.flowcode.co.uk/wiki/index.php?title=Component:_ID_b295124a_85ec_4fae_943f_347bb2c50311</v>
      </c>
      <c r="O576" s="8" t="s">
        <v>1721</v>
      </c>
      <c r="P576" s="8"/>
      <c r="Q576" s="8" t="str">
        <f t="shared" si="18"/>
        <v/>
      </c>
      <c r="R576" s="8" t="s">
        <v>1727</v>
      </c>
      <c r="S576" s="8" t="s">
        <v>1727</v>
      </c>
      <c r="T576" s="8"/>
      <c r="U576" s="8"/>
      <c r="V576" s="8" t="s">
        <v>1730</v>
      </c>
      <c r="W576" s="8" t="s">
        <v>1730</v>
      </c>
      <c r="X576" s="8"/>
      <c r="Y576" s="8"/>
      <c r="Z576" s="18">
        <f t="shared" si="17"/>
        <v>2</v>
      </c>
      <c r="AA576" s="8"/>
      <c r="AB576" s="7"/>
      <c r="AC576" s="7"/>
      <c r="AD576" s="8" t="s">
        <v>1721</v>
      </c>
      <c r="AE576" s="8" t="s">
        <v>2401</v>
      </c>
      <c r="AF576" s="8" t="s">
        <v>2401</v>
      </c>
      <c r="AG576" s="8"/>
      <c r="AH576" s="47"/>
      <c r="AI576" s="47">
        <f>VLOOKUP(B576,'Components Usage'!A$2:C$603,3,FALSE)</f>
        <v>2</v>
      </c>
      <c r="AJ576" s="28" t="s">
        <v>2401</v>
      </c>
    </row>
    <row r="577" spans="1:36" x14ac:dyDescent="0.25">
      <c r="A577" s="16" t="str">
        <f>'Components Data Source'!A577</f>
        <v>Textbox</v>
      </c>
      <c r="B577" s="8" t="str">
        <f>'Components Data Source'!B577</f>
        <v>16D8B52E-CA01-4309-9AFB-5E265B4AE1CA</v>
      </c>
      <c r="C577" s="8" t="str">
        <f>'Components Data Source'!C577</f>
        <v>shape_textbox.fcpx</v>
      </c>
      <c r="D577" s="8" t="str">
        <f>'Components Data Source'!D577</f>
        <v>Components\IO_Source\Shapes\shape_textbox.fcfx</v>
      </c>
      <c r="E577" s="8" t="str">
        <f>'Components Data Source'!E577</f>
        <v>FREE</v>
      </c>
      <c r="F577" s="8" t="str">
        <f>'Components Data Source'!F577</f>
        <v>2D SHAPES</v>
      </c>
      <c r="G577" s="8">
        <f>'Components Data Source'!G577</f>
        <v>0</v>
      </c>
      <c r="H577" s="8">
        <f>'Components Data Source'!H577</f>
        <v>0</v>
      </c>
      <c r="I577" s="8">
        <f>'Components Data Source'!I577</f>
        <v>0</v>
      </c>
      <c r="J577" s="8">
        <f>'Components Data Source'!J577</f>
        <v>1</v>
      </c>
      <c r="K577" s="8">
        <f>'Components Data Source'!K577</f>
        <v>0</v>
      </c>
      <c r="L577" s="8">
        <f>'Components Data Source'!L577</f>
        <v>1</v>
      </c>
      <c r="M577" s="8" t="s">
        <v>1727</v>
      </c>
      <c r="N577" s="17" t="str">
        <f>HYPERLINK('Components Data Source'!M577)</f>
        <v>https://www.flowcode.co.uk/wiki/index.php?title=Component:_ID_16d8b52e_ca01_4309_9afb_5e265b4ae1ca</v>
      </c>
      <c r="O577" s="8" t="s">
        <v>1721</v>
      </c>
      <c r="P577" s="8"/>
      <c r="Q577" s="8">
        <f t="shared" si="18"/>
        <v>1</v>
      </c>
      <c r="R577" s="8" t="s">
        <v>1727</v>
      </c>
      <c r="S577" s="8" t="s">
        <v>1727</v>
      </c>
      <c r="T577" s="8"/>
      <c r="U577" s="8"/>
      <c r="V577" s="8" t="s">
        <v>1730</v>
      </c>
      <c r="W577" s="8" t="s">
        <v>1730</v>
      </c>
      <c r="X577" s="8"/>
      <c r="Y577" s="8"/>
      <c r="Z577" s="18">
        <f t="shared" si="17"/>
        <v>2</v>
      </c>
      <c r="AA577" s="8"/>
      <c r="AB577" s="7"/>
      <c r="AC577" s="7"/>
      <c r="AD577" s="8" t="s">
        <v>1721</v>
      </c>
      <c r="AE577" s="8" t="s">
        <v>2401</v>
      </c>
      <c r="AF577" s="8" t="s">
        <v>2401</v>
      </c>
      <c r="AG577" s="8"/>
      <c r="AH577" s="47"/>
      <c r="AI577" s="47">
        <f>VLOOKUP(B577,'Components Usage'!A$2:C$603,3,FALSE)</f>
        <v>40</v>
      </c>
      <c r="AJ577" s="28" t="s">
        <v>2401</v>
      </c>
    </row>
    <row r="578" spans="1:36" x14ac:dyDescent="0.25">
      <c r="A578" s="16" t="str">
        <f>'Components Data Source'!A578</f>
        <v>Tube</v>
      </c>
      <c r="B578" s="8" t="str">
        <f>'Components Data Source'!B578</f>
        <v>50C4286C-9896-48BD-8B7B-AB5D10540A1A</v>
      </c>
      <c r="C578" s="8" t="str">
        <f>'Components Data Source'!C578</f>
        <v>shape_tube.fcpx</v>
      </c>
      <c r="D578" s="8" t="str">
        <f>'Components Data Source'!D578</f>
        <v>Components\IO_Source\Shapes\shape_tube.fcfx</v>
      </c>
      <c r="E578" s="8" t="str">
        <f>'Components Data Source'!E578</f>
        <v>FREE</v>
      </c>
      <c r="F578" s="8" t="str">
        <f>'Components Data Source'!F578</f>
        <v>3D SHAPES</v>
      </c>
      <c r="G578" s="8">
        <f>'Components Data Source'!G578</f>
        <v>0</v>
      </c>
      <c r="H578" s="8">
        <f>'Components Data Source'!H578</f>
        <v>0</v>
      </c>
      <c r="I578" s="8">
        <f>'Components Data Source'!I578</f>
        <v>0</v>
      </c>
      <c r="J578" s="8">
        <f>'Components Data Source'!J578</f>
        <v>1</v>
      </c>
      <c r="K578" s="8">
        <f>'Components Data Source'!K578</f>
        <v>0</v>
      </c>
      <c r="L578" s="8">
        <f>'Components Data Source'!L578</f>
        <v>1</v>
      </c>
      <c r="M578" s="8" t="s">
        <v>1727</v>
      </c>
      <c r="N578" s="17" t="str">
        <f>HYPERLINK('Components Data Source'!M578)</f>
        <v>https://www.flowcode.co.uk/wiki/index.php?title=Component:_ID_50c4286c_9896_48bd_8b7b_ab5d10540a1a</v>
      </c>
      <c r="O578" s="8" t="s">
        <v>1721</v>
      </c>
      <c r="P578" s="8"/>
      <c r="Q578" s="8">
        <f t="shared" si="18"/>
        <v>1</v>
      </c>
      <c r="R578" s="8" t="s">
        <v>1727</v>
      </c>
      <c r="S578" s="8" t="s">
        <v>1727</v>
      </c>
      <c r="T578" s="8"/>
      <c r="U578" s="8"/>
      <c r="V578" s="8" t="s">
        <v>1730</v>
      </c>
      <c r="W578" s="8" t="s">
        <v>1730</v>
      </c>
      <c r="X578" s="8"/>
      <c r="Y578" s="8"/>
      <c r="Z578" s="18">
        <f t="shared" ref="Z578:Z613" si="19">IF(AND(R578="Y",Y578="Y"),1,IF(R578="N",2,IF(R578="",4,IF(Y578="A",3,0))))</f>
        <v>2</v>
      </c>
      <c r="AA578" s="8"/>
      <c r="AB578" s="7"/>
      <c r="AC578" s="7"/>
      <c r="AD578" s="8" t="s">
        <v>1721</v>
      </c>
      <c r="AE578" s="8" t="s">
        <v>2401</v>
      </c>
      <c r="AF578" s="8" t="s">
        <v>2401</v>
      </c>
      <c r="AG578" s="8"/>
      <c r="AH578" s="47"/>
      <c r="AI578" s="47">
        <f>VLOOKUP(B578,'Components Usage'!A$2:C$603,3,FALSE)</f>
        <v>0</v>
      </c>
      <c r="AJ578" s="28" t="s">
        <v>2401</v>
      </c>
    </row>
    <row r="579" spans="1:36" x14ac:dyDescent="0.25">
      <c r="A579" s="16" t="str">
        <f>'Components Data Source'!A579</f>
        <v>Simulation External Input</v>
      </c>
      <c r="B579" s="8" t="str">
        <f>'Components Data Source'!B579</f>
        <v>B9CD8FBE-D082-4FE3-B1A0-D6F33F8AF028</v>
      </c>
      <c r="C579" s="8" t="str">
        <f>'Components Data Source'!C579</f>
        <v>sim_ext_input.fcpx</v>
      </c>
      <c r="D579" s="8" t="str">
        <f>'Components Data Source'!D579</f>
        <v>Components\IO_Source\Sim_External_Input.fcfx</v>
      </c>
      <c r="E579" s="8" t="str">
        <f>'Components Data Source'!E579</f>
        <v>FREE</v>
      </c>
      <c r="F579" s="8" t="str">
        <f>'Components Data Source'!F579</f>
        <v>RUNTIME TOOLS</v>
      </c>
      <c r="G579" s="8">
        <f>'Components Data Source'!G579</f>
        <v>0</v>
      </c>
      <c r="H579" s="8">
        <f>'Components Data Source'!H579</f>
        <v>0</v>
      </c>
      <c r="I579" s="8">
        <f>'Components Data Source'!I579</f>
        <v>0</v>
      </c>
      <c r="J579" s="8">
        <f>'Components Data Source'!J579</f>
        <v>1</v>
      </c>
      <c r="K579" s="8">
        <f>'Components Data Source'!K579</f>
        <v>1</v>
      </c>
      <c r="L579" s="8">
        <f>'Components Data Source'!L579</f>
        <v>0</v>
      </c>
      <c r="M579" s="8" t="s">
        <v>1727</v>
      </c>
      <c r="N579" s="17" t="str">
        <f>HYPERLINK('Components Data Source'!M579)</f>
        <v>https://www.flowcode.co.uk/wiki/index.php?title=Component:_ID_b9cd8fbe_d082_4fe3_b1a0_d6f33f8af028</v>
      </c>
      <c r="O579" s="8" t="s">
        <v>1721</v>
      </c>
      <c r="P579" s="8"/>
      <c r="Q579" s="8" t="str">
        <f t="shared" ref="Q579:Q603" si="20">IF(L579=1,IF(K579=1,"",1),"")</f>
        <v/>
      </c>
      <c r="R579" s="8" t="s">
        <v>1721</v>
      </c>
      <c r="S579" s="8" t="s">
        <v>1721</v>
      </c>
      <c r="T579" s="8" t="s">
        <v>1727</v>
      </c>
      <c r="U579" s="8" t="s">
        <v>2568</v>
      </c>
      <c r="V579" s="8" t="s">
        <v>1731</v>
      </c>
      <c r="W579" s="8" t="s">
        <v>1731</v>
      </c>
      <c r="X579" s="8" t="s">
        <v>1721</v>
      </c>
      <c r="Y579" s="8" t="s">
        <v>1721</v>
      </c>
      <c r="Z579" s="18">
        <f t="shared" si="19"/>
        <v>1</v>
      </c>
      <c r="AA579" s="8"/>
      <c r="AB579" s="7"/>
      <c r="AC579" s="7"/>
      <c r="AD579" s="8" t="s">
        <v>1721</v>
      </c>
      <c r="AE579" s="8" t="s">
        <v>1727</v>
      </c>
      <c r="AF579" s="8" t="s">
        <v>2401</v>
      </c>
      <c r="AG579" s="8"/>
      <c r="AH579" s="47"/>
      <c r="AI579" s="47">
        <f>VLOOKUP(B579,'Components Usage'!A$2:C$603,3,FALSE)</f>
        <v>6</v>
      </c>
      <c r="AJ579" s="28" t="s">
        <v>2401</v>
      </c>
    </row>
    <row r="580" spans="1:36" x14ac:dyDescent="0.25">
      <c r="A580" s="16" t="str">
        <f>'Components Data Source'!A580</f>
        <v>Simulation LED Template</v>
      </c>
      <c r="B580" s="8" t="str">
        <f>'Components Data Source'!B580</f>
        <v>1BDD06A6-FC18-4990-917D-004C430F855E</v>
      </c>
      <c r="C580" s="8" t="str">
        <f>'Components Data Source'!C580</f>
        <v>sim_led_base.fcpx</v>
      </c>
      <c r="D580" s="8" t="str">
        <f>'Components Data Source'!D580</f>
        <v>Components\IO_Source\outputs\LED_Sim_Base.fcfx</v>
      </c>
      <c r="E580" s="8" t="str">
        <f>'Components Data Source'!E580</f>
        <v>FREE</v>
      </c>
      <c r="F580" s="8" t="str">
        <f>'Components Data Source'!F580</f>
        <v>INDICATORS</v>
      </c>
      <c r="G580" s="8">
        <f>'Components Data Source'!G580</f>
        <v>0</v>
      </c>
      <c r="H580" s="8">
        <f>'Components Data Source'!H580</f>
        <v>0</v>
      </c>
      <c r="I580" s="8">
        <f>'Components Data Source'!I580</f>
        <v>0</v>
      </c>
      <c r="J580" s="8">
        <f>'Components Data Source'!J580</f>
        <v>1</v>
      </c>
      <c r="K580" s="8">
        <f>'Components Data Source'!K580</f>
        <v>1</v>
      </c>
      <c r="L580" s="8">
        <f>'Components Data Source'!L580</f>
        <v>1</v>
      </c>
      <c r="M580" s="8" t="s">
        <v>1727</v>
      </c>
      <c r="N580" s="17" t="str">
        <f>HYPERLINK('Components Data Source'!M580)</f>
        <v>https://www.flowcode.co.uk/wiki/index.php?title=Component:_ID_1bdd06a6_fc18_4990_917d_004c430f855e</v>
      </c>
      <c r="O580" s="8" t="s">
        <v>1721</v>
      </c>
      <c r="P580" s="8"/>
      <c r="Q580" s="8" t="str">
        <f t="shared" si="20"/>
        <v/>
      </c>
      <c r="R580" s="8" t="s">
        <v>1721</v>
      </c>
      <c r="S580" s="8" t="s">
        <v>1721</v>
      </c>
      <c r="T580" s="8" t="s">
        <v>1727</v>
      </c>
      <c r="U580" s="8" t="s">
        <v>2568</v>
      </c>
      <c r="V580" s="8" t="s">
        <v>1731</v>
      </c>
      <c r="W580" s="8" t="s">
        <v>1731</v>
      </c>
      <c r="X580" s="8" t="s">
        <v>1721</v>
      </c>
      <c r="Y580" s="8" t="s">
        <v>2474</v>
      </c>
      <c r="Z580" s="18">
        <f t="shared" si="19"/>
        <v>0</v>
      </c>
      <c r="AA580" s="8" t="s">
        <v>1721</v>
      </c>
      <c r="AB580" s="7" t="s">
        <v>2583</v>
      </c>
      <c r="AC580" s="7"/>
      <c r="AD580" s="8" t="s">
        <v>1721</v>
      </c>
      <c r="AE580" s="8" t="s">
        <v>2401</v>
      </c>
      <c r="AF580" s="8" t="s">
        <v>2401</v>
      </c>
      <c r="AG580" s="8"/>
      <c r="AH580" s="47"/>
      <c r="AI580" s="47">
        <f>VLOOKUP(B580,'Components Usage'!A$2:C$603,3,FALSE)</f>
        <v>0</v>
      </c>
      <c r="AJ580" s="28" t="s">
        <v>2401</v>
      </c>
    </row>
    <row r="581" spans="1:36" x14ac:dyDescent="0.25">
      <c r="A581" s="16" t="str">
        <f>'Components Data Source'!A581</f>
        <v>Simulation Switch Template</v>
      </c>
      <c r="B581" s="8" t="str">
        <f>'Components Data Source'!B581</f>
        <v>3BDCB2E0-ED44-451F-9889-66F316359482</v>
      </c>
      <c r="C581" s="8" t="str">
        <f>'Components Data Source'!C581</f>
        <v>sim_switch.fcpx</v>
      </c>
      <c r="D581" s="8" t="str">
        <f>'Components Data Source'!D581</f>
        <v>Components\IO_Source\sim_switch_base.fcfx</v>
      </c>
      <c r="E581" s="8" t="str">
        <f>'Components Data Source'!E581</f>
        <v>FREE</v>
      </c>
      <c r="F581" s="8" t="str">
        <f>'Components Data Source'!F581</f>
        <v>CONTROLS</v>
      </c>
      <c r="G581" s="8" t="str">
        <f>'Components Data Source'!G581</f>
        <v xml:space="preserve">CONTROLS </v>
      </c>
      <c r="H581" s="8">
        <f>'Components Data Source'!H581</f>
        <v>0</v>
      </c>
      <c r="I581" s="8">
        <f>'Components Data Source'!I581</f>
        <v>0</v>
      </c>
      <c r="J581" s="8">
        <f>'Components Data Source'!J581</f>
        <v>1</v>
      </c>
      <c r="K581" s="8">
        <f>'Components Data Source'!K581</f>
        <v>1</v>
      </c>
      <c r="L581" s="8">
        <f>'Components Data Source'!L581</f>
        <v>1</v>
      </c>
      <c r="M581" s="8" t="s">
        <v>1727</v>
      </c>
      <c r="N581" s="17" t="str">
        <f>HYPERLINK('Components Data Source'!M581)</f>
        <v>https://www.flowcode.co.uk/wiki/index.php?title=Component:_ID_3bdcb2e0_ed44_451f_9889_66f316359482</v>
      </c>
      <c r="O581" s="8" t="s">
        <v>1721</v>
      </c>
      <c r="P581" s="8"/>
      <c r="Q581" s="8" t="str">
        <f t="shared" si="20"/>
        <v/>
      </c>
      <c r="R581" s="8" t="s">
        <v>1727</v>
      </c>
      <c r="S581" s="8"/>
      <c r="T581" s="8"/>
      <c r="U581" s="8"/>
      <c r="V581" s="8" t="s">
        <v>1730</v>
      </c>
      <c r="W581" s="8" t="s">
        <v>1730</v>
      </c>
      <c r="X581" s="8"/>
      <c r="Y581" s="8"/>
      <c r="Z581" s="18">
        <f t="shared" si="19"/>
        <v>2</v>
      </c>
      <c r="AA581" s="8"/>
      <c r="AB581" s="7" t="s">
        <v>2586</v>
      </c>
      <c r="AC581" s="7"/>
      <c r="AD581" s="8" t="s">
        <v>1721</v>
      </c>
      <c r="AE581" s="8" t="s">
        <v>2401</v>
      </c>
      <c r="AF581" s="8" t="s">
        <v>2401</v>
      </c>
      <c r="AG581" s="8"/>
      <c r="AH581" s="47"/>
      <c r="AI581" s="47">
        <f>VLOOKUP(B581,'Components Usage'!A$2:C$603,3,FALSE)</f>
        <v>2</v>
      </c>
      <c r="AJ581" s="28" t="s">
        <v>2401</v>
      </c>
    </row>
    <row r="582" spans="1:36" hidden="1" x14ac:dyDescent="0.25">
      <c r="A582" s="16" t="str">
        <f>'Components Data Source'!A582</f>
        <v>Potentiometer (Slider)</v>
      </c>
      <c r="B582" s="8" t="str">
        <f>'Components Data Source'!B582</f>
        <v>1A8C2BB7-8BED-4A1C-9186-BA24688C8840</v>
      </c>
      <c r="C582" s="8" t="str">
        <f>'Components Data Source'!C582</f>
        <v>slider_plastic.fcpx</v>
      </c>
      <c r="D582" s="8" t="str">
        <f>'Components Data Source'!D582</f>
        <v>Components\IO_Source\adc\pot_Slider.fcfx</v>
      </c>
      <c r="E582" s="8" t="str">
        <f>'Components Data Source'!E582</f>
        <v>BASICIO</v>
      </c>
      <c r="F582" s="8">
        <f>'Components Data Source'!F582</f>
        <v>0</v>
      </c>
      <c r="G582" s="8">
        <f>'Components Data Source'!G582</f>
        <v>0</v>
      </c>
      <c r="H582" s="8">
        <f>'Components Data Source'!H582</f>
        <v>0</v>
      </c>
      <c r="I582" s="8">
        <f>'Components Data Source'!I582</f>
        <v>0</v>
      </c>
      <c r="J582" s="8">
        <f>'Components Data Source'!J582</f>
        <v>1</v>
      </c>
      <c r="K582" s="8">
        <f>'Components Data Source'!K582</f>
        <v>1</v>
      </c>
      <c r="L582" s="8">
        <f>'Components Data Source'!L582</f>
        <v>0</v>
      </c>
      <c r="M582" s="8" t="s">
        <v>1727</v>
      </c>
      <c r="N582" s="17" t="str">
        <f>HYPERLINK('Components Data Source'!M582)</f>
        <v>https://www.flowcode.co.uk/wiki/index.php?title=Component:_ID_1a8c2bb7_8bed_4a1c_9186_ba24688c8840</v>
      </c>
      <c r="O582" s="8" t="s">
        <v>1721</v>
      </c>
      <c r="P582" s="8"/>
      <c r="Q582" s="8" t="str">
        <f t="shared" si="20"/>
        <v/>
      </c>
      <c r="R582" s="8" t="s">
        <v>1727</v>
      </c>
      <c r="S582" s="8" t="s">
        <v>1727</v>
      </c>
      <c r="T582" s="8"/>
      <c r="U582" s="8"/>
      <c r="V582" s="8" t="s">
        <v>1730</v>
      </c>
      <c r="W582" s="8" t="s">
        <v>1730</v>
      </c>
      <c r="X582" s="8"/>
      <c r="Y582" s="8"/>
      <c r="Z582" s="18">
        <f t="shared" si="19"/>
        <v>2</v>
      </c>
      <c r="AA582" s="8"/>
      <c r="AB582" s="7"/>
      <c r="AC582" s="7"/>
      <c r="AD582" s="8" t="s">
        <v>1721</v>
      </c>
      <c r="AE582" s="8" t="s">
        <v>1721</v>
      </c>
      <c r="AF582" s="8" t="s">
        <v>2401</v>
      </c>
      <c r="AG582" s="8" t="s">
        <v>1721</v>
      </c>
      <c r="AH582" s="47"/>
      <c r="AI582" s="47">
        <f>VLOOKUP(B582,'Components Usage'!A$2:C$603,3,FALSE)</f>
        <v>169</v>
      </c>
      <c r="AJ582" s="28" t="s">
        <v>2401</v>
      </c>
    </row>
    <row r="583" spans="1:36" hidden="1" x14ac:dyDescent="0.25">
      <c r="A583" s="16" t="str">
        <f>'Components Data Source'!A583</f>
        <v>Solenoid Template</v>
      </c>
      <c r="B583" s="8" t="str">
        <f>'Components Data Source'!B583</f>
        <v>EB1DB17A-1C6C-44EF-84D0-D718549343C4</v>
      </c>
      <c r="C583" s="8" t="str">
        <f>'Components Data Source'!C583</f>
        <v>solenoid_base.fcpx</v>
      </c>
      <c r="D583" s="8" t="str">
        <f>'Components Data Source'!D583</f>
        <v>Components\IO_Source\mechatronics\solenoid_base.fcfx</v>
      </c>
      <c r="E583" s="8" t="str">
        <f>'Components Data Source'!E583</f>
        <v>MECHATRONICS</v>
      </c>
      <c r="F583" s="8" t="str">
        <f>'Components Data Source'!F583</f>
        <v>MECHATRONICS</v>
      </c>
      <c r="G583" s="8">
        <f>'Components Data Source'!G583</f>
        <v>0</v>
      </c>
      <c r="H583" s="8">
        <f>'Components Data Source'!H583</f>
        <v>0</v>
      </c>
      <c r="I583" s="8">
        <f>'Components Data Source'!I583</f>
        <v>0</v>
      </c>
      <c r="J583" s="8">
        <f>'Components Data Source'!J583</f>
        <v>1</v>
      </c>
      <c r="K583" s="8">
        <f>'Components Data Source'!K583</f>
        <v>1</v>
      </c>
      <c r="L583" s="8">
        <f>'Components Data Source'!L583</f>
        <v>0</v>
      </c>
      <c r="M583" s="8" t="s">
        <v>1727</v>
      </c>
      <c r="N583" s="17" t="str">
        <f>HYPERLINK('Components Data Source'!M583)</f>
        <v>https://www.flowcode.co.uk/wiki/index.php?title=Component:_ID_eb1db17a_1c6c_44ef_84d0_d718549343c4</v>
      </c>
      <c r="O583" s="8" t="s">
        <v>1721</v>
      </c>
      <c r="P583" s="8"/>
      <c r="Q583" s="8" t="str">
        <f t="shared" si="20"/>
        <v/>
      </c>
      <c r="R583" s="8" t="s">
        <v>1727</v>
      </c>
      <c r="S583" s="8"/>
      <c r="T583" s="8"/>
      <c r="U583" s="8"/>
      <c r="V583" s="8" t="s">
        <v>1730</v>
      </c>
      <c r="W583" s="8" t="s">
        <v>1730</v>
      </c>
      <c r="X583" s="8"/>
      <c r="Y583" s="8"/>
      <c r="Z583" s="18">
        <f t="shared" si="19"/>
        <v>2</v>
      </c>
      <c r="AA583" s="8"/>
      <c r="AB583" s="7"/>
      <c r="AC583" s="7"/>
      <c r="AD583" s="8" t="s">
        <v>1721</v>
      </c>
      <c r="AE583" s="8" t="s">
        <v>2401</v>
      </c>
      <c r="AF583" s="8" t="s">
        <v>1721</v>
      </c>
      <c r="AG583" s="8"/>
      <c r="AH583" s="47"/>
      <c r="AI583" s="47">
        <f>VLOOKUP(B583,'Components Usage'!A$2:C$603,3,FALSE)</f>
        <v>0</v>
      </c>
      <c r="AJ583" s="28" t="s">
        <v>2401</v>
      </c>
    </row>
    <row r="584" spans="1:36" hidden="1" x14ac:dyDescent="0.25">
      <c r="A584" s="16" t="str">
        <f>'Components Data Source'!A584</f>
        <v>Solenoid DC</v>
      </c>
      <c r="B584" s="8" t="str">
        <f>'Components Data Source'!B584</f>
        <v>1AC8AE8B-BCD2-493F-B516-36DACB3695F9</v>
      </c>
      <c r="C584" s="8" t="str">
        <f>'Components Data Source'!C584</f>
        <v>solenoid_dc1.fcpx</v>
      </c>
      <c r="D584" s="8" t="str">
        <f>'Components Data Source'!D584</f>
        <v>Components\IO_Source\mechatronics\Solenoid DC.fcfx</v>
      </c>
      <c r="E584" s="8" t="str">
        <f>'Components Data Source'!E584</f>
        <v>MECHATRONICS</v>
      </c>
      <c r="F584" s="8">
        <f>'Components Data Source'!F584</f>
        <v>0</v>
      </c>
      <c r="G584" s="8">
        <f>'Components Data Source'!G584</f>
        <v>0</v>
      </c>
      <c r="H584" s="8">
        <f>'Components Data Source'!H584</f>
        <v>0</v>
      </c>
      <c r="I584" s="8">
        <f>'Components Data Source'!I584</f>
        <v>0</v>
      </c>
      <c r="J584" s="8">
        <f>'Components Data Source'!J584</f>
        <v>1</v>
      </c>
      <c r="K584" s="8">
        <f>'Components Data Source'!K584</f>
        <v>1</v>
      </c>
      <c r="L584" s="8">
        <f>'Components Data Source'!L584</f>
        <v>0</v>
      </c>
      <c r="M584" s="8" t="s">
        <v>1727</v>
      </c>
      <c r="N584" s="17" t="str">
        <f>HYPERLINK('Components Data Source'!M584)</f>
        <v>https://www.flowcode.co.uk/wiki/index.php?title=Component:_ID_1ac8ae8b_bcd2_493f_b516_36dacb3695f9</v>
      </c>
      <c r="O584" s="8" t="s">
        <v>1721</v>
      </c>
      <c r="P584" s="8"/>
      <c r="Q584" s="8" t="str">
        <f t="shared" si="20"/>
        <v/>
      </c>
      <c r="R584" s="8" t="s">
        <v>1727</v>
      </c>
      <c r="S584" s="8" t="s">
        <v>1727</v>
      </c>
      <c r="T584" s="8"/>
      <c r="U584" s="8"/>
      <c r="V584" s="8" t="s">
        <v>1730</v>
      </c>
      <c r="W584" s="8" t="s">
        <v>1730</v>
      </c>
      <c r="X584" s="8"/>
      <c r="Y584" s="8"/>
      <c r="Z584" s="18">
        <f t="shared" si="19"/>
        <v>2</v>
      </c>
      <c r="AA584" s="8"/>
      <c r="AB584" s="7"/>
      <c r="AC584" s="7"/>
      <c r="AD584" s="8" t="s">
        <v>1721</v>
      </c>
      <c r="AE584" s="8" t="s">
        <v>2401</v>
      </c>
      <c r="AF584" s="8" t="s">
        <v>1721</v>
      </c>
      <c r="AG584" s="8"/>
      <c r="AH584" s="47"/>
      <c r="AI584" s="47">
        <f>VLOOKUP(B584,'Components Usage'!A$2:C$603,3,FALSE)</f>
        <v>12</v>
      </c>
      <c r="AJ584" s="28" t="s">
        <v>2401</v>
      </c>
    </row>
    <row r="585" spans="1:36" hidden="1" x14ac:dyDescent="0.25">
      <c r="A585" s="16" t="str">
        <f>'Components Data Source'!A585</f>
        <v>Servo Motor (Standard)</v>
      </c>
      <c r="B585" s="8" t="str">
        <f>'Components Data Source'!B585</f>
        <v>CC031290-2255-4E8D-B382-1998C8DDA95A</v>
      </c>
      <c r="C585" s="8" t="str">
        <f>'Components Data Source'!C585</f>
        <v>standard_servo.fcpx</v>
      </c>
      <c r="D585" s="8" t="str">
        <f>'Components Data Source'!D585</f>
        <v>Components\IO_Source\mechatronics\Standard Servo.fcfx</v>
      </c>
      <c r="E585" s="8" t="str">
        <f>'Components Data Source'!E585</f>
        <v>MECHATRONICS</v>
      </c>
      <c r="F585" s="8">
        <f>'Components Data Source'!F585</f>
        <v>0</v>
      </c>
      <c r="G585" s="8">
        <f>'Components Data Source'!G585</f>
        <v>0</v>
      </c>
      <c r="H585" s="8">
        <f>'Components Data Source'!H585</f>
        <v>0</v>
      </c>
      <c r="I585" s="8">
        <f>'Components Data Source'!I585</f>
        <v>0</v>
      </c>
      <c r="J585" s="8">
        <f>'Components Data Source'!J585</f>
        <v>1</v>
      </c>
      <c r="K585" s="8">
        <f>'Components Data Source'!K585</f>
        <v>1</v>
      </c>
      <c r="L585" s="8">
        <f>'Components Data Source'!L585</f>
        <v>0</v>
      </c>
      <c r="M585" s="8" t="s">
        <v>1727</v>
      </c>
      <c r="N585" s="17" t="str">
        <f>HYPERLINK('Components Data Source'!M585)</f>
        <v>https://www.flowcode.co.uk/wiki/index.php?title=Component:_ID_cc031290_2255_4e8d_b382_1998c8dda95a</v>
      </c>
      <c r="O585" s="8" t="s">
        <v>1721</v>
      </c>
      <c r="P585" s="8"/>
      <c r="Q585" s="8" t="str">
        <f t="shared" si="20"/>
        <v/>
      </c>
      <c r="R585" s="8" t="s">
        <v>1727</v>
      </c>
      <c r="S585" s="8" t="s">
        <v>1727</v>
      </c>
      <c r="T585" s="8"/>
      <c r="U585" s="8"/>
      <c r="V585" s="8" t="s">
        <v>1730</v>
      </c>
      <c r="W585" s="8" t="s">
        <v>1730</v>
      </c>
      <c r="X585" s="8"/>
      <c r="Y585" s="8"/>
      <c r="Z585" s="18">
        <f t="shared" si="19"/>
        <v>2</v>
      </c>
      <c r="AA585" s="8"/>
      <c r="AB585" s="7"/>
      <c r="AC585" s="7"/>
      <c r="AD585" s="8" t="s">
        <v>1721</v>
      </c>
      <c r="AE585" s="8" t="s">
        <v>1721</v>
      </c>
      <c r="AF585" s="8" t="s">
        <v>2401</v>
      </c>
      <c r="AG585" s="8" t="s">
        <v>1721</v>
      </c>
      <c r="AH585" s="47" t="s">
        <v>3647</v>
      </c>
      <c r="AI585" s="47">
        <f>VLOOKUP(B585,'Components Usage'!A$2:C$603,3,FALSE)</f>
        <v>139</v>
      </c>
      <c r="AJ585" s="28" t="s">
        <v>2401</v>
      </c>
    </row>
    <row r="586" spans="1:36" hidden="1" x14ac:dyDescent="0.25">
      <c r="A586" s="16" t="str">
        <f>'Components Data Source'!A586</f>
        <v>Stepper Motor Template</v>
      </c>
      <c r="B586" s="8" t="str">
        <f>'Components Data Source'!B586</f>
        <v>FAF668B1-A0E6-426F-B1EF-9D4F8E54D784</v>
      </c>
      <c r="C586" s="8" t="str">
        <f>'Components Data Source'!C586</f>
        <v>stepper_base.fcpx</v>
      </c>
      <c r="D586" s="8" t="str">
        <f>'Components Data Source'!D586</f>
        <v>Components\IO_Source\mechatronics\Stepper Motor Base.fcfx</v>
      </c>
      <c r="E586" s="8" t="str">
        <f>'Components Data Source'!E586</f>
        <v>MECHATRONICS</v>
      </c>
      <c r="F586" s="8" t="str">
        <f>'Components Data Source'!F586</f>
        <v>MECHATRONICS</v>
      </c>
      <c r="G586" s="8">
        <f>'Components Data Source'!G586</f>
        <v>0</v>
      </c>
      <c r="H586" s="8">
        <f>'Components Data Source'!H586</f>
        <v>0</v>
      </c>
      <c r="I586" s="8">
        <f>'Components Data Source'!I586</f>
        <v>0</v>
      </c>
      <c r="J586" s="8">
        <f>'Components Data Source'!J586</f>
        <v>1</v>
      </c>
      <c r="K586" s="8">
        <f>'Components Data Source'!K586</f>
        <v>1</v>
      </c>
      <c r="L586" s="8">
        <f>'Components Data Source'!L586</f>
        <v>0</v>
      </c>
      <c r="M586" s="8" t="s">
        <v>1727</v>
      </c>
      <c r="N586" s="17" t="str">
        <f>HYPERLINK('Components Data Source'!M586)</f>
        <v>https://www.flowcode.co.uk/wiki/index.php?title=Component:_ID_faf668b1_a0e6_426f_b1ef_9d4f8e54d784</v>
      </c>
      <c r="O586" s="8" t="s">
        <v>1721</v>
      </c>
      <c r="P586" s="8" t="s">
        <v>2776</v>
      </c>
      <c r="Q586" s="8" t="str">
        <f t="shared" si="20"/>
        <v/>
      </c>
      <c r="R586" s="8" t="s">
        <v>1721</v>
      </c>
      <c r="S586" s="8" t="s">
        <v>1721</v>
      </c>
      <c r="T586" s="8" t="s">
        <v>1727</v>
      </c>
      <c r="U586" s="8" t="s">
        <v>2568</v>
      </c>
      <c r="V586" s="8" t="s">
        <v>1731</v>
      </c>
      <c r="W586" s="8" t="s">
        <v>1731</v>
      </c>
      <c r="X586" s="8" t="s">
        <v>1721</v>
      </c>
      <c r="Y586" s="8" t="s">
        <v>1721</v>
      </c>
      <c r="Z586" s="18">
        <f t="shared" si="19"/>
        <v>1</v>
      </c>
      <c r="AA586" s="8"/>
      <c r="AB586" s="7"/>
      <c r="AC586" s="7"/>
      <c r="AD586" s="8" t="s">
        <v>1721</v>
      </c>
      <c r="AE586" s="8" t="s">
        <v>1721</v>
      </c>
      <c r="AF586" s="8" t="s">
        <v>1727</v>
      </c>
      <c r="AG586" s="8"/>
      <c r="AH586" s="47"/>
      <c r="AI586" s="47">
        <f>VLOOKUP(B586,'Components Usage'!A$2:C$603,3,FALSE)</f>
        <v>0</v>
      </c>
      <c r="AJ586" s="28" t="s">
        <v>2401</v>
      </c>
    </row>
    <row r="587" spans="1:36" hidden="1" x14ac:dyDescent="0.25">
      <c r="A587" s="16" t="str">
        <f>'Components Data Source'!A587</f>
        <v>Stepper Motor (Generic)</v>
      </c>
      <c r="B587" s="8" t="str">
        <f>'Components Data Source'!B587</f>
        <v>CFD176DC-A2C1-4DAD-AC45-117781624C82</v>
      </c>
      <c r="C587" s="8" t="str">
        <f>'Components Data Source'!C587</f>
        <v>stepper_generic.fcpx</v>
      </c>
      <c r="D587" s="8" t="str">
        <f>'Components Data Source'!D587</f>
        <v>Components\IO_Source\mechatronics\Stepper Motor Generic.fcfx</v>
      </c>
      <c r="E587" s="8" t="str">
        <f>'Components Data Source'!E587</f>
        <v>MECHATRONICS</v>
      </c>
      <c r="F587" s="8">
        <f>'Components Data Source'!F587</f>
        <v>0</v>
      </c>
      <c r="G587" s="8">
        <f>'Components Data Source'!G587</f>
        <v>0</v>
      </c>
      <c r="H587" s="8">
        <f>'Components Data Source'!H587</f>
        <v>0</v>
      </c>
      <c r="I587" s="8">
        <f>'Components Data Source'!I587</f>
        <v>0</v>
      </c>
      <c r="J587" s="8">
        <f>'Components Data Source'!J587</f>
        <v>1</v>
      </c>
      <c r="K587" s="8">
        <f>'Components Data Source'!K587</f>
        <v>1</v>
      </c>
      <c r="L587" s="8">
        <f>'Components Data Source'!L587</f>
        <v>0</v>
      </c>
      <c r="M587" s="8" t="s">
        <v>1727</v>
      </c>
      <c r="N587" s="17" t="str">
        <f>HYPERLINK('Components Data Source'!M587)</f>
        <v>https://www.flowcode.co.uk/wiki/index.php?title=Component:_ID_cfd176dc_a2c1_4dad_ac45_117781624c82</v>
      </c>
      <c r="O587" s="8" t="s">
        <v>1721</v>
      </c>
      <c r="P587" s="8"/>
      <c r="Q587" s="8" t="str">
        <f t="shared" si="20"/>
        <v/>
      </c>
      <c r="R587" s="8" t="s">
        <v>1727</v>
      </c>
      <c r="S587" s="8" t="s">
        <v>1727</v>
      </c>
      <c r="T587" s="8"/>
      <c r="U587" s="8"/>
      <c r="V587" s="8" t="s">
        <v>1730</v>
      </c>
      <c r="W587" s="8" t="s">
        <v>1730</v>
      </c>
      <c r="X587" s="8"/>
      <c r="Y587" s="8"/>
      <c r="Z587" s="18">
        <f t="shared" si="19"/>
        <v>2</v>
      </c>
      <c r="AA587" s="8"/>
      <c r="AB587" s="7"/>
      <c r="AC587" s="7"/>
      <c r="AD587" s="8" t="s">
        <v>1721</v>
      </c>
      <c r="AE587" s="8" t="s">
        <v>1721</v>
      </c>
      <c r="AF587" s="8" t="s">
        <v>1727</v>
      </c>
      <c r="AG587" s="8" t="s">
        <v>1721</v>
      </c>
      <c r="AH587" s="47"/>
      <c r="AI587" s="47">
        <f>VLOOKUP(B587,'Components Usage'!A$2:C$603,3,FALSE)</f>
        <v>113</v>
      </c>
      <c r="AJ587" s="28" t="s">
        <v>2401</v>
      </c>
    </row>
    <row r="588" spans="1:36" hidden="1" x14ac:dyDescent="0.25">
      <c r="A588" s="16" t="str">
        <f>'Components Data Source'!A588</f>
        <v>Stepper Motor (NEMA8)</v>
      </c>
      <c r="B588" s="8" t="str">
        <f>'Components Data Source'!B588</f>
        <v>23F522D8-3986-4482-A2DD-EAC5E407C0D6</v>
      </c>
      <c r="C588" s="8" t="str">
        <f>'Components Data Source'!C588</f>
        <v>stepper_nema8.fcpx</v>
      </c>
      <c r="D588" s="8" t="str">
        <f>'Components Data Source'!D588</f>
        <v>Components\IO_Source\mechatronics\Stepper Motor NEMA8.fcfx</v>
      </c>
      <c r="E588" s="8" t="str">
        <f>'Components Data Source'!E588</f>
        <v>MECHATRONICS</v>
      </c>
      <c r="F588" s="8">
        <f>'Components Data Source'!F588</f>
        <v>0</v>
      </c>
      <c r="G588" s="8">
        <f>'Components Data Source'!G588</f>
        <v>0</v>
      </c>
      <c r="H588" s="8">
        <f>'Components Data Source'!H588</f>
        <v>0</v>
      </c>
      <c r="I588" s="8">
        <f>'Components Data Source'!I588</f>
        <v>0</v>
      </c>
      <c r="J588" s="8">
        <f>'Components Data Source'!J588</f>
        <v>1</v>
      </c>
      <c r="K588" s="8">
        <f>'Components Data Source'!K588</f>
        <v>1</v>
      </c>
      <c r="L588" s="8">
        <f>'Components Data Source'!L588</f>
        <v>0</v>
      </c>
      <c r="M588" s="8" t="s">
        <v>1727</v>
      </c>
      <c r="N588" s="17" t="str">
        <f>HYPERLINK('Components Data Source'!M588)</f>
        <v>https://www.flowcode.co.uk/wiki/index.php?title=Component:_ID_23f522d8_3986_4482_a2dd_eac5e407c0d6</v>
      </c>
      <c r="O588" s="8" t="s">
        <v>1721</v>
      </c>
      <c r="P588" s="8"/>
      <c r="Q588" s="8" t="str">
        <f t="shared" si="20"/>
        <v/>
      </c>
      <c r="R588" s="8" t="s">
        <v>1727</v>
      </c>
      <c r="S588" s="8" t="s">
        <v>1727</v>
      </c>
      <c r="T588" s="8"/>
      <c r="U588" s="8"/>
      <c r="V588" s="8" t="s">
        <v>1730</v>
      </c>
      <c r="W588" s="8" t="s">
        <v>1730</v>
      </c>
      <c r="X588" s="8"/>
      <c r="Y588" s="8"/>
      <c r="Z588" s="18">
        <f t="shared" si="19"/>
        <v>2</v>
      </c>
      <c r="AA588" s="8"/>
      <c r="AB588" s="7"/>
      <c r="AC588" s="7"/>
      <c r="AD588" s="8" t="s">
        <v>1721</v>
      </c>
      <c r="AE588" s="8" t="s">
        <v>1721</v>
      </c>
      <c r="AF588" s="8" t="s">
        <v>1727</v>
      </c>
      <c r="AG588" s="8"/>
      <c r="AH588" s="47"/>
      <c r="AI588" s="47">
        <f>VLOOKUP(B588,'Components Usage'!A$2:C$603,3,FALSE)</f>
        <v>17</v>
      </c>
      <c r="AJ588" s="28" t="s">
        <v>2401</v>
      </c>
    </row>
    <row r="589" spans="1:36" hidden="1" x14ac:dyDescent="0.25">
      <c r="A589" s="16" t="str">
        <f>'Components Data Source'!A589</f>
        <v>Switch (Microswitch)</v>
      </c>
      <c r="B589" s="8" t="str">
        <f>'Components Data Source'!B589</f>
        <v>6F2C4205-6A87-46BA-A8B4-8C869E144FCD</v>
      </c>
      <c r="C589" s="8" t="str">
        <f>'Components Data Source'!C589</f>
        <v>sw_micro_roller.fcpx</v>
      </c>
      <c r="D589" s="8" t="str">
        <f>'Components Data Source'!D589</f>
        <v>Components\IO_Source\Collisions\sw_micro_roller.fcfx</v>
      </c>
      <c r="E589" s="8" t="str">
        <f>'Components Data Source'!E589</f>
        <v>SENSORS</v>
      </c>
      <c r="F589" s="8" t="str">
        <f>'Components Data Source'!F589</f>
        <v>SWITCH</v>
      </c>
      <c r="G589" s="8">
        <f>'Components Data Source'!G589</f>
        <v>0</v>
      </c>
      <c r="H589" s="8">
        <f>'Components Data Source'!H589</f>
        <v>0</v>
      </c>
      <c r="I589" s="8">
        <f>'Components Data Source'!I589</f>
        <v>0</v>
      </c>
      <c r="J589" s="8">
        <f>'Components Data Source'!J589</f>
        <v>1</v>
      </c>
      <c r="K589" s="8">
        <f>'Components Data Source'!K589</f>
        <v>1</v>
      </c>
      <c r="L589" s="8">
        <f>'Components Data Source'!L589</f>
        <v>0</v>
      </c>
      <c r="M589" s="8" t="s">
        <v>1727</v>
      </c>
      <c r="N589" s="17" t="str">
        <f>HYPERLINK('Components Data Source'!M589)</f>
        <v>https://www.flowcode.co.uk/wiki/index.php?title=Component:_ID_6f2c4205_6a87_46ba_a8b4_8c869e144fcd</v>
      </c>
      <c r="O589" s="8" t="s">
        <v>1721</v>
      </c>
      <c r="P589" s="8"/>
      <c r="Q589" s="8" t="str">
        <f t="shared" si="20"/>
        <v/>
      </c>
      <c r="R589" s="8" t="s">
        <v>1727</v>
      </c>
      <c r="S589" s="8" t="s">
        <v>1727</v>
      </c>
      <c r="T589" s="8"/>
      <c r="U589" s="8"/>
      <c r="V589" s="8" t="s">
        <v>1730</v>
      </c>
      <c r="W589" s="8" t="s">
        <v>1730</v>
      </c>
      <c r="X589" s="8"/>
      <c r="Y589" s="8"/>
      <c r="Z589" s="18">
        <f t="shared" si="19"/>
        <v>2</v>
      </c>
      <c r="AA589" s="8"/>
      <c r="AB589" s="7"/>
      <c r="AC589" s="7"/>
      <c r="AD589" s="8" t="s">
        <v>1721</v>
      </c>
      <c r="AE589" s="8" t="s">
        <v>1721</v>
      </c>
      <c r="AF589" s="8" t="s">
        <v>1727</v>
      </c>
      <c r="AG589" s="8"/>
      <c r="AH589" s="47"/>
      <c r="AI589" s="47">
        <f>VLOOKUP(B589,'Components Usage'!A$2:C$603,3,FALSE)</f>
        <v>13</v>
      </c>
      <c r="AJ589" s="28" t="s">
        <v>2401</v>
      </c>
    </row>
    <row r="590" spans="1:36" x14ac:dyDescent="0.25">
      <c r="A590" s="16" t="str">
        <f>'Components Data Source'!A590</f>
        <v>Switch (Push PCB SMT)</v>
      </c>
      <c r="B590" s="8" t="str">
        <f>'Components Data Source'!B590</f>
        <v>26732594-AD79-472F-80FF-95D365B3B252</v>
      </c>
      <c r="C590" s="8" t="str">
        <f>'Components Data Source'!C590</f>
        <v>sw_push_pcb.fcpx</v>
      </c>
      <c r="D590" s="8" t="str">
        <f>'Components Data Source'!D590</f>
        <v>Components\IO_Source\switch\sw_push_pcb_smd.fcfx</v>
      </c>
      <c r="E590" s="8" t="str">
        <f>'Components Data Source'!E590</f>
        <v>FREE</v>
      </c>
      <c r="F590" s="8">
        <f>'Components Data Source'!F590</f>
        <v>0</v>
      </c>
      <c r="G590" s="8">
        <f>'Components Data Source'!G590</f>
        <v>0</v>
      </c>
      <c r="H590" s="8">
        <f>'Components Data Source'!H590</f>
        <v>0</v>
      </c>
      <c r="I590" s="8">
        <f>'Components Data Source'!I590</f>
        <v>0</v>
      </c>
      <c r="J590" s="8">
        <f>'Components Data Source'!J590</f>
        <v>1</v>
      </c>
      <c r="K590" s="8">
        <f>'Components Data Source'!K590</f>
        <v>0</v>
      </c>
      <c r="L590" s="8">
        <f>'Components Data Source'!L590</f>
        <v>0</v>
      </c>
      <c r="M590" s="8" t="s">
        <v>1727</v>
      </c>
      <c r="N590" s="17" t="str">
        <f>HYPERLINK('Components Data Source'!M590)</f>
        <v>https://www.flowcode.co.uk/wiki/index.php?title=Component:_ID_26732594_ad79_472f_80ff_95d365b3b252</v>
      </c>
      <c r="O590" s="8" t="s">
        <v>1721</v>
      </c>
      <c r="P590" s="8"/>
      <c r="Q590" s="8" t="str">
        <f t="shared" si="20"/>
        <v/>
      </c>
      <c r="R590" s="8" t="s">
        <v>1727</v>
      </c>
      <c r="S590" s="8" t="s">
        <v>1727</v>
      </c>
      <c r="T590" s="8"/>
      <c r="U590" s="8"/>
      <c r="V590" s="8" t="s">
        <v>1730</v>
      </c>
      <c r="W590" s="8" t="s">
        <v>1730</v>
      </c>
      <c r="X590" s="8"/>
      <c r="Y590" s="8"/>
      <c r="Z590" s="18">
        <f t="shared" si="19"/>
        <v>2</v>
      </c>
      <c r="AA590" s="8"/>
      <c r="AB590" s="7"/>
      <c r="AC590" s="7"/>
      <c r="AD590" s="8" t="s">
        <v>1721</v>
      </c>
      <c r="AE590" s="8" t="s">
        <v>1727</v>
      </c>
      <c r="AF590" s="8" t="s">
        <v>1721</v>
      </c>
      <c r="AG590" s="8" t="s">
        <v>1721</v>
      </c>
      <c r="AH590" s="47"/>
      <c r="AI590" s="47">
        <f>VLOOKUP(B590,'Components Usage'!A$2:C$603,3,FALSE)</f>
        <v>117</v>
      </c>
      <c r="AJ590" s="28" t="s">
        <v>2401</v>
      </c>
    </row>
    <row r="591" spans="1:36" x14ac:dyDescent="0.25">
      <c r="A591" s="16" t="str">
        <f>'Components Data Source'!A591</f>
        <v>Sim Switch (Push PCB SMT)</v>
      </c>
      <c r="B591" s="8" t="str">
        <f>'Components Data Source'!B591</f>
        <v>3E62CD96-C0E2-47A3-9FF2-CB448AD09ACF</v>
      </c>
      <c r="C591" s="8" t="str">
        <f>'Components Data Source'!C591</f>
        <v>sw_push_pcb_sim.fcpx</v>
      </c>
      <c r="D591" s="8" t="str">
        <f>'Components Data Source'!D591</f>
        <v>Components\IO_Source\switch\sw_push_pcb_smd_Sim.fcfx</v>
      </c>
      <c r="E591" s="8" t="str">
        <f>'Components Data Source'!E591</f>
        <v>FREE</v>
      </c>
      <c r="F591" s="8" t="str">
        <f>'Components Data Source'!F591</f>
        <v>MISC</v>
      </c>
      <c r="G591" s="8">
        <f>'Components Data Source'!G591</f>
        <v>0</v>
      </c>
      <c r="H591" s="8">
        <f>'Components Data Source'!H591</f>
        <v>0</v>
      </c>
      <c r="I591" s="8">
        <f>'Components Data Source'!I591</f>
        <v>0</v>
      </c>
      <c r="J591" s="8">
        <f>'Components Data Source'!J591</f>
        <v>1</v>
      </c>
      <c r="K591" s="8">
        <f>'Components Data Source'!K591</f>
        <v>1</v>
      </c>
      <c r="L591" s="8">
        <f>'Components Data Source'!L591</f>
        <v>0</v>
      </c>
      <c r="M591" s="8" t="s">
        <v>1727</v>
      </c>
      <c r="N591" s="17" t="str">
        <f>HYPERLINK('Components Data Source'!M591)</f>
        <v>https://www.flowcode.co.uk/wiki/index.php?title=Component:_ID_3e62cd96_c0e2_47a3_9ff2_cb448ad09acf</v>
      </c>
      <c r="O591" s="8" t="s">
        <v>1727</v>
      </c>
      <c r="P591" s="8" t="s">
        <v>2917</v>
      </c>
      <c r="Q591" s="8" t="str">
        <f t="shared" si="20"/>
        <v/>
      </c>
      <c r="R591" s="8" t="s">
        <v>1727</v>
      </c>
      <c r="S591" s="8" t="s">
        <v>1727</v>
      </c>
      <c r="T591" s="8"/>
      <c r="U591" s="8"/>
      <c r="V591" s="8" t="s">
        <v>1730</v>
      </c>
      <c r="W591" s="8" t="s">
        <v>1730</v>
      </c>
      <c r="X591" s="8"/>
      <c r="Y591" s="8"/>
      <c r="Z591" s="18">
        <f t="shared" si="19"/>
        <v>2</v>
      </c>
      <c r="AA591" s="8"/>
      <c r="AB591" s="7"/>
      <c r="AC591" s="7"/>
      <c r="AD591" s="8" t="s">
        <v>1727</v>
      </c>
      <c r="AE591" s="8"/>
      <c r="AF591" s="8"/>
      <c r="AG591" s="8"/>
      <c r="AH591" s="47"/>
      <c r="AI591" s="47">
        <f>VLOOKUP(B591,'Components Usage'!A$2:C$603,3,FALSE)</f>
        <v>0</v>
      </c>
      <c r="AJ591" s="28" t="s">
        <v>2401</v>
      </c>
    </row>
    <row r="592" spans="1:36" x14ac:dyDescent="0.25">
      <c r="A592" s="16" t="str">
        <f>'Components Data Source'!A592</f>
        <v>Switch (Push Panel)</v>
      </c>
      <c r="B592" s="8" t="str">
        <f>'Components Data Source'!B592</f>
        <v>5C1DA48F-CE54-4622-BDD9-FC812E373696</v>
      </c>
      <c r="C592" s="8" t="str">
        <f>'Components Data Source'!C592</f>
        <v>sw_push_rnd_pnl.fcpx</v>
      </c>
      <c r="D592" s="8" t="str">
        <f>'Components Data Source'!D592</f>
        <v>Components\IO_Source\switch\sw_push_rnd_pnl.fcfx</v>
      </c>
      <c r="E592" s="8" t="str">
        <f>'Components Data Source'!E592</f>
        <v>FREE</v>
      </c>
      <c r="F592" s="8">
        <f>'Components Data Source'!F592</f>
        <v>0</v>
      </c>
      <c r="G592" s="8">
        <f>'Components Data Source'!G592</f>
        <v>0</v>
      </c>
      <c r="H592" s="8">
        <f>'Components Data Source'!H592</f>
        <v>0</v>
      </c>
      <c r="I592" s="8">
        <f>'Components Data Source'!I592</f>
        <v>0</v>
      </c>
      <c r="J592" s="8">
        <f>'Components Data Source'!J592</f>
        <v>1</v>
      </c>
      <c r="K592" s="8">
        <f>'Components Data Source'!K592</f>
        <v>1</v>
      </c>
      <c r="L592" s="8">
        <f>'Components Data Source'!L592</f>
        <v>0</v>
      </c>
      <c r="M592" s="8" t="s">
        <v>1727</v>
      </c>
      <c r="N592" s="17" t="str">
        <f>HYPERLINK('Components Data Source'!M592)</f>
        <v>https://www.flowcode.co.uk/wiki/index.php?title=Component:_ID_5c1da48f_ce54_4622_bdd9_fc812e373696</v>
      </c>
      <c r="O592" s="8" t="s">
        <v>1721</v>
      </c>
      <c r="P592" s="8"/>
      <c r="Q592" s="8" t="str">
        <f t="shared" si="20"/>
        <v/>
      </c>
      <c r="R592" s="8" t="s">
        <v>1727</v>
      </c>
      <c r="S592" s="8" t="s">
        <v>1727</v>
      </c>
      <c r="T592" s="8"/>
      <c r="U592" s="8"/>
      <c r="V592" s="8" t="s">
        <v>1730</v>
      </c>
      <c r="W592" s="8" t="s">
        <v>1730</v>
      </c>
      <c r="X592" s="8"/>
      <c r="Y592" s="8"/>
      <c r="Z592" s="18">
        <f t="shared" si="19"/>
        <v>2</v>
      </c>
      <c r="AA592" s="8"/>
      <c r="AB592" s="7"/>
      <c r="AC592" s="7"/>
      <c r="AD592" s="8" t="s">
        <v>1721</v>
      </c>
      <c r="AE592" s="8" t="s">
        <v>1727</v>
      </c>
      <c r="AF592" s="8" t="s">
        <v>1721</v>
      </c>
      <c r="AG592" s="8" t="s">
        <v>1721</v>
      </c>
      <c r="AH592" s="47"/>
      <c r="AI592" s="47">
        <f>VLOOKUP(B592,'Components Usage'!A$2:C$603,3,FALSE)</f>
        <v>300</v>
      </c>
      <c r="AJ592" s="28" t="s">
        <v>2401</v>
      </c>
    </row>
    <row r="593" spans="1:36" hidden="1" x14ac:dyDescent="0.25">
      <c r="A593" s="16" t="str">
        <f>'Components Data Source'!A593</f>
        <v>Switch Illuminated (Push Panel)</v>
      </c>
      <c r="B593" s="8" t="str">
        <f>'Components Data Source'!B593</f>
        <v>B39FF9FD-430A-45DD-888A-07F1D83A9792</v>
      </c>
      <c r="C593" s="8" t="str">
        <f>'Components Data Source'!C593</f>
        <v>sw_push_rnd_pnl_illuminated.fcpx</v>
      </c>
      <c r="D593" s="8" t="str">
        <f>'Components Data Source'!D593</f>
        <v>Components\IO_Source\switch\sw_push_rnd_pnl_illuminated.fcfx</v>
      </c>
      <c r="E593" s="8" t="str">
        <f>'Components Data Source'!E593</f>
        <v>BASICIO</v>
      </c>
      <c r="F593" s="8">
        <f>'Components Data Source'!F593</f>
        <v>0</v>
      </c>
      <c r="G593" s="8">
        <f>'Components Data Source'!G593</f>
        <v>0</v>
      </c>
      <c r="H593" s="8">
        <f>'Components Data Source'!H593</f>
        <v>0</v>
      </c>
      <c r="I593" s="8">
        <f>'Components Data Source'!I593</f>
        <v>0</v>
      </c>
      <c r="J593" s="8">
        <f>'Components Data Source'!J593</f>
        <v>1</v>
      </c>
      <c r="K593" s="8">
        <f>'Components Data Source'!K593</f>
        <v>1</v>
      </c>
      <c r="L593" s="8">
        <f>'Components Data Source'!L593</f>
        <v>0</v>
      </c>
      <c r="M593" s="8" t="s">
        <v>1727</v>
      </c>
      <c r="N593" s="17" t="str">
        <f>HYPERLINK('Components Data Source'!M593)</f>
        <v>https://www.flowcode.co.uk/wiki/index.php?title=Component:_ID_b39ff9fd_430a_45dd_888a_07f1d83a9792</v>
      </c>
      <c r="O593" s="8" t="s">
        <v>1721</v>
      </c>
      <c r="P593" s="8"/>
      <c r="Q593" s="8" t="str">
        <f t="shared" si="20"/>
        <v/>
      </c>
      <c r="R593" s="8" t="s">
        <v>1727</v>
      </c>
      <c r="S593" s="8" t="s">
        <v>1727</v>
      </c>
      <c r="T593" s="8"/>
      <c r="U593" s="8"/>
      <c r="V593" s="8" t="s">
        <v>1730</v>
      </c>
      <c r="W593" s="8" t="s">
        <v>1730</v>
      </c>
      <c r="X593" s="8"/>
      <c r="Y593" s="8"/>
      <c r="Z593" s="18">
        <f t="shared" si="19"/>
        <v>2</v>
      </c>
      <c r="AA593" s="8"/>
      <c r="AB593" s="7"/>
      <c r="AC593" s="7"/>
      <c r="AD593" s="8" t="s">
        <v>1721</v>
      </c>
      <c r="AE593" s="8" t="s">
        <v>2401</v>
      </c>
      <c r="AF593" s="8" t="s">
        <v>1721</v>
      </c>
      <c r="AG593" s="8"/>
      <c r="AH593" s="47"/>
      <c r="AI593" s="47">
        <f>VLOOKUP(B593,'Components Usage'!A$2:C$603,3,FALSE)</f>
        <v>17</v>
      </c>
      <c r="AJ593" s="28" t="s">
        <v>2401</v>
      </c>
    </row>
    <row r="594" spans="1:36" hidden="1" x14ac:dyDescent="0.25">
      <c r="A594" s="16" t="str">
        <f>'Components Data Source'!A594</f>
        <v>Switch (Rocker)</v>
      </c>
      <c r="B594" s="8" t="str">
        <f>'Components Data Source'!B594</f>
        <v>42CB88B2-E965-4A49-893C-64EB001FC861</v>
      </c>
      <c r="C594" s="8" t="str">
        <f>'Components Data Source'!C594</f>
        <v>sw_rocker_neon.fcpx</v>
      </c>
      <c r="D594" s="8" t="str">
        <f>'Components Data Source'!D594</f>
        <v>Components\IO_Source\switch\sw_rocker_neon.fcfx</v>
      </c>
      <c r="E594" s="8" t="str">
        <f>'Components Data Source'!E594</f>
        <v>BASICIO</v>
      </c>
      <c r="F594" s="8">
        <f>'Components Data Source'!F594</f>
        <v>0</v>
      </c>
      <c r="G594" s="8">
        <f>'Components Data Source'!G594</f>
        <v>0</v>
      </c>
      <c r="H594" s="8">
        <f>'Components Data Source'!H594</f>
        <v>0</v>
      </c>
      <c r="I594" s="8">
        <f>'Components Data Source'!I594</f>
        <v>0</v>
      </c>
      <c r="J594" s="8">
        <f>'Components Data Source'!J594</f>
        <v>1</v>
      </c>
      <c r="K594" s="8">
        <f>'Components Data Source'!K594</f>
        <v>0</v>
      </c>
      <c r="L594" s="8">
        <f>'Components Data Source'!L594</f>
        <v>0</v>
      </c>
      <c r="M594" s="8" t="s">
        <v>1727</v>
      </c>
      <c r="N594" s="17" t="str">
        <f>HYPERLINK('Components Data Source'!M594)</f>
        <v>https://www.flowcode.co.uk/wiki/index.php?title=Component:_ID_42cb88b2_e965_4a49_893c_64eb001fc861</v>
      </c>
      <c r="O594" s="8" t="s">
        <v>1721</v>
      </c>
      <c r="P594" s="8"/>
      <c r="Q594" s="8" t="str">
        <f t="shared" si="20"/>
        <v/>
      </c>
      <c r="R594" s="8" t="s">
        <v>1727</v>
      </c>
      <c r="S594" s="8" t="s">
        <v>1727</v>
      </c>
      <c r="T594" s="8"/>
      <c r="U594" s="8"/>
      <c r="V594" s="8" t="s">
        <v>1730</v>
      </c>
      <c r="W594" s="8" t="s">
        <v>1730</v>
      </c>
      <c r="X594" s="8"/>
      <c r="Y594" s="8"/>
      <c r="Z594" s="18">
        <f t="shared" si="19"/>
        <v>2</v>
      </c>
      <c r="AA594" s="8"/>
      <c r="AB594" s="7"/>
      <c r="AC594" s="7"/>
      <c r="AD594" s="8" t="s">
        <v>1721</v>
      </c>
      <c r="AE594" s="8" t="s">
        <v>2401</v>
      </c>
      <c r="AF594" s="8" t="s">
        <v>1721</v>
      </c>
      <c r="AG594" s="8"/>
      <c r="AH594" s="47"/>
      <c r="AI594" s="47">
        <f>VLOOKUP(B594,'Components Usage'!A$2:C$603,3,FALSE)</f>
        <v>37</v>
      </c>
      <c r="AJ594" s="28" t="s">
        <v>2401</v>
      </c>
    </row>
    <row r="595" spans="1:36" x14ac:dyDescent="0.25">
      <c r="A595" s="16" t="str">
        <f>'Components Data Source'!A595</f>
        <v>Switch (Slide PCB)</v>
      </c>
      <c r="B595" s="8" t="str">
        <f>'Components Data Source'!B595</f>
        <v>7A287A58-CBA5-42AD-B8A5-58694D7F678A</v>
      </c>
      <c r="C595" s="8" t="str">
        <f>'Components Data Source'!C595</f>
        <v>sw_slide_sub_pcb.fcpx</v>
      </c>
      <c r="D595" s="8" t="str">
        <f>'Components Data Source'!D595</f>
        <v>Components\IO_Source\switch\sw_slide_sub_pcb.fcfx</v>
      </c>
      <c r="E595" s="8" t="str">
        <f>'Components Data Source'!E595</f>
        <v>FREE</v>
      </c>
      <c r="F595" s="8">
        <f>'Components Data Source'!F595</f>
        <v>0</v>
      </c>
      <c r="G595" s="8">
        <f>'Components Data Source'!G595</f>
        <v>0</v>
      </c>
      <c r="H595" s="8">
        <f>'Components Data Source'!H595</f>
        <v>0</v>
      </c>
      <c r="I595" s="8">
        <f>'Components Data Source'!I595</f>
        <v>0</v>
      </c>
      <c r="J595" s="8">
        <f>'Components Data Source'!J595</f>
        <v>1</v>
      </c>
      <c r="K595" s="8">
        <f>'Components Data Source'!K595</f>
        <v>0</v>
      </c>
      <c r="L595" s="8">
        <f>'Components Data Source'!L595</f>
        <v>0</v>
      </c>
      <c r="M595" s="8" t="s">
        <v>1727</v>
      </c>
      <c r="N595" s="17" t="str">
        <f>HYPERLINK('Components Data Source'!M595)</f>
        <v>https://www.flowcode.co.uk/wiki/index.php?title=Component:_ID_7a287a58_cba5_42ad_b8a5_58694d7f678a</v>
      </c>
      <c r="O595" s="8" t="s">
        <v>1721</v>
      </c>
      <c r="P595" s="8"/>
      <c r="Q595" s="8" t="str">
        <f t="shared" si="20"/>
        <v/>
      </c>
      <c r="R595" s="8" t="s">
        <v>1727</v>
      </c>
      <c r="S595" s="8" t="s">
        <v>1727</v>
      </c>
      <c r="T595" s="8"/>
      <c r="U595" s="8"/>
      <c r="V595" s="8" t="s">
        <v>1730</v>
      </c>
      <c r="W595" s="8" t="s">
        <v>1730</v>
      </c>
      <c r="X595" s="8"/>
      <c r="Y595" s="8"/>
      <c r="Z595" s="18">
        <f t="shared" si="19"/>
        <v>2</v>
      </c>
      <c r="AA595" s="8"/>
      <c r="AB595" s="7"/>
      <c r="AC595" s="7"/>
      <c r="AD595" s="8" t="s">
        <v>1721</v>
      </c>
      <c r="AE595" s="8" t="s">
        <v>1727</v>
      </c>
      <c r="AF595" s="8" t="s">
        <v>1721</v>
      </c>
      <c r="AG595" s="8" t="s">
        <v>1721</v>
      </c>
      <c r="AH595" s="47"/>
      <c r="AI595" s="47">
        <f>VLOOKUP(B595,'Components Usage'!A$2:C$603,3,FALSE)</f>
        <v>216</v>
      </c>
      <c r="AJ595" s="28" t="s">
        <v>2401</v>
      </c>
    </row>
    <row r="596" spans="1:36" hidden="1" x14ac:dyDescent="0.25">
      <c r="A596" s="16" t="str">
        <f>'Components Data Source'!A596</f>
        <v>Switch (Toggle PCB)</v>
      </c>
      <c r="B596" s="8" t="str">
        <f>'Components Data Source'!B596</f>
        <v>C6C91999-1FE0-414E-B6AA-0A7DDC9A6417</v>
      </c>
      <c r="C596" s="8" t="str">
        <f>'Components Data Source'!C596</f>
        <v>sw_toggle_mtl_pcb.fcpx</v>
      </c>
      <c r="D596" s="8" t="str">
        <f>'Components Data Source'!D596</f>
        <v>Components\IO_Source\switch\sw_toggle_pcb.fcfx</v>
      </c>
      <c r="E596" s="8" t="str">
        <f>'Components Data Source'!E596</f>
        <v>BASICIO</v>
      </c>
      <c r="F596" s="8">
        <f>'Components Data Source'!F596</f>
        <v>0</v>
      </c>
      <c r="G596" s="8">
        <f>'Components Data Source'!G596</f>
        <v>0</v>
      </c>
      <c r="H596" s="8">
        <f>'Components Data Source'!H596</f>
        <v>0</v>
      </c>
      <c r="I596" s="8">
        <f>'Components Data Source'!I596</f>
        <v>0</v>
      </c>
      <c r="J596" s="8">
        <f>'Components Data Source'!J596</f>
        <v>1</v>
      </c>
      <c r="K596" s="8">
        <f>'Components Data Source'!K596</f>
        <v>0</v>
      </c>
      <c r="L596" s="8">
        <f>'Components Data Source'!L596</f>
        <v>0</v>
      </c>
      <c r="M596" s="8" t="s">
        <v>1727</v>
      </c>
      <c r="N596" s="17" t="str">
        <f>HYPERLINK('Components Data Source'!M596)</f>
        <v>https://www.flowcode.co.uk/wiki/index.php?title=Component:_ID_c6c91999_1fe0_414e_b6aa_0a7ddc9a6417</v>
      </c>
      <c r="O596" s="8" t="s">
        <v>1721</v>
      </c>
      <c r="P596" s="8"/>
      <c r="Q596" s="8" t="str">
        <f t="shared" si="20"/>
        <v/>
      </c>
      <c r="R596" s="8" t="s">
        <v>1727</v>
      </c>
      <c r="S596" s="8" t="s">
        <v>2483</v>
      </c>
      <c r="T596" s="8"/>
      <c r="U596" s="8"/>
      <c r="V596" s="8" t="s">
        <v>1730</v>
      </c>
      <c r="W596" s="8" t="s">
        <v>1730</v>
      </c>
      <c r="X596" s="8"/>
      <c r="Y596" s="8"/>
      <c r="Z596" s="18">
        <f t="shared" si="19"/>
        <v>2</v>
      </c>
      <c r="AA596" s="8"/>
      <c r="AB596" s="7"/>
      <c r="AC596" s="7"/>
      <c r="AD596" s="8" t="s">
        <v>1721</v>
      </c>
      <c r="AE596" s="8" t="s">
        <v>1727</v>
      </c>
      <c r="AF596" s="8" t="s">
        <v>1721</v>
      </c>
      <c r="AG596" s="8" t="s">
        <v>1721</v>
      </c>
      <c r="AH596" s="47"/>
      <c r="AI596" s="47">
        <f>VLOOKUP(B596,'Components Usage'!A$2:C$603,3,FALSE)</f>
        <v>96</v>
      </c>
      <c r="AJ596" s="28" t="s">
        <v>2401</v>
      </c>
    </row>
    <row r="597" spans="1:36" x14ac:dyDescent="0.25">
      <c r="A597" s="16" t="str">
        <f>'Components Data Source'!A597</f>
        <v>Switch (Toggle Panel)</v>
      </c>
      <c r="B597" s="8" t="str">
        <f>'Components Data Source'!B597</f>
        <v>E8F04AF0-03D9-4B1C-83D3-9D0B1DC0F80A</v>
      </c>
      <c r="C597" s="8" t="str">
        <f>'Components Data Source'!C597</f>
        <v>sw_toggle_mtl_pnl.fcpx</v>
      </c>
      <c r="D597" s="8" t="str">
        <f>'Components Data Source'!D597</f>
        <v>Components\IO_Source\switch\sw_toggle_panel.fcfx</v>
      </c>
      <c r="E597" s="8" t="str">
        <f>'Components Data Source'!E597</f>
        <v>FREE</v>
      </c>
      <c r="F597" s="8">
        <f>'Components Data Source'!F597</f>
        <v>0</v>
      </c>
      <c r="G597" s="8">
        <f>'Components Data Source'!G597</f>
        <v>0</v>
      </c>
      <c r="H597" s="8">
        <f>'Components Data Source'!H597</f>
        <v>0</v>
      </c>
      <c r="I597" s="8">
        <f>'Components Data Source'!I597</f>
        <v>0</v>
      </c>
      <c r="J597" s="8">
        <f>'Components Data Source'!J597</f>
        <v>1</v>
      </c>
      <c r="K597" s="8">
        <f>'Components Data Source'!K597</f>
        <v>0</v>
      </c>
      <c r="L597" s="8">
        <f>'Components Data Source'!L597</f>
        <v>0</v>
      </c>
      <c r="M597" s="8" t="s">
        <v>1727</v>
      </c>
      <c r="N597" s="17" t="str">
        <f>HYPERLINK('Components Data Source'!M597)</f>
        <v>https://www.flowcode.co.uk/wiki/index.php?title=Component:_ID_e8f04af0_03d9_4b1c_83d3_9d0b1dc0f80a</v>
      </c>
      <c r="O597" s="8" t="s">
        <v>1721</v>
      </c>
      <c r="P597" s="8"/>
      <c r="Q597" s="8" t="str">
        <f t="shared" si="20"/>
        <v/>
      </c>
      <c r="R597" s="8" t="s">
        <v>1727</v>
      </c>
      <c r="S597" s="8" t="s">
        <v>2483</v>
      </c>
      <c r="T597" s="8"/>
      <c r="U597" s="8"/>
      <c r="V597" s="8" t="s">
        <v>1730</v>
      </c>
      <c r="W597" s="8" t="s">
        <v>1730</v>
      </c>
      <c r="X597" s="8"/>
      <c r="Y597" s="8"/>
      <c r="Z597" s="18">
        <f t="shared" si="19"/>
        <v>2</v>
      </c>
      <c r="AA597" s="8"/>
      <c r="AB597" s="7"/>
      <c r="AC597" s="7"/>
      <c r="AD597" s="8" t="s">
        <v>1721</v>
      </c>
      <c r="AE597" s="8" t="s">
        <v>1727</v>
      </c>
      <c r="AF597" s="8" t="s">
        <v>1721</v>
      </c>
      <c r="AG597" s="8" t="s">
        <v>1721</v>
      </c>
      <c r="AH597" s="47"/>
      <c r="AI597" s="47">
        <f>VLOOKUP(B597,'Components Usage'!A$2:C$603,3,FALSE)</f>
        <v>87</v>
      </c>
      <c r="AJ597" s="28" t="s">
        <v>2401</v>
      </c>
    </row>
    <row r="598" spans="1:36" x14ac:dyDescent="0.25">
      <c r="A598" s="16" t="str">
        <f>'Components Data Source'!A598</f>
        <v>Switch Template</v>
      </c>
      <c r="B598" s="8" t="str">
        <f>'Components Data Source'!B598</f>
        <v>953A042A-B2AA-4F2E-94E2-EE2979CFC92E</v>
      </c>
      <c r="C598" s="8" t="str">
        <f>'Components Data Source'!C598</f>
        <v>switch.fcpx</v>
      </c>
      <c r="D598" s="8" t="str">
        <f>'Components Data Source'!D598</f>
        <v>Components\IO_Source\switch\Switch.fcfx</v>
      </c>
      <c r="E598" s="8" t="str">
        <f>'Components Data Source'!E598</f>
        <v>FREE</v>
      </c>
      <c r="F598" s="8" t="str">
        <f>'Components Data Source'!F598</f>
        <v>SWITCH</v>
      </c>
      <c r="G598" s="8">
        <f>'Components Data Source'!G598</f>
        <v>0</v>
      </c>
      <c r="H598" s="8">
        <f>'Components Data Source'!H598</f>
        <v>0</v>
      </c>
      <c r="I598" s="8">
        <f>'Components Data Source'!I598</f>
        <v>0</v>
      </c>
      <c r="J598" s="8">
        <f>'Components Data Source'!J598</f>
        <v>1</v>
      </c>
      <c r="K598" s="8">
        <f>'Components Data Source'!K598</f>
        <v>1</v>
      </c>
      <c r="L598" s="8">
        <f>'Components Data Source'!L598</f>
        <v>0</v>
      </c>
      <c r="M598" s="8" t="s">
        <v>1727</v>
      </c>
      <c r="N598" s="17" t="str">
        <f>HYPERLINK('Components Data Source'!M598)</f>
        <v>https://www.flowcode.co.uk/wiki/index.php?title=Component:_ID_953a042a_b2aa_4f2e_94e2_ee2979cfc92e</v>
      </c>
      <c r="O598" s="8" t="s">
        <v>1721</v>
      </c>
      <c r="P598" s="8"/>
      <c r="Q598" s="8" t="str">
        <f t="shared" si="20"/>
        <v/>
      </c>
      <c r="R598" s="8" t="s">
        <v>1727</v>
      </c>
      <c r="S598" s="8"/>
      <c r="T598" s="8"/>
      <c r="U598" s="8"/>
      <c r="V598" s="8" t="s">
        <v>1730</v>
      </c>
      <c r="W598" s="8" t="s">
        <v>1730</v>
      </c>
      <c r="X598" s="8"/>
      <c r="Y598" s="8"/>
      <c r="Z598" s="18">
        <f t="shared" si="19"/>
        <v>2</v>
      </c>
      <c r="AA598" s="8"/>
      <c r="AB598" s="7"/>
      <c r="AC598" s="7"/>
      <c r="AD598" s="8" t="s">
        <v>1721</v>
      </c>
      <c r="AE598" s="8" t="s">
        <v>2401</v>
      </c>
      <c r="AF598" s="8" t="s">
        <v>1721</v>
      </c>
      <c r="AG598" s="8"/>
      <c r="AH598" s="47"/>
      <c r="AI598" s="47">
        <f>VLOOKUP(B598,'Components Usage'!A$2:C$603,3,FALSE)</f>
        <v>0</v>
      </c>
      <c r="AJ598" s="28" t="s">
        <v>2401</v>
      </c>
    </row>
    <row r="599" spans="1:36" hidden="1" x14ac:dyDescent="0.25">
      <c r="A599" s="16" t="str">
        <f>'Components Data Source'!A599</f>
        <v>Switch Array Template</v>
      </c>
      <c r="B599" s="8" t="str">
        <f>'Components Data Source'!B599</f>
        <v>C0DF38EE-7A7E-4A0A-BFD5-5A7745203826</v>
      </c>
      <c r="C599" s="8" t="str">
        <f>'Components Data Source'!C599</f>
        <v>switch_array.fcpx</v>
      </c>
      <c r="D599" s="8" t="str">
        <f>'Components Data Source'!D599</f>
        <v>Components\IO_Source\switch\switch_array.fcfx</v>
      </c>
      <c r="E599" s="8" t="str">
        <f>'Components Data Source'!E599</f>
        <v>BASICIO</v>
      </c>
      <c r="F599" s="8" t="str">
        <f>'Components Data Source'!F599</f>
        <v>SWITCHES</v>
      </c>
      <c r="G599" s="8">
        <f>'Components Data Source'!G599</f>
        <v>0</v>
      </c>
      <c r="H599" s="8">
        <f>'Components Data Source'!H599</f>
        <v>0</v>
      </c>
      <c r="I599" s="8">
        <f>'Components Data Source'!I599</f>
        <v>0</v>
      </c>
      <c r="J599" s="8">
        <f>'Components Data Source'!J599</f>
        <v>1</v>
      </c>
      <c r="K599" s="8">
        <f>'Components Data Source'!K599</f>
        <v>1</v>
      </c>
      <c r="L599" s="8">
        <f>'Components Data Source'!L599</f>
        <v>0</v>
      </c>
      <c r="M599" s="8" t="s">
        <v>1727</v>
      </c>
      <c r="N599" s="17" t="str">
        <f>HYPERLINK('Components Data Source'!M599)</f>
        <v>https://www.flowcode.co.uk/wiki/index.php?title=Component:_ID_c0df38ee_7a7e_4a0a_bfd5_5a7745203826</v>
      </c>
      <c r="O599" s="8" t="s">
        <v>2590</v>
      </c>
      <c r="P599" s="8" t="s">
        <v>3560</v>
      </c>
      <c r="Q599" s="8" t="str">
        <f t="shared" si="20"/>
        <v/>
      </c>
      <c r="R599" s="8" t="s">
        <v>1727</v>
      </c>
      <c r="S599" s="8" t="s">
        <v>1727</v>
      </c>
      <c r="T599" s="8"/>
      <c r="U599" s="8"/>
      <c r="V599" s="8" t="s">
        <v>1730</v>
      </c>
      <c r="W599" s="8" t="s">
        <v>1730</v>
      </c>
      <c r="X599" s="8"/>
      <c r="Y599" s="8"/>
      <c r="Z599" s="18">
        <f t="shared" si="19"/>
        <v>2</v>
      </c>
      <c r="AA599" s="8"/>
      <c r="AB599" s="7"/>
      <c r="AC599" s="7"/>
      <c r="AD599" s="8" t="s">
        <v>1721</v>
      </c>
      <c r="AE599" s="8" t="s">
        <v>2401</v>
      </c>
      <c r="AF599" s="8" t="s">
        <v>1721</v>
      </c>
      <c r="AG599" s="8"/>
      <c r="AH599" s="47"/>
      <c r="AI599" s="47">
        <f>VLOOKUP(B599,'Components Usage'!A$2:C$603,3,FALSE)</f>
        <v>30</v>
      </c>
      <c r="AJ599" s="28" t="s">
        <v>2401</v>
      </c>
    </row>
    <row r="600" spans="1:36" hidden="1" x14ac:dyDescent="0.25">
      <c r="A600" s="16" t="str">
        <f>'Components Data Source'!A600</f>
        <v>Switch Array (Push)</v>
      </c>
      <c r="B600" s="8" t="str">
        <f>'Components Data Source'!B600</f>
        <v>208101FB-F735-4E83-980B-C1D2B4BE28FF</v>
      </c>
      <c r="C600" s="8" t="str">
        <f>'Components Data Source'!C600</f>
        <v>switch_array_push.fcpx</v>
      </c>
      <c r="D600" s="8" t="str">
        <f>'Components Data Source'!D600</f>
        <v>Components\IO_Source\switch\switch_array_push.fcfx</v>
      </c>
      <c r="E600" s="8" t="str">
        <f>'Components Data Source'!E600</f>
        <v>BASICIO</v>
      </c>
      <c r="F600" s="8" t="str">
        <f>'Components Data Source'!F600</f>
        <v>SWITCHES</v>
      </c>
      <c r="G600" s="8">
        <f>'Components Data Source'!G600</f>
        <v>0</v>
      </c>
      <c r="H600" s="8">
        <f>'Components Data Source'!H600</f>
        <v>0</v>
      </c>
      <c r="I600" s="8">
        <f>'Components Data Source'!I600</f>
        <v>0</v>
      </c>
      <c r="J600" s="8">
        <f>'Components Data Source'!J600</f>
        <v>1</v>
      </c>
      <c r="K600" s="8">
        <f>'Components Data Source'!K600</f>
        <v>1</v>
      </c>
      <c r="L600" s="8">
        <f>'Components Data Source'!L600</f>
        <v>0</v>
      </c>
      <c r="M600" s="8" t="s">
        <v>1727</v>
      </c>
      <c r="N600" s="17" t="str">
        <f>HYPERLINK('Components Data Source'!M600)</f>
        <v>https://www.flowcode.co.uk/wiki/index.php?title=Component:_ID_208101fb_f735_4e83_980b_c1d2b4be28ff</v>
      </c>
      <c r="O600" s="8" t="s">
        <v>2590</v>
      </c>
      <c r="P600" s="8" t="s">
        <v>3560</v>
      </c>
      <c r="Q600" s="8" t="str">
        <f t="shared" si="20"/>
        <v/>
      </c>
      <c r="R600" s="8" t="s">
        <v>1727</v>
      </c>
      <c r="S600" s="8" t="s">
        <v>1727</v>
      </c>
      <c r="T600" s="8"/>
      <c r="U600" s="8"/>
      <c r="V600" s="8" t="s">
        <v>1730</v>
      </c>
      <c r="W600" s="8" t="s">
        <v>1730</v>
      </c>
      <c r="X600" s="8"/>
      <c r="Y600" s="8"/>
      <c r="Z600" s="18">
        <f t="shared" si="19"/>
        <v>2</v>
      </c>
      <c r="AA600" s="8"/>
      <c r="AB600" s="7"/>
      <c r="AC600" s="7"/>
      <c r="AD600" s="8" t="s">
        <v>1721</v>
      </c>
      <c r="AE600" s="8" t="s">
        <v>1727</v>
      </c>
      <c r="AF600" s="8" t="s">
        <v>1721</v>
      </c>
      <c r="AG600" s="8" t="s">
        <v>1721</v>
      </c>
      <c r="AH600" s="47"/>
      <c r="AI600" s="47">
        <f>VLOOKUP(B600,'Components Usage'!A$2:C$603,3,FALSE)</f>
        <v>82</v>
      </c>
      <c r="AJ600" s="28" t="s">
        <v>2401</v>
      </c>
    </row>
    <row r="601" spans="1:36" hidden="1" x14ac:dyDescent="0.25">
      <c r="A601" s="16" t="str">
        <f>'Components Data Source'!A601</f>
        <v>Switch Array (Slide)</v>
      </c>
      <c r="B601" s="8" t="str">
        <f>'Components Data Source'!B601</f>
        <v>4AC72986-AD7D-49CE-AFE5-9128831DEBC9</v>
      </c>
      <c r="C601" s="8" t="str">
        <f>'Components Data Source'!C601</f>
        <v>switch_array_slide.fcpx</v>
      </c>
      <c r="D601" s="8" t="str">
        <f>'Components Data Source'!D601</f>
        <v>Components\IO_Source\switch\switch_array_slide.fcfx</v>
      </c>
      <c r="E601" s="8" t="str">
        <f>'Components Data Source'!E601</f>
        <v>BASICIO</v>
      </c>
      <c r="F601" s="8" t="str">
        <f>'Components Data Source'!F601</f>
        <v>SWITCHES</v>
      </c>
      <c r="G601" s="8">
        <f>'Components Data Source'!G601</f>
        <v>0</v>
      </c>
      <c r="H601" s="8">
        <f>'Components Data Source'!H601</f>
        <v>0</v>
      </c>
      <c r="I601" s="8">
        <f>'Components Data Source'!I601</f>
        <v>0</v>
      </c>
      <c r="J601" s="8">
        <f>'Components Data Source'!J601</f>
        <v>1</v>
      </c>
      <c r="K601" s="8">
        <f>'Components Data Source'!K601</f>
        <v>1</v>
      </c>
      <c r="L601" s="8">
        <f>'Components Data Source'!L601</f>
        <v>0</v>
      </c>
      <c r="M601" s="8" t="s">
        <v>1727</v>
      </c>
      <c r="N601" s="17" t="str">
        <f>HYPERLINK('Components Data Source'!M601)</f>
        <v>https://www.flowcode.co.uk/wiki/index.php?title=Component:_ID_4ac72986_ad7d_49ce_afe5_9128831debc9</v>
      </c>
      <c r="O601" s="8" t="s">
        <v>2590</v>
      </c>
      <c r="P601" s="8" t="s">
        <v>3560</v>
      </c>
      <c r="Q601" s="8" t="str">
        <f t="shared" si="20"/>
        <v/>
      </c>
      <c r="R601" s="8" t="s">
        <v>1727</v>
      </c>
      <c r="S601" s="8" t="s">
        <v>1727</v>
      </c>
      <c r="T601" s="8"/>
      <c r="U601" s="8"/>
      <c r="V601" s="8" t="s">
        <v>1730</v>
      </c>
      <c r="W601" s="8" t="s">
        <v>1730</v>
      </c>
      <c r="X601" s="8"/>
      <c r="Y601" s="8"/>
      <c r="Z601" s="18">
        <f t="shared" si="19"/>
        <v>2</v>
      </c>
      <c r="AA601" s="8"/>
      <c r="AB601" s="7"/>
      <c r="AC601" s="7"/>
      <c r="AD601" s="8" t="s">
        <v>1721</v>
      </c>
      <c r="AE601" s="8" t="s">
        <v>1727</v>
      </c>
      <c r="AF601" s="8" t="s">
        <v>1721</v>
      </c>
      <c r="AG601" s="8" t="s">
        <v>1721</v>
      </c>
      <c r="AH601" s="47"/>
      <c r="AI601" s="47">
        <f>VLOOKUP(B601,'Components Usage'!A$2:C$603,3,FALSE)</f>
        <v>100</v>
      </c>
      <c r="AJ601" s="28" t="s">
        <v>2401</v>
      </c>
    </row>
    <row r="602" spans="1:36" x14ac:dyDescent="0.25">
      <c r="A602" s="16" t="str">
        <f>'Components Data Source'!A602</f>
        <v>Switch(EB007)</v>
      </c>
      <c r="B602" s="8" t="str">
        <f>'Components Data Source'!B602</f>
        <v>4772EA31-C5FB-4AC1-8AEF-C9385A0E9A53</v>
      </c>
      <c r="C602" s="8" t="str">
        <f>'Components Data Source'!C602</f>
        <v>switch_eb007.fcpx</v>
      </c>
      <c r="D602" s="8" t="str">
        <f>'Components Data Source'!D602</f>
        <v>Components\IO_Source\switch\switch_array_push_EB007.fcfx</v>
      </c>
      <c r="E602" s="8" t="str">
        <f>'Components Data Source'!E602</f>
        <v>FREE</v>
      </c>
      <c r="F602" s="8" t="str">
        <f>'Components Data Source'!F602</f>
        <v>E-BLOCKS 1</v>
      </c>
      <c r="G602" s="8">
        <f>'Components Data Source'!G602</f>
        <v>0</v>
      </c>
      <c r="H602" s="8">
        <f>'Components Data Source'!H602</f>
        <v>0</v>
      </c>
      <c r="I602" s="8">
        <f>'Components Data Source'!I602</f>
        <v>0</v>
      </c>
      <c r="J602" s="8">
        <f>'Components Data Source'!J602</f>
        <v>1</v>
      </c>
      <c r="K602" s="8">
        <f>'Components Data Source'!K602</f>
        <v>1</v>
      </c>
      <c r="L602" s="8">
        <f>'Components Data Source'!L602</f>
        <v>0</v>
      </c>
      <c r="M602" s="8" t="s">
        <v>1727</v>
      </c>
      <c r="N602" s="17" t="str">
        <f>HYPERLINK('Components Data Source'!M602)</f>
        <v>https://www.flowcode.co.uk/wiki/index.php?title=Component:_ID_4772ea31_c5fb_4ac1_8aef_c9385a0e9a53</v>
      </c>
      <c r="O602" s="8" t="s">
        <v>2589</v>
      </c>
      <c r="P602" s="8"/>
      <c r="Q602" s="8" t="str">
        <f t="shared" si="20"/>
        <v/>
      </c>
      <c r="R602" s="8" t="s">
        <v>1727</v>
      </c>
      <c r="S602" s="8" t="s">
        <v>1727</v>
      </c>
      <c r="T602" s="8"/>
      <c r="U602" s="8"/>
      <c r="V602" s="8" t="s">
        <v>1730</v>
      </c>
      <c r="W602" s="8" t="s">
        <v>1730</v>
      </c>
      <c r="X602" s="8"/>
      <c r="Y602" s="8"/>
      <c r="Z602" s="18">
        <f t="shared" si="19"/>
        <v>2</v>
      </c>
      <c r="AA602" s="8"/>
      <c r="AB602" s="7"/>
      <c r="AC602" s="7"/>
      <c r="AD602" s="8" t="s">
        <v>1721</v>
      </c>
      <c r="AE602" s="8" t="s">
        <v>2401</v>
      </c>
      <c r="AF602" s="8" t="s">
        <v>1727</v>
      </c>
      <c r="AG602" s="8"/>
      <c r="AH602" s="47"/>
      <c r="AI602" s="47">
        <f>VLOOKUP(B602,'Components Usage'!A$2:C$603,3,FALSE)</f>
        <v>8</v>
      </c>
      <c r="AJ602" s="28" t="s">
        <v>2401</v>
      </c>
    </row>
    <row r="603" spans="1:36" x14ac:dyDescent="0.25">
      <c r="A603" s="16" t="str">
        <f>'Components Data Source'!A603</f>
        <v>XML JSON Parser</v>
      </c>
      <c r="B603" s="8" t="str">
        <f>'Components Data Source'!B603</f>
        <v>F54FA744-5AF4-4C08-BDB9-FB31848A2B63</v>
      </c>
      <c r="C603" s="8" t="str">
        <f>'Components Data Source'!C603</f>
        <v>xmlparser.fcpx</v>
      </c>
      <c r="D603" s="8" t="str">
        <f>'Components Data Source'!D603</f>
        <v>Components\IO_Source\XML\XMLParser.fcfx</v>
      </c>
      <c r="E603" s="8" t="str">
        <f>'Components Data Source'!E603</f>
        <v>FREE</v>
      </c>
      <c r="F603" s="8" t="str">
        <f>'Components Data Source'!F603</f>
        <v>RUNTIME TOOLS</v>
      </c>
      <c r="G603" s="8" t="str">
        <f>'Components Data Source'!G603</f>
        <v xml:space="preserve">STORAGE </v>
      </c>
      <c r="H603" s="8">
        <f>'Components Data Source'!H603</f>
        <v>0</v>
      </c>
      <c r="I603" s="8">
        <f>'Components Data Source'!I603</f>
        <v>0</v>
      </c>
      <c r="J603" s="8">
        <f>'Components Data Source'!J603</f>
        <v>1</v>
      </c>
      <c r="K603" s="8">
        <f>'Components Data Source'!K603</f>
        <v>1</v>
      </c>
      <c r="L603" s="8">
        <f>'Components Data Source'!L603</f>
        <v>1</v>
      </c>
      <c r="M603" s="8" t="s">
        <v>1727</v>
      </c>
      <c r="N603" s="17" t="str">
        <f>HYPERLINK('Components Data Source'!M603)</f>
        <v>https://www.flowcode.co.uk/wiki/index.php?title=Component:_ID_f54fa744_5af4_4c08_bdb9_fb31848a2b63</v>
      </c>
      <c r="O603" s="8" t="s">
        <v>1721</v>
      </c>
      <c r="P603" s="45" t="s">
        <v>3564</v>
      </c>
      <c r="Q603" s="8" t="str">
        <f t="shared" si="20"/>
        <v/>
      </c>
      <c r="R603" s="1" t="s">
        <v>1721</v>
      </c>
      <c r="S603" s="1" t="s">
        <v>1721</v>
      </c>
      <c r="T603" s="1" t="s">
        <v>1721</v>
      </c>
      <c r="U603" s="1" t="s">
        <v>1721</v>
      </c>
      <c r="V603" s="1" t="s">
        <v>1731</v>
      </c>
      <c r="W603" s="1" t="s">
        <v>1731</v>
      </c>
      <c r="X603" s="1" t="s">
        <v>1721</v>
      </c>
      <c r="Y603" s="8" t="s">
        <v>1721</v>
      </c>
      <c r="Z603" s="18">
        <f t="shared" si="19"/>
        <v>1</v>
      </c>
      <c r="AA603" s="8"/>
      <c r="AB603" s="7"/>
      <c r="AC603" s="7"/>
      <c r="AD603" s="8" t="s">
        <v>1721</v>
      </c>
      <c r="AE603" s="8" t="s">
        <v>1727</v>
      </c>
      <c r="AF603" s="8" t="s">
        <v>2401</v>
      </c>
      <c r="AG603" s="8"/>
      <c r="AH603" s="47"/>
      <c r="AI603" s="47">
        <f>VLOOKUP(B603,'Components Usage'!A$2:C$603,3,FALSE)</f>
        <v>0</v>
      </c>
      <c r="AJ603" s="28" t="s">
        <v>2401</v>
      </c>
    </row>
    <row r="604" spans="1:36" hidden="1" x14ac:dyDescent="0.25">
      <c r="A604" s="16" t="str">
        <f>'Components Data Source'!A604</f>
        <v>ACS7xx Current Sensor</v>
      </c>
      <c r="B604" s="8" t="str">
        <f>'Components Data Source'!B604</f>
        <v>AA85A268-BA47-4A33-BDAD-04F51B716CDF</v>
      </c>
      <c r="C604" s="8" t="str">
        <f>'Components Data Source'!C604</f>
        <v>ACS712_Current_Sensor.fcpx</v>
      </c>
      <c r="D604" s="8" t="str">
        <f>'Components Data Source'!D604</f>
        <v>Components\IO_Source\Sensors\ACS7xx_Current_Sensors.fcfx</v>
      </c>
      <c r="E604" s="8" t="str">
        <f>'Components Data Source'!E604</f>
        <v>SENSORS</v>
      </c>
      <c r="F604" s="8"/>
      <c r="G604" s="8"/>
      <c r="H604" s="8"/>
      <c r="I604" s="8" t="str">
        <f>'Components Data Source'!F604</f>
        <v>ELECTRICAL</v>
      </c>
      <c r="J604" s="8"/>
      <c r="K604" s="8"/>
      <c r="L604" s="8"/>
      <c r="M604" s="8" t="s">
        <v>1727</v>
      </c>
      <c r="N604" s="17" t="str">
        <f>HYPERLINK('Components Data Source'!M604)</f>
        <v>https://www.flowcode.co.uk/wiki/index.php?title=Component:_ID_aa85a268_ba47_4a33_bdad_04f51b716cdf</v>
      </c>
      <c r="O604" s="8" t="s">
        <v>2590</v>
      </c>
      <c r="P604" s="8" t="s">
        <v>2918</v>
      </c>
      <c r="Q604" s="8"/>
      <c r="R604" s="8" t="s">
        <v>1727</v>
      </c>
      <c r="S604" s="8" t="s">
        <v>1721</v>
      </c>
      <c r="T604" s="8" t="s">
        <v>1727</v>
      </c>
      <c r="U604" s="8" t="s">
        <v>2568</v>
      </c>
      <c r="V604" s="1" t="s">
        <v>1731</v>
      </c>
      <c r="W604" s="1" t="s">
        <v>1731</v>
      </c>
      <c r="X604" s="8"/>
      <c r="Y604" s="8" t="s">
        <v>1721</v>
      </c>
      <c r="Z604" s="18">
        <f t="shared" si="19"/>
        <v>2</v>
      </c>
      <c r="AA604" s="8"/>
      <c r="AB604" s="7"/>
      <c r="AC604" s="7"/>
      <c r="AD604" s="8" t="s">
        <v>1727</v>
      </c>
      <c r="AE604" s="8"/>
      <c r="AF604" s="8"/>
      <c r="AG604" s="8"/>
      <c r="AH604" s="47"/>
      <c r="AI604" s="47" t="e">
        <f>VLOOKUP(B604,'Components Usage'!A$2:C$603,3,FALSE)</f>
        <v>#N/A</v>
      </c>
      <c r="AJ604" s="28" t="s">
        <v>1721</v>
      </c>
    </row>
    <row r="605" spans="1:36" x14ac:dyDescent="0.25">
      <c r="A605" s="16" t="str">
        <f>'Components Data Source'!A605</f>
        <v>EEPROM (DS28E07)</v>
      </c>
      <c r="B605" s="8" t="str">
        <f>'Components Data Source'!B605</f>
        <v>D96F06B4-E7CC-4222-831E-520B53CFA278</v>
      </c>
      <c r="C605" s="8" t="str">
        <f>'Components Data Source'!C605</f>
        <v>EEPROM_DS28E07.fcpx</v>
      </c>
      <c r="D605" s="8" t="str">
        <f>'Components Data Source'!D605</f>
        <v>Components\IO_Source\Storage\EEPROM_DS28E07.fcfx</v>
      </c>
      <c r="E605" s="8" t="str">
        <f>'Components Data Source'!E605</f>
        <v>FREE</v>
      </c>
      <c r="F605" s="8"/>
      <c r="G605" s="8"/>
      <c r="H605" s="8"/>
      <c r="I605" s="8" t="str">
        <f>'Components Data Source'!F605</f>
        <v>STORAGE</v>
      </c>
      <c r="J605" s="8"/>
      <c r="K605" s="8"/>
      <c r="L605" s="8"/>
      <c r="M605" s="8" t="s">
        <v>1727</v>
      </c>
      <c r="N605" s="17" t="str">
        <f>HYPERLINK('Components Data Source'!M605)</f>
        <v>https://www.flowcode.co.uk/wiki/index.php?title=Component:_ID_d96f06b4_e7cc_4222_831e_520b53cfa278</v>
      </c>
      <c r="O605" s="8" t="s">
        <v>1721</v>
      </c>
      <c r="P605" s="8"/>
      <c r="Q605" s="8"/>
      <c r="R605" s="8" t="s">
        <v>1727</v>
      </c>
      <c r="S605" s="8" t="s">
        <v>1721</v>
      </c>
      <c r="T605" s="8" t="s">
        <v>1721</v>
      </c>
      <c r="U605" s="8" t="s">
        <v>1721</v>
      </c>
      <c r="V605" s="1" t="s">
        <v>1731</v>
      </c>
      <c r="W605" s="8" t="s">
        <v>2492</v>
      </c>
      <c r="X605" s="8"/>
      <c r="Y605" s="8" t="s">
        <v>1721</v>
      </c>
      <c r="Z605" s="18">
        <f t="shared" si="19"/>
        <v>2</v>
      </c>
      <c r="AA605" s="8"/>
      <c r="AB605" s="7"/>
      <c r="AC605" s="7"/>
      <c r="AD605" s="8" t="s">
        <v>1721</v>
      </c>
      <c r="AE605" s="8" t="s">
        <v>1727</v>
      </c>
      <c r="AF605" s="8" t="s">
        <v>1727</v>
      </c>
      <c r="AG605" s="8"/>
      <c r="AH605" s="47"/>
      <c r="AI605" s="47" t="e">
        <f>VLOOKUP(B605,'Components Usage'!A$2:C$603,3,FALSE)</f>
        <v>#N/A</v>
      </c>
      <c r="AJ605" s="28" t="s">
        <v>2401</v>
      </c>
    </row>
    <row r="606" spans="1:36" hidden="1" x14ac:dyDescent="0.25">
      <c r="A606" s="16" t="str">
        <f>'Components Data Source'!A606</f>
        <v>Ultrasonic(HCSR04)</v>
      </c>
      <c r="B606" s="8" t="str">
        <f>'Components Data Source'!B606</f>
        <v>C5D9FFA3-5A7D-4FB2-B9BA-EC855AD7B25C</v>
      </c>
      <c r="C606" s="8" t="str">
        <f>'Components Data Source'!C606</f>
        <v>HC_SR04_Ultrasonic.fcpx</v>
      </c>
      <c r="D606" s="8" t="str">
        <f>'Components Data Source'!D606</f>
        <v>Components\IO_Source\Sensors\HC_SR04.fcfx</v>
      </c>
      <c r="E606" s="8" t="str">
        <f>'Components Data Source'!E606</f>
        <v>SENSORS</v>
      </c>
      <c r="F606" s="8"/>
      <c r="G606" s="8"/>
      <c r="H606" s="8"/>
      <c r="I606" s="8" t="str">
        <f>'Components Data Source'!F606</f>
        <v>AUDIO</v>
      </c>
      <c r="J606" s="8"/>
      <c r="K606" s="8"/>
      <c r="L606" s="8"/>
      <c r="M606" s="8" t="s">
        <v>1727</v>
      </c>
      <c r="N606" s="17" t="str">
        <f>HYPERLINK('Components Data Source'!M606)</f>
        <v>https://www.flowcode.co.uk/wiki/index.php?title=Component:_ID_c5d9ffa3_5a7d_4fb2_b9ba_ec855ad7b25c</v>
      </c>
      <c r="O606" s="8" t="s">
        <v>1721</v>
      </c>
      <c r="P606" s="8"/>
      <c r="Q606" s="8"/>
      <c r="R606" s="8" t="s">
        <v>1727</v>
      </c>
      <c r="S606" s="8" t="s">
        <v>1721</v>
      </c>
      <c r="T606" s="8" t="s">
        <v>1727</v>
      </c>
      <c r="U606" s="8" t="s">
        <v>1721</v>
      </c>
      <c r="V606" s="1" t="s">
        <v>1731</v>
      </c>
      <c r="W606" s="1" t="s">
        <v>1731</v>
      </c>
      <c r="X606" s="8"/>
      <c r="Y606" s="8" t="s">
        <v>1721</v>
      </c>
      <c r="Z606" s="18">
        <f t="shared" si="19"/>
        <v>2</v>
      </c>
      <c r="AA606" s="8"/>
      <c r="AB606" s="7"/>
      <c r="AC606" s="7"/>
      <c r="AD606" s="8" t="s">
        <v>1721</v>
      </c>
      <c r="AE606" s="8" t="s">
        <v>1721</v>
      </c>
      <c r="AF606" s="8" t="s">
        <v>2401</v>
      </c>
      <c r="AG606" s="8"/>
      <c r="AH606" s="47"/>
      <c r="AI606" s="47" t="e">
        <f>VLOOKUP(B606,'Components Usage'!A$2:C$603,3,FALSE)</f>
        <v>#N/A</v>
      </c>
      <c r="AJ606" s="28" t="s">
        <v>1721</v>
      </c>
    </row>
    <row r="607" spans="1:36" x14ac:dyDescent="0.25">
      <c r="A607" s="16" t="str">
        <f>'Components Data Source'!A607</f>
        <v>IButton (DS1990)</v>
      </c>
      <c r="B607" s="8" t="str">
        <f>'Components Data Source'!B607</f>
        <v>7BBC8B49-5F3D-419E-8B25-4EA4C93467B6</v>
      </c>
      <c r="C607" s="8" t="str">
        <f>'Components Data Source'!C607</f>
        <v>IButton_DS1990.fcpx</v>
      </c>
      <c r="D607" s="8" t="str">
        <f>'Components Data Source'!D607</f>
        <v>Components\IO_Source\Storage\IButton_DS1990.fcfx</v>
      </c>
      <c r="E607" s="8" t="str">
        <f>'Components Data Source'!E607</f>
        <v>FREE</v>
      </c>
      <c r="F607" s="8"/>
      <c r="G607" s="8"/>
      <c r="H607" s="8"/>
      <c r="I607" s="8" t="str">
        <f>'Components Data Source'!F607</f>
        <v>STORAGE</v>
      </c>
      <c r="J607" s="8"/>
      <c r="K607" s="8"/>
      <c r="L607" s="8"/>
      <c r="M607" s="8" t="s">
        <v>1727</v>
      </c>
      <c r="N607" s="17" t="str">
        <f>HYPERLINK('Components Data Source'!M607)</f>
        <v>https://www.flowcode.co.uk/wiki/index.php?title=Component:_ID_7bbc8b49_5f3d_419e_8b25_4ea4c93467b6</v>
      </c>
      <c r="O607" s="8" t="s">
        <v>1721</v>
      </c>
      <c r="P607" s="8"/>
      <c r="Q607" s="8"/>
      <c r="R607" s="8" t="s">
        <v>1727</v>
      </c>
      <c r="S607" s="8" t="s">
        <v>1721</v>
      </c>
      <c r="T607" s="8" t="s">
        <v>1721</v>
      </c>
      <c r="U607" s="8" t="s">
        <v>1721</v>
      </c>
      <c r="V607" s="1" t="s">
        <v>1731</v>
      </c>
      <c r="W607" s="8" t="s">
        <v>2492</v>
      </c>
      <c r="X607" s="8"/>
      <c r="Y607" s="8" t="s">
        <v>1721</v>
      </c>
      <c r="Z607" s="18">
        <f t="shared" si="19"/>
        <v>2</v>
      </c>
      <c r="AA607" s="8"/>
      <c r="AB607" s="7"/>
      <c r="AC607" s="7"/>
      <c r="AD607" s="8" t="s">
        <v>1721</v>
      </c>
      <c r="AE607" s="8" t="s">
        <v>1727</v>
      </c>
      <c r="AF607" s="8" t="s">
        <v>1727</v>
      </c>
      <c r="AG607" s="8"/>
      <c r="AH607" s="47"/>
      <c r="AI607" s="47" t="e">
        <f>VLOOKUP(B607,'Components Usage'!A$2:C$603,3,FALSE)</f>
        <v>#N/A</v>
      </c>
      <c r="AJ607" s="28" t="s">
        <v>2401</v>
      </c>
    </row>
    <row r="608" spans="1:36" x14ac:dyDescent="0.25">
      <c r="A608" s="16" t="str">
        <f>'Components Data Source'!A608</f>
        <v>LTSR Current Transducer</v>
      </c>
      <c r="B608" s="8" t="str">
        <f>'Components Data Source'!B608</f>
        <v>29B4CD01-9DD8-43AD-B5B4-895358321A89</v>
      </c>
      <c r="C608" s="8" t="str">
        <f>'Components Data Source'!C608</f>
        <v>LTSR_Current_Transducer.fcpx</v>
      </c>
      <c r="D608" s="8" t="str">
        <f>'Components Data Source'!D608</f>
        <v>Components\IO_Source\Sensors\LTSR_Current_Transducer.fcfx</v>
      </c>
      <c r="E608" s="8" t="str">
        <f>'Components Data Source'!E608</f>
        <v>FREE</v>
      </c>
      <c r="F608" s="8"/>
      <c r="G608" s="8"/>
      <c r="H608" s="8"/>
      <c r="I608" s="8" t="str">
        <f>'Components Data Source'!F608</f>
        <v>ELECTRICAL</v>
      </c>
      <c r="J608" s="8"/>
      <c r="K608" s="8"/>
      <c r="L608" s="8"/>
      <c r="M608" s="8" t="s">
        <v>1727</v>
      </c>
      <c r="N608" s="17" t="str">
        <f>HYPERLINK('Components Data Source'!M608)</f>
        <v>https://www.flowcode.co.uk/wiki/index.php?title=Component:_ID_29b4cd01_9dd8_43ad_b5b4_895358321a89</v>
      </c>
      <c r="O608" s="8" t="s">
        <v>1721</v>
      </c>
      <c r="P608" s="8"/>
      <c r="Q608" s="8"/>
      <c r="R608" s="8" t="s">
        <v>1727</v>
      </c>
      <c r="S608" s="8" t="s">
        <v>1721</v>
      </c>
      <c r="T608" s="8" t="s">
        <v>1727</v>
      </c>
      <c r="U608" s="8" t="s">
        <v>2568</v>
      </c>
      <c r="V608" s="1" t="s">
        <v>1731</v>
      </c>
      <c r="W608" s="1" t="s">
        <v>1731</v>
      </c>
      <c r="X608" s="8"/>
      <c r="Y608" s="8" t="s">
        <v>1721</v>
      </c>
      <c r="Z608" s="18">
        <f t="shared" si="19"/>
        <v>2</v>
      </c>
      <c r="AA608" s="8"/>
      <c r="AB608" s="7"/>
      <c r="AC608" s="7"/>
      <c r="AD608" s="8" t="s">
        <v>1727</v>
      </c>
      <c r="AE608" s="8"/>
      <c r="AF608" s="8"/>
      <c r="AG608" s="8"/>
      <c r="AH608" s="47"/>
      <c r="AI608" s="47" t="e">
        <f>VLOOKUP(B608,'Components Usage'!A$2:C$603,3,FALSE)</f>
        <v>#N/A</v>
      </c>
      <c r="AJ608" s="28"/>
    </row>
    <row r="609" spans="1:36" x14ac:dyDescent="0.25">
      <c r="A609" s="16" t="str">
        <f>'Components Data Source'!A609</f>
        <v>One Wire (DS2482)</v>
      </c>
      <c r="B609" s="8" t="str">
        <f>'Components Data Source'!B609</f>
        <v>55831E22-7885-4E0F-A9DE-73EBDA9D7FE9</v>
      </c>
      <c r="C609" s="8" t="str">
        <f>'Components Data Source'!C609</f>
        <v>OneWireDS2482.fcpx</v>
      </c>
      <c r="D609" s="8" t="str">
        <f>'Components Data Source'!D609</f>
        <v>Components\IO_Source\One_Wire_DS2482_I2C.fcfx</v>
      </c>
      <c r="E609" s="8" t="str">
        <f>'Components Data Source'!E609</f>
        <v>FREE</v>
      </c>
      <c r="F609" s="8"/>
      <c r="G609" s="8"/>
      <c r="H609" s="8"/>
      <c r="I609" s="8" t="str">
        <f>'Components Data Source'!F609</f>
        <v>COMMS: INTERFACE</v>
      </c>
      <c r="J609" s="8"/>
      <c r="K609" s="8"/>
      <c r="L609" s="8"/>
      <c r="M609" s="8" t="s">
        <v>1727</v>
      </c>
      <c r="N609" s="17" t="str">
        <f>HYPERLINK('Components Data Source'!M609)</f>
        <v>https://www.flowcode.co.uk/wiki/index.php?title=Component:_ID_55831e22_7885_4e0f_a9de_73ebda9d7fe9</v>
      </c>
      <c r="O609" s="8" t="s">
        <v>1721</v>
      </c>
      <c r="P609" s="8"/>
      <c r="Q609" s="8"/>
      <c r="R609" s="8" t="s">
        <v>1727</v>
      </c>
      <c r="S609" s="8" t="s">
        <v>1721</v>
      </c>
      <c r="T609" s="8" t="s">
        <v>1721</v>
      </c>
      <c r="U609" s="8" t="s">
        <v>1721</v>
      </c>
      <c r="V609" s="8" t="s">
        <v>2492</v>
      </c>
      <c r="W609" s="8" t="s">
        <v>1731</v>
      </c>
      <c r="X609" s="8"/>
      <c r="Y609" s="8" t="s">
        <v>1727</v>
      </c>
      <c r="Z609" s="18">
        <f t="shared" si="19"/>
        <v>2</v>
      </c>
      <c r="AA609" s="8"/>
      <c r="AB609" s="7" t="s">
        <v>2584</v>
      </c>
      <c r="AC609" s="7"/>
      <c r="AD609" s="8" t="s">
        <v>1721</v>
      </c>
      <c r="AE609" s="8" t="s">
        <v>1727</v>
      </c>
      <c r="AF609" s="8" t="s">
        <v>1727</v>
      </c>
      <c r="AG609" s="8"/>
      <c r="AH609" s="47"/>
      <c r="AI609" s="47" t="e">
        <f>VLOOKUP(B609,'Components Usage'!A$2:C$603,3,FALSE)</f>
        <v>#N/A</v>
      </c>
      <c r="AJ609" s="28" t="s">
        <v>2401</v>
      </c>
    </row>
    <row r="610" spans="1:36" x14ac:dyDescent="0.25">
      <c r="A610" s="16" t="str">
        <f>'Components Data Source'!A610</f>
        <v>Real Time Clock (ESP32)</v>
      </c>
      <c r="B610" s="8" t="str">
        <f>'Components Data Source'!B610</f>
        <v>920175DD-ACE8-49E2-9208-EC548563C9C0</v>
      </c>
      <c r="C610" s="8" t="str">
        <f>'Components Data Source'!C610</f>
        <v>RTC_ESP32_NTP.fcpx</v>
      </c>
      <c r="D610" s="8" t="str">
        <f>'Components Data Source'!D610</f>
        <v>Components\IO_Source\Storage\RTC_ESP32.fcfx</v>
      </c>
      <c r="E610" s="8" t="str">
        <f>'Components Data Source'!E610</f>
        <v>FREE</v>
      </c>
      <c r="F610" s="8"/>
      <c r="G610" s="8"/>
      <c r="H610" s="8"/>
      <c r="I610" s="8" t="str">
        <f>'Components Data Source'!F610</f>
        <v>STORAGE</v>
      </c>
      <c r="J610" s="8"/>
      <c r="K610" s="8"/>
      <c r="L610" s="8"/>
      <c r="M610" s="8" t="s">
        <v>1727</v>
      </c>
      <c r="N610" s="17" t="str">
        <f>HYPERLINK('Components Data Source'!M610)</f>
        <v>https://www.flowcode.co.uk/wiki/index.php?title=Component:_ID_920175dd_ace8_49e2_9208_ec548563c9c0</v>
      </c>
      <c r="O610" s="8" t="s">
        <v>2590</v>
      </c>
      <c r="P610" s="8" t="s">
        <v>2919</v>
      </c>
      <c r="Q610" s="8"/>
      <c r="R610" s="8" t="s">
        <v>1727</v>
      </c>
      <c r="S610" s="8" t="s">
        <v>1721</v>
      </c>
      <c r="T610" s="8" t="s">
        <v>1727</v>
      </c>
      <c r="U610" s="8" t="s">
        <v>2568</v>
      </c>
      <c r="V610" s="8" t="s">
        <v>1731</v>
      </c>
      <c r="W610" s="8" t="s">
        <v>1731</v>
      </c>
      <c r="X610" s="8"/>
      <c r="Y610" s="8" t="s">
        <v>1721</v>
      </c>
      <c r="Z610" s="18">
        <f t="shared" si="19"/>
        <v>2</v>
      </c>
      <c r="AA610" s="8"/>
      <c r="AB610" s="7"/>
      <c r="AC610" s="7"/>
      <c r="AD610" s="8" t="s">
        <v>1721</v>
      </c>
      <c r="AE610" s="8" t="s">
        <v>1727</v>
      </c>
      <c r="AF610" s="8" t="s">
        <v>1727</v>
      </c>
      <c r="AG610" s="8"/>
      <c r="AH610" s="47"/>
      <c r="AI610" s="47" t="e">
        <f>VLOOKUP(B610,'Components Usage'!A$2:C$603,3,FALSE)</f>
        <v>#N/A</v>
      </c>
      <c r="AJ610" s="28" t="s">
        <v>2401</v>
      </c>
    </row>
    <row r="611" spans="1:36" x14ac:dyDescent="0.25">
      <c r="A611" s="16" t="str">
        <f>'Components Data Source'!A611</f>
        <v>Temperature (DS1822)</v>
      </c>
      <c r="B611" s="8" t="str">
        <f>'Components Data Source'!B611</f>
        <v>DF4ECA75-779F-47CE-9495-56D3233BE5E1</v>
      </c>
      <c r="C611" s="8" t="str">
        <f>'Components Data Source'!C611</f>
        <v>Temp_DS1822.fcpx</v>
      </c>
      <c r="D611" s="8" t="str">
        <f>'Components Data Source'!D611</f>
        <v>Components\IO_Source\Sensors\Temperature_DS1822.fcfx</v>
      </c>
      <c r="E611" s="8" t="str">
        <f>'Components Data Source'!E611</f>
        <v>FREE</v>
      </c>
      <c r="F611" s="8"/>
      <c r="G611" s="8"/>
      <c r="H611" s="8"/>
      <c r="I611" s="8" t="str">
        <f>'Components Data Source'!F611</f>
        <v>ENVIRONMENTAL</v>
      </c>
      <c r="J611" s="8"/>
      <c r="K611" s="8"/>
      <c r="L611" s="8"/>
      <c r="M611" s="8" t="s">
        <v>1727</v>
      </c>
      <c r="N611" s="17" t="str">
        <f>HYPERLINK('Components Data Source'!M611)</f>
        <v>https://www.flowcode.co.uk/wiki/index.php?title=Component:_ID_df4eca75_779f_47ce_9495_56d3233be5e1</v>
      </c>
      <c r="O611" s="8" t="s">
        <v>1721</v>
      </c>
      <c r="P611" s="8"/>
      <c r="Q611" s="8"/>
      <c r="R611" s="8" t="s">
        <v>1727</v>
      </c>
      <c r="S611" s="8" t="s">
        <v>1721</v>
      </c>
      <c r="T611" s="8" t="s">
        <v>1727</v>
      </c>
      <c r="U611" s="8" t="s">
        <v>1721</v>
      </c>
      <c r="V611" s="1" t="s">
        <v>1731</v>
      </c>
      <c r="W611" s="8" t="s">
        <v>2492</v>
      </c>
      <c r="X611" s="8"/>
      <c r="Y611" s="8" t="s">
        <v>1721</v>
      </c>
      <c r="Z611" s="18">
        <f t="shared" si="19"/>
        <v>2</v>
      </c>
      <c r="AA611" s="8"/>
      <c r="AB611" s="7"/>
      <c r="AC611" s="7"/>
      <c r="AD611" s="8" t="s">
        <v>1721</v>
      </c>
      <c r="AE611" s="8" t="s">
        <v>1721</v>
      </c>
      <c r="AF611" s="8" t="s">
        <v>1727</v>
      </c>
      <c r="AG611" s="8"/>
      <c r="AH611" s="47"/>
      <c r="AI611" s="47" t="e">
        <f>VLOOKUP(B611,'Components Usage'!A$2:C$603,3,FALSE)</f>
        <v>#N/A</v>
      </c>
      <c r="AJ611" s="28" t="s">
        <v>2401</v>
      </c>
    </row>
    <row r="612" spans="1:36" x14ac:dyDescent="0.25">
      <c r="A612" s="16" t="str">
        <f>'Components Data Source'!A612</f>
        <v>Temperature (DS18B20)</v>
      </c>
      <c r="B612" s="8" t="str">
        <f>'Components Data Source'!B612</f>
        <v>783B7689-0C71-44FB-9DDE-673E4B7455BA</v>
      </c>
      <c r="C612" s="8" t="str">
        <f>'Components Data Source'!C612</f>
        <v>Temp_DS18B20.fcpx</v>
      </c>
      <c r="D612" s="8" t="str">
        <f>'Components Data Source'!D612</f>
        <v>Components\IO_Source\Sensors\Temperature_DS18B20.fcfx</v>
      </c>
      <c r="E612" s="8" t="str">
        <f>'Components Data Source'!E612</f>
        <v>FREE</v>
      </c>
      <c r="F612" s="8"/>
      <c r="G612" s="8"/>
      <c r="H612" s="8"/>
      <c r="I612" s="8" t="str">
        <f>'Components Data Source'!F612</f>
        <v>ENVIRONMENTAL</v>
      </c>
      <c r="J612" s="8"/>
      <c r="K612" s="8"/>
      <c r="L612" s="8"/>
      <c r="M612" s="8" t="s">
        <v>1727</v>
      </c>
      <c r="N612" s="17" t="str">
        <f>HYPERLINK('Components Data Source'!M612)</f>
        <v>https://www.flowcode.co.uk/wiki/index.php?title=Component:_ID_783b7689_0c71_44fb_9dde_673e4b7455ba</v>
      </c>
      <c r="O612" s="8" t="s">
        <v>1721</v>
      </c>
      <c r="P612" s="8"/>
      <c r="Q612" s="8"/>
      <c r="R612" s="8" t="s">
        <v>1727</v>
      </c>
      <c r="S612" s="8" t="s">
        <v>1721</v>
      </c>
      <c r="T612" s="8" t="s">
        <v>1727</v>
      </c>
      <c r="U612" s="8" t="s">
        <v>1721</v>
      </c>
      <c r="V612" s="1" t="s">
        <v>1731</v>
      </c>
      <c r="W612" s="8" t="s">
        <v>2492</v>
      </c>
      <c r="X612" s="8"/>
      <c r="Y612" s="8" t="s">
        <v>1721</v>
      </c>
      <c r="Z612" s="18">
        <f t="shared" si="19"/>
        <v>2</v>
      </c>
      <c r="AA612" s="8"/>
      <c r="AB612" s="7"/>
      <c r="AC612" s="7"/>
      <c r="AD612" s="8" t="s">
        <v>1721</v>
      </c>
      <c r="AE612" s="8" t="s">
        <v>1721</v>
      </c>
      <c r="AF612" s="8" t="s">
        <v>1727</v>
      </c>
      <c r="AG612" s="8"/>
      <c r="AH612" s="47"/>
      <c r="AI612" s="47" t="e">
        <f>VLOOKUP(B612,'Components Usage'!A$2:C$603,3,FALSE)</f>
        <v>#N/A</v>
      </c>
      <c r="AJ612" s="28" t="s">
        <v>2401</v>
      </c>
    </row>
    <row r="613" spans="1:36" x14ac:dyDescent="0.25">
      <c r="A613" s="16" t="str">
        <f>'Components Data Source'!A613</f>
        <v>Temperature (DS18S20)</v>
      </c>
      <c r="B613" s="8" t="str">
        <f>'Components Data Source'!B613</f>
        <v>B42D9405-A751-4622-8FBE-CE512DA391BA</v>
      </c>
      <c r="C613" s="8" t="str">
        <f>'Components Data Source'!C613</f>
        <v>Temp_DS18S20.fcpx</v>
      </c>
      <c r="D613" s="8" t="str">
        <f>'Components Data Source'!D613</f>
        <v>Components\IO_Source\Sensors\Temperature_DS18S20.fcfx</v>
      </c>
      <c r="E613" s="8" t="str">
        <f>'Components Data Source'!E613</f>
        <v>FREE</v>
      </c>
      <c r="F613" s="8"/>
      <c r="G613" s="8"/>
      <c r="H613" s="8"/>
      <c r="I613" s="8" t="str">
        <f>'Components Data Source'!F613</f>
        <v>ENVIRONMENTAL</v>
      </c>
      <c r="J613" s="8"/>
      <c r="K613" s="8"/>
      <c r="L613" s="8"/>
      <c r="M613" s="8" t="s">
        <v>1727</v>
      </c>
      <c r="N613" s="17" t="str">
        <f>HYPERLINK('Components Data Source'!M613)</f>
        <v>https://www.flowcode.co.uk/wiki/index.php?title=Component:_ID_b42d9405_a751_4622_8fbe_ce512da391ba</v>
      </c>
      <c r="O613" s="8" t="s">
        <v>1721</v>
      </c>
      <c r="P613" s="8"/>
      <c r="Q613" s="8"/>
      <c r="R613" s="8" t="s">
        <v>1727</v>
      </c>
      <c r="S613" s="8" t="s">
        <v>1721</v>
      </c>
      <c r="T613" s="8" t="s">
        <v>1727</v>
      </c>
      <c r="U613" s="8" t="s">
        <v>1721</v>
      </c>
      <c r="V613" s="1" t="s">
        <v>1731</v>
      </c>
      <c r="W613" s="8" t="s">
        <v>2492</v>
      </c>
      <c r="X613" s="8"/>
      <c r="Y613" s="8" t="s">
        <v>1721</v>
      </c>
      <c r="Z613" s="18">
        <f t="shared" si="19"/>
        <v>2</v>
      </c>
      <c r="AA613" s="8"/>
      <c r="AB613" s="7"/>
      <c r="AC613" s="7"/>
      <c r="AD613" s="8" t="s">
        <v>1721</v>
      </c>
      <c r="AE613" s="8" t="s">
        <v>1721</v>
      </c>
      <c r="AF613" s="8" t="s">
        <v>1727</v>
      </c>
      <c r="AG613" s="8"/>
      <c r="AH613" s="47"/>
      <c r="AI613" s="47" t="e">
        <f>VLOOKUP(B613,'Components Usage'!A$2:C$603,3,FALSE)</f>
        <v>#N/A</v>
      </c>
      <c r="AJ613" s="28" t="s">
        <v>2401</v>
      </c>
    </row>
    <row r="614" spans="1:36" x14ac:dyDescent="0.25">
      <c r="A614" s="16" t="str">
        <f>'Components Data Source'!A614</f>
        <v>Analogue Temp Sensors</v>
      </c>
      <c r="B614" s="8" t="str">
        <f>'Components Data Source'!B614</f>
        <v>69A2CA78-26F3-47DF-A402-B5A7C1FF73F2</v>
      </c>
      <c r="C614" s="8">
        <f>'Components Data Source'!C614</f>
        <v>0</v>
      </c>
      <c r="D614" s="8" t="str">
        <f>'Components Data Source'!D614</f>
        <v>Components\IO_Source\Sensors\Analogue Temperature Sensors.fcfx</v>
      </c>
      <c r="E614" s="8" t="str">
        <f>'Components Data Source'!E614</f>
        <v>FREE</v>
      </c>
      <c r="F614" s="8"/>
      <c r="G614" s="8"/>
      <c r="H614" s="8"/>
      <c r="I614" s="8" t="str">
        <f>'Components Data Source'!F614</f>
        <v>ENVIRONMENTAL</v>
      </c>
      <c r="J614" s="8"/>
      <c r="K614" s="8"/>
      <c r="L614" s="8"/>
      <c r="M614" s="8" t="s">
        <v>1727</v>
      </c>
      <c r="N614" s="17" t="str">
        <f>HYPERLINK('Components Data Source'!M614)</f>
        <v>https://www.flowcode.co.uk/wiki/index.php?title=Component:_ID_69a2ca78_26f3_47df_a402_b5a7c1ff73f2</v>
      </c>
      <c r="O614" s="8" t="s">
        <v>1721</v>
      </c>
      <c r="P614" s="8"/>
      <c r="Q614" s="8"/>
      <c r="R614" s="8" t="s">
        <v>1727</v>
      </c>
      <c r="S614" s="8" t="s">
        <v>1721</v>
      </c>
      <c r="T614" s="8" t="s">
        <v>1727</v>
      </c>
      <c r="U614" s="8" t="s">
        <v>2568</v>
      </c>
      <c r="V614" s="1" t="s">
        <v>1731</v>
      </c>
      <c r="W614" s="8" t="s">
        <v>1731</v>
      </c>
      <c r="X614" s="8" t="s">
        <v>1721</v>
      </c>
      <c r="Y614" s="8" t="s">
        <v>1721</v>
      </c>
      <c r="Z614" s="18" t="s">
        <v>1721</v>
      </c>
      <c r="AA614" s="8"/>
      <c r="AB614" s="7"/>
      <c r="AC614" s="7"/>
      <c r="AD614" s="8" t="s">
        <v>1721</v>
      </c>
      <c r="AE614" s="8" t="s">
        <v>1721</v>
      </c>
      <c r="AF614" s="8" t="s">
        <v>1727</v>
      </c>
      <c r="AG614" s="8"/>
      <c r="AH614" s="47"/>
      <c r="AI614" s="47" t="e">
        <f>VLOOKUP(B614,'Components Usage'!A$2:C$603,3,FALSE)</f>
        <v>#N/A</v>
      </c>
      <c r="AJ614" s="28" t="s">
        <v>1721</v>
      </c>
    </row>
    <row r="615" spans="1:36" x14ac:dyDescent="0.25">
      <c r="A615" s="16" t="str">
        <f>'Components Data Source'!A615</f>
        <v>DSPBuffer</v>
      </c>
      <c r="B615" s="8" t="str">
        <f>'Components Data Source'!B615</f>
        <v>08D7F73A-6B9F-47FA-AA34-B306613D1E51</v>
      </c>
      <c r="C615" s="8" t="str">
        <f>'Components Data Source'!C615</f>
        <v>Buff.fcpx</v>
      </c>
      <c r="D615" s="8" t="str">
        <f>'Components Data Source'!D615</f>
        <v>Components\IO_Source\DSP\DSP_Buff.fcfx</v>
      </c>
      <c r="E615" s="8" t="str">
        <f>'Components Data Source'!E615</f>
        <v>FREE</v>
      </c>
      <c r="F615" s="8"/>
      <c r="G615" s="8"/>
      <c r="H615" s="8"/>
      <c r="I615" s="8" t="str">
        <f>'Components Data Source'!F615</f>
        <v>DSP</v>
      </c>
      <c r="J615" s="8"/>
      <c r="K615" s="8"/>
      <c r="L615" s="8"/>
      <c r="M615" s="8" t="s">
        <v>1727</v>
      </c>
      <c r="N615" s="17" t="str">
        <f>HYPERLINK('Components Data Source'!M615)</f>
        <v>https://www.flowcode.co.uk/wiki/index.php?title=Component:_ID_08d7f73a_6b9f_47fa_aa34_b306613d1e51</v>
      </c>
      <c r="O615" s="8" t="s">
        <v>1721</v>
      </c>
      <c r="P615" s="8" t="s">
        <v>3552</v>
      </c>
      <c r="Q615" s="8"/>
      <c r="R615" s="8"/>
      <c r="S615" s="8"/>
      <c r="T615" s="8"/>
      <c r="U615" s="8"/>
      <c r="V615" s="1"/>
      <c r="W615" s="8"/>
      <c r="X615" s="8"/>
      <c r="Y615" s="8"/>
      <c r="Z615" s="18"/>
      <c r="AA615" s="8"/>
      <c r="AB615" s="7"/>
      <c r="AC615" s="7"/>
      <c r="AD615" s="8"/>
      <c r="AE615" s="8"/>
      <c r="AF615" s="8"/>
      <c r="AG615" s="8"/>
      <c r="AH615" s="47"/>
      <c r="AI615" s="47" t="e">
        <f>VLOOKUP(B615,'Components Usage'!A$2:C$603,3,FALSE)</f>
        <v>#N/A</v>
      </c>
      <c r="AJ615" s="28"/>
    </row>
    <row r="616" spans="1:36" hidden="1" x14ac:dyDescent="0.25">
      <c r="A616" s="16" t="str">
        <f>'Components Data Source'!A617</f>
        <v>Barometer(BMP180)</v>
      </c>
      <c r="B616" s="8" t="str">
        <f>'Components Data Source'!B617</f>
        <v>38F89887-AF35-470E-8C6F-C91F3C99E88D</v>
      </c>
      <c r="C616" s="8" t="str">
        <f>'Components Data Source'!C617</f>
        <v>PressureSensor_BME180.fcpx</v>
      </c>
      <c r="D616" s="8" t="str">
        <f>'Components Data Source'!D617</f>
        <v>Components\IO_Source\Sensors\Pressure_Sensor_BMP180.fcfx</v>
      </c>
      <c r="E616" s="8" t="str">
        <f>'Components Data Source'!E617</f>
        <v>SENSORS</v>
      </c>
      <c r="F616" s="8"/>
      <c r="G616" s="8"/>
      <c r="H616" s="8"/>
      <c r="I616" s="8" t="str">
        <f>'Components Data Source'!F617</f>
        <v>ENVIRONMENTAL</v>
      </c>
      <c r="J616" s="8"/>
      <c r="K616" s="8"/>
      <c r="L616" s="8"/>
      <c r="M616" s="8" t="s">
        <v>1727</v>
      </c>
      <c r="N616" s="17" t="str">
        <f>HYPERLINK('Components Data Source'!M617)</f>
        <v>https://www.flowcode.co.uk/wiki/index.php?title=Component:_ID_38f89887_af35_470e_8c6f_c91f3c99e88d</v>
      </c>
      <c r="O616" s="8" t="s">
        <v>1727</v>
      </c>
      <c r="P616" s="8" t="s">
        <v>3548</v>
      </c>
      <c r="Q616" s="8"/>
      <c r="R616" s="8"/>
      <c r="S616" s="8"/>
      <c r="T616" s="8"/>
      <c r="U616" s="8"/>
      <c r="V616" s="1"/>
      <c r="W616" s="8"/>
      <c r="X616" s="8"/>
      <c r="Y616" s="8"/>
      <c r="Z616" s="18"/>
      <c r="AA616" s="8"/>
      <c r="AB616" s="7"/>
      <c r="AC616" s="7"/>
      <c r="AD616" s="8"/>
      <c r="AE616" s="8"/>
      <c r="AF616" s="8"/>
      <c r="AG616" s="8"/>
      <c r="AH616" s="47"/>
      <c r="AI616" s="47" t="e">
        <f>VLOOKUP(B616,'Components Usage'!A$2:C$603,3,FALSE)</f>
        <v>#N/A</v>
      </c>
      <c r="AJ616" s="28"/>
    </row>
    <row r="617" spans="1:36" x14ac:dyDescent="0.25">
      <c r="A617" s="16" t="str">
        <f>'Components Data Source'!A618</f>
        <v>DSPBufferRef</v>
      </c>
      <c r="B617" s="8" t="str">
        <f>'Components Data Source'!B618</f>
        <v>1E4A092C-CB7C-4E40-863C-0A64DF7D297C</v>
      </c>
      <c r="C617" s="8" t="str">
        <f>'Components Data Source'!C618</f>
        <v>Ref.fcpx</v>
      </c>
      <c r="D617" s="8" t="str">
        <f>'Components Data Source'!D618</f>
        <v>Components\IO_Source\DSP\DSP_Buff_Ref.fcfx</v>
      </c>
      <c r="E617" s="8" t="str">
        <f>'Components Data Source'!E618</f>
        <v>FREE</v>
      </c>
      <c r="F617" s="8"/>
      <c r="G617" s="8"/>
      <c r="H617" s="8"/>
      <c r="I617" s="8" t="str">
        <f>'Components Data Source'!F618</f>
        <v>DSP</v>
      </c>
      <c r="J617" s="8"/>
      <c r="K617" s="8"/>
      <c r="L617" s="8"/>
      <c r="M617" s="8" t="s">
        <v>1727</v>
      </c>
      <c r="N617" s="17" t="str">
        <f>HYPERLINK('Components Data Source'!M618)</f>
        <v>https://www.flowcode.co.uk/wiki/index.php?title=Component:_ID_1e4a092c_cb7c_4e40_863c_0a64df7d297c</v>
      </c>
      <c r="O617" s="8" t="s">
        <v>1721</v>
      </c>
      <c r="P617" s="8"/>
      <c r="Q617" s="8"/>
      <c r="R617" s="8"/>
      <c r="S617" s="8"/>
      <c r="T617" s="8"/>
      <c r="U617" s="8"/>
      <c r="V617" s="1"/>
      <c r="W617" s="8"/>
      <c r="X617" s="8"/>
      <c r="Y617" s="8"/>
      <c r="Z617" s="18"/>
      <c r="AA617" s="8"/>
      <c r="AB617" s="7"/>
      <c r="AC617" s="7"/>
      <c r="AD617" s="8"/>
      <c r="AE617" s="8"/>
      <c r="AF617" s="8"/>
      <c r="AG617" s="8"/>
      <c r="AH617" s="47"/>
      <c r="AI617" s="47" t="e">
        <f>VLOOKUP(B617,'Components Usage'!A$2:C$603,3,FALSE)</f>
        <v>#N/A</v>
      </c>
      <c r="AJ617" s="28"/>
    </row>
    <row r="618" spans="1:36" hidden="1" x14ac:dyDescent="0.25">
      <c r="A618" s="16" t="str">
        <f>'Components Data Source'!A619</f>
        <v>GLCD (SSD1327) SPI</v>
      </c>
      <c r="B618" s="8" t="str">
        <f>'Components Data Source'!B619</f>
        <v>DEADE808-DA0A-4530-8CF4-7C7894FDB6A3</v>
      </c>
      <c r="C618" s="8" t="str">
        <f>'Components Data Source'!C619</f>
        <v>gLCD_SSD1327_SPI.fcpx</v>
      </c>
      <c r="D618" s="8" t="str">
        <f>'Components Data Source'!D619</f>
        <v>Components\IO_Source\displays\glcd_SSD1327_SPI.fcfx</v>
      </c>
      <c r="E618" s="8" t="str">
        <f>'Components Data Source'!E619</f>
        <v>DISPLAYS</v>
      </c>
      <c r="F618" s="8"/>
      <c r="G618" s="8"/>
      <c r="H618" s="8"/>
      <c r="I618" s="8" t="str">
        <f>'Components Data Source'!F619</f>
        <v>GRAPHICAL MONOCHROME</v>
      </c>
      <c r="J618" s="8"/>
      <c r="K618" s="8"/>
      <c r="L618" s="8"/>
      <c r="M618" s="8" t="s">
        <v>1727</v>
      </c>
      <c r="N618" s="17" t="str">
        <f>HYPERLINK('Components Data Source'!M619)</f>
        <v>https://www.flowcode.co.uk/wiki/index.php?title=Component:_ID_deade808_da0a_4530_8cf4_7c7894fdb6a3</v>
      </c>
      <c r="O618" s="8" t="s">
        <v>2590</v>
      </c>
      <c r="P618" s="8" t="s">
        <v>2920</v>
      </c>
      <c r="Q618" s="8"/>
      <c r="R618" s="8"/>
      <c r="S618" s="8"/>
      <c r="T618" s="8"/>
      <c r="U618" s="8"/>
      <c r="V618" s="1"/>
      <c r="W618" s="8"/>
      <c r="X618" s="8"/>
      <c r="Y618" s="8"/>
      <c r="Z618" s="18"/>
      <c r="AA618" s="8"/>
      <c r="AB618" s="7"/>
      <c r="AC618" s="7"/>
      <c r="AD618" s="8"/>
      <c r="AE618" s="8"/>
      <c r="AF618" s="8"/>
      <c r="AG618" s="8"/>
      <c r="AH618" s="47"/>
      <c r="AI618" s="47" t="e">
        <f>VLOOKUP(B618,'Components Usage'!A$2:C$603,3,FALSE)</f>
        <v>#N/A</v>
      </c>
      <c r="AJ618" s="28"/>
    </row>
    <row r="619" spans="1:36" ht="15.75" thickBot="1" x14ac:dyDescent="0.3">
      <c r="A619" s="20" t="str">
        <f>'Components Data Source'!A620</f>
        <v>Console User Input</v>
      </c>
      <c r="B619" s="15" t="str">
        <f>'Components Data Source'!B620</f>
        <v>3BF29E52-EBB4-4528-8D19-B2860C8AB80C</v>
      </c>
      <c r="C619" s="15" t="str">
        <f>'Components Data Source'!C620</f>
        <v>ConsoleUserInput.fcpx</v>
      </c>
      <c r="D619" s="15" t="str">
        <f>'Components Data Source'!D620</f>
        <v>Components\IO_Source\SCADA\ConsoleRead.fcfx</v>
      </c>
      <c r="E619" s="15" t="str">
        <f>'Components Data Source'!E620</f>
        <v>FREE</v>
      </c>
      <c r="F619" s="15"/>
      <c r="G619" s="15"/>
      <c r="H619" s="15"/>
      <c r="I619" s="15" t="str">
        <f>'Components Data Source'!F620</f>
        <v>RUNTIME TOOLS</v>
      </c>
      <c r="J619" s="15"/>
      <c r="K619" s="15"/>
      <c r="L619" s="15"/>
      <c r="M619" s="8" t="s">
        <v>1727</v>
      </c>
      <c r="N619" s="17" t="str">
        <f>HYPERLINK('Components Data Source'!M620)</f>
        <v>https://www.flowcode.co.uk/wiki/index.php?title=Component:_ID_3bf29e52_ebb4_4528_8d19_b2860c8ab80c</v>
      </c>
      <c r="O619" s="15" t="s">
        <v>1721</v>
      </c>
      <c r="P619" s="15"/>
      <c r="Q619" s="15"/>
      <c r="R619" s="15"/>
      <c r="S619" s="15"/>
      <c r="T619" s="15"/>
      <c r="U619" s="15"/>
      <c r="V619" s="43"/>
      <c r="W619" s="15"/>
      <c r="X619" s="15"/>
      <c r="Y619" s="15"/>
      <c r="Z619" s="44"/>
      <c r="AA619" s="15"/>
      <c r="AB619" s="13"/>
      <c r="AC619" s="13"/>
      <c r="AD619" s="15"/>
      <c r="AE619" s="15"/>
      <c r="AF619" s="15"/>
      <c r="AG619" s="15"/>
      <c r="AH619" s="48"/>
      <c r="AI619" s="47" t="e">
        <f>VLOOKUP(B619,'Components Usage'!A$2:C$603,3,FALSE)</f>
        <v>#N/A</v>
      </c>
      <c r="AJ619" s="39"/>
    </row>
    <row r="620" spans="1:36" ht="15.75" hidden="1" thickBot="1" x14ac:dyDescent="0.3">
      <c r="A620" s="20">
        <f>'Components Data Source'!A621</f>
        <v>0</v>
      </c>
      <c r="B620" s="15">
        <f>'Components Data Source'!B621</f>
        <v>0</v>
      </c>
      <c r="C620" s="15">
        <f>'Components Data Source'!C621</f>
        <v>0</v>
      </c>
      <c r="D620" s="15">
        <f>'Components Data Source'!D621</f>
        <v>0</v>
      </c>
      <c r="E620" s="15">
        <f>'Components Data Source'!E621</f>
        <v>0</v>
      </c>
      <c r="F620" s="15"/>
      <c r="G620" s="15"/>
      <c r="H620" s="15"/>
      <c r="I620" s="15">
        <f>'Components Data Source'!F621</f>
        <v>0</v>
      </c>
      <c r="J620" s="15"/>
      <c r="K620" s="15"/>
      <c r="L620" s="15"/>
      <c r="M620" s="8" t="s">
        <v>1727</v>
      </c>
      <c r="N620" s="17" t="str">
        <f>HYPERLINK('Components Data Source'!M621)</f>
        <v/>
      </c>
      <c r="O620" s="15"/>
      <c r="P620" s="15"/>
      <c r="Q620" s="15"/>
      <c r="R620" s="15"/>
      <c r="S620" s="15"/>
      <c r="T620" s="15"/>
      <c r="U620" s="15"/>
      <c r="V620" s="43"/>
      <c r="W620" s="15"/>
      <c r="X620" s="15"/>
      <c r="Y620" s="15"/>
      <c r="Z620" s="44"/>
      <c r="AA620" s="15"/>
      <c r="AB620" s="13"/>
      <c r="AC620" s="13"/>
      <c r="AD620" s="15"/>
      <c r="AE620" s="15"/>
      <c r="AF620" s="15"/>
      <c r="AG620" s="15"/>
      <c r="AH620" s="48"/>
      <c r="AI620" s="47" t="e">
        <f>VLOOKUP(B620,'Components Usage'!A$2:C$603,3,FALSE)</f>
        <v>#N/A</v>
      </c>
      <c r="AJ620" s="39"/>
    </row>
    <row r="621" spans="1:36" ht="29.25" hidden="1" customHeight="1" x14ac:dyDescent="0.25">
      <c r="A621" s="49" t="s">
        <v>3651</v>
      </c>
      <c r="B621" s="14">
        <f>'Components Data Source'!B622</f>
        <v>0</v>
      </c>
      <c r="C621" s="14">
        <f>'Components Data Source'!C622</f>
        <v>0</v>
      </c>
      <c r="D621" s="14">
        <f>'Components Data Source'!D622</f>
        <v>0</v>
      </c>
      <c r="E621" s="14" t="s">
        <v>3719</v>
      </c>
      <c r="F621" s="14" t="s">
        <v>3654</v>
      </c>
      <c r="G621" s="14" t="s">
        <v>3655</v>
      </c>
      <c r="H621" s="14" t="s">
        <v>2600</v>
      </c>
      <c r="I621" s="14" t="s">
        <v>3743</v>
      </c>
      <c r="J621" s="5" t="s">
        <v>3744</v>
      </c>
      <c r="K621" s="14" t="s">
        <v>3745</v>
      </c>
      <c r="AB621" s="14"/>
      <c r="AC621" s="14"/>
    </row>
    <row r="622" spans="1:36" ht="15.75" hidden="1" thickBot="1" x14ac:dyDescent="0.3">
      <c r="A622" s="20" t="s">
        <v>3543</v>
      </c>
      <c r="B622" s="14">
        <f>'Components Data Source'!B623</f>
        <v>0</v>
      </c>
      <c r="C622" s="14">
        <f>'Components Data Source'!C623</f>
        <v>0</v>
      </c>
      <c r="E622" s="8" t="s">
        <v>1727</v>
      </c>
      <c r="F622" s="8" t="s">
        <v>1727</v>
      </c>
      <c r="G622" s="8" t="s">
        <v>1727</v>
      </c>
      <c r="H622" s="5"/>
      <c r="I622" s="14">
        <f>'Components Data Source'!F623</f>
        <v>0</v>
      </c>
      <c r="J622" s="8" t="s">
        <v>1727</v>
      </c>
      <c r="AB622" s="14"/>
      <c r="AC622" s="14"/>
    </row>
    <row r="623" spans="1:36" hidden="1" x14ac:dyDescent="0.25">
      <c r="A623" s="14" t="s">
        <v>1459</v>
      </c>
      <c r="B623" s="14" t="s">
        <v>3681</v>
      </c>
      <c r="C623" s="14" t="s">
        <v>3685</v>
      </c>
      <c r="D623" s="14" t="s">
        <v>3682</v>
      </c>
      <c r="E623" s="8" t="s">
        <v>1721</v>
      </c>
      <c r="F623" s="8" t="s">
        <v>1721</v>
      </c>
      <c r="G623" s="8" t="s">
        <v>1721</v>
      </c>
      <c r="H623" s="5"/>
      <c r="I623" s="14">
        <f>'Components Data Source'!F624</f>
        <v>0</v>
      </c>
      <c r="J623" s="8" t="s">
        <v>1721</v>
      </c>
      <c r="K623" s="14" t="s">
        <v>3746</v>
      </c>
      <c r="AB623" s="14"/>
      <c r="AC623" s="14"/>
    </row>
    <row r="624" spans="1:36" hidden="1" x14ac:dyDescent="0.25">
      <c r="A624" s="14" t="s">
        <v>1462</v>
      </c>
      <c r="B624" s="14" t="s">
        <v>3684</v>
      </c>
      <c r="C624" s="14" t="s">
        <v>3692</v>
      </c>
      <c r="D624" s="14" t="s">
        <v>3683</v>
      </c>
      <c r="E624" s="8" t="s">
        <v>1721</v>
      </c>
      <c r="F624" s="8" t="s">
        <v>1721</v>
      </c>
      <c r="G624" s="8" t="s">
        <v>1721</v>
      </c>
      <c r="H624" s="5"/>
      <c r="J624" s="8" t="s">
        <v>1727</v>
      </c>
      <c r="AB624" s="14"/>
      <c r="AC624" s="14"/>
    </row>
    <row r="625" spans="1:29" hidden="1" x14ac:dyDescent="0.25">
      <c r="A625" s="14" t="s">
        <v>601</v>
      </c>
      <c r="B625" s="14" t="s">
        <v>3663</v>
      </c>
      <c r="C625" s="14" t="s">
        <v>3669</v>
      </c>
      <c r="D625" s="14" t="s">
        <v>3686</v>
      </c>
      <c r="E625" s="8" t="s">
        <v>1721</v>
      </c>
      <c r="F625" s="8" t="s">
        <v>1721</v>
      </c>
      <c r="G625" s="8" t="s">
        <v>1721</v>
      </c>
      <c r="H625" s="5" t="s">
        <v>3664</v>
      </c>
      <c r="I625" s="14">
        <f>'Components Data Source'!F625</f>
        <v>0</v>
      </c>
      <c r="J625" s="8" t="s">
        <v>1727</v>
      </c>
      <c r="AB625" s="14"/>
      <c r="AC625" s="14"/>
    </row>
    <row r="626" spans="1:29" hidden="1" x14ac:dyDescent="0.25">
      <c r="A626" s="14" t="s">
        <v>604</v>
      </c>
      <c r="B626" s="14" t="s">
        <v>3665</v>
      </c>
      <c r="C626" s="14" t="s">
        <v>3694</v>
      </c>
      <c r="D626" s="14" t="s">
        <v>3693</v>
      </c>
      <c r="E626" s="8" t="s">
        <v>1721</v>
      </c>
      <c r="F626" s="8" t="s">
        <v>1721</v>
      </c>
      <c r="G626" s="8" t="s">
        <v>1721</v>
      </c>
      <c r="H626" s="5" t="s">
        <v>3664</v>
      </c>
      <c r="I626" s="14">
        <f>'Components Data Source'!F626</f>
        <v>0</v>
      </c>
      <c r="J626" s="8" t="s">
        <v>1727</v>
      </c>
      <c r="AB626" s="14"/>
      <c r="AC626" s="14"/>
    </row>
    <row r="627" spans="1:29" hidden="1" x14ac:dyDescent="0.25">
      <c r="A627" s="14" t="s">
        <v>2620</v>
      </c>
      <c r="B627" s="14" t="s">
        <v>3666</v>
      </c>
      <c r="C627" s="14" t="s">
        <v>3695</v>
      </c>
      <c r="D627" s="14" t="s">
        <v>3696</v>
      </c>
      <c r="E627" s="8" t="s">
        <v>1721</v>
      </c>
      <c r="F627" s="8" t="s">
        <v>1721</v>
      </c>
      <c r="G627" s="8" t="s">
        <v>1721</v>
      </c>
      <c r="H627" s="5"/>
      <c r="I627" s="14">
        <f>'Components Data Source'!F627</f>
        <v>0</v>
      </c>
      <c r="J627" s="8" t="s">
        <v>1727</v>
      </c>
      <c r="K627" s="14" t="s">
        <v>3748</v>
      </c>
      <c r="AB627" s="14"/>
      <c r="AC627" s="14"/>
    </row>
    <row r="628" spans="1:29" hidden="1" x14ac:dyDescent="0.25">
      <c r="A628" s="14" t="s">
        <v>1477</v>
      </c>
      <c r="B628" s="14" t="s">
        <v>3667</v>
      </c>
      <c r="C628" s="14" t="s">
        <v>1479</v>
      </c>
      <c r="D628" s="14" t="s">
        <v>3662</v>
      </c>
      <c r="E628" s="8" t="s">
        <v>1721</v>
      </c>
      <c r="F628" s="8" t="s">
        <v>1721</v>
      </c>
      <c r="G628" s="8" t="s">
        <v>1721</v>
      </c>
      <c r="H628" s="5" t="s">
        <v>3668</v>
      </c>
      <c r="I628" s="14">
        <f>'Components Data Source'!F628</f>
        <v>0</v>
      </c>
      <c r="J628" s="8" t="s">
        <v>1727</v>
      </c>
      <c r="AB628" s="14"/>
      <c r="AC628" s="14"/>
    </row>
    <row r="629" spans="1:29" hidden="1" x14ac:dyDescent="0.25">
      <c r="A629" s="14" t="s">
        <v>3656</v>
      </c>
      <c r="B629" s="14" t="s">
        <v>3691</v>
      </c>
      <c r="C629" s="14" t="s">
        <v>3697</v>
      </c>
      <c r="D629" s="14" t="s">
        <v>3690</v>
      </c>
      <c r="E629" s="8" t="s">
        <v>1721</v>
      </c>
      <c r="F629" s="8" t="s">
        <v>1721</v>
      </c>
      <c r="G629" s="8" t="s">
        <v>1721</v>
      </c>
      <c r="H629" s="5"/>
      <c r="J629" s="8" t="s">
        <v>1727</v>
      </c>
      <c r="AB629" s="14"/>
      <c r="AC629" s="14"/>
    </row>
    <row r="630" spans="1:29" hidden="1" x14ac:dyDescent="0.25">
      <c r="A630" s="14" t="s">
        <v>3652</v>
      </c>
      <c r="B630" s="14" t="s">
        <v>3679</v>
      </c>
      <c r="C630" s="14" t="s">
        <v>3678</v>
      </c>
      <c r="D630" s="14" t="s">
        <v>3680</v>
      </c>
      <c r="E630" s="8" t="s">
        <v>1721</v>
      </c>
      <c r="F630" s="8" t="s">
        <v>1721</v>
      </c>
      <c r="G630" s="8" t="s">
        <v>1721</v>
      </c>
      <c r="H630" s="5"/>
      <c r="I630" s="14">
        <f>'Components Data Source'!F629</f>
        <v>0</v>
      </c>
      <c r="J630" s="8" t="s">
        <v>1727</v>
      </c>
      <c r="AB630" s="14"/>
      <c r="AC630" s="14"/>
    </row>
    <row r="631" spans="1:29" hidden="1" x14ac:dyDescent="0.25">
      <c r="A631" s="14" t="s">
        <v>3653</v>
      </c>
      <c r="B631" s="14" t="s">
        <v>3702</v>
      </c>
      <c r="C631" s="14" t="s">
        <v>3703</v>
      </c>
      <c r="D631" s="14" t="s">
        <v>3704</v>
      </c>
      <c r="E631" s="8" t="s">
        <v>1721</v>
      </c>
      <c r="F631" s="8" t="s">
        <v>1721</v>
      </c>
      <c r="G631" s="8" t="s">
        <v>1721</v>
      </c>
      <c r="H631" s="5"/>
      <c r="I631" s="14">
        <f>'Components Data Source'!F630</f>
        <v>0</v>
      </c>
      <c r="J631" s="8" t="s">
        <v>1727</v>
      </c>
      <c r="AB631" s="14"/>
      <c r="AC631" s="14"/>
    </row>
    <row r="632" spans="1:29" hidden="1" x14ac:dyDescent="0.25">
      <c r="A632" s="14" t="s">
        <v>663</v>
      </c>
      <c r="B632" s="14" t="s">
        <v>3698</v>
      </c>
      <c r="C632" s="14" t="s">
        <v>3700</v>
      </c>
      <c r="D632" s="14" t="s">
        <v>3699</v>
      </c>
      <c r="E632" s="8" t="s">
        <v>1721</v>
      </c>
      <c r="F632" s="8" t="s">
        <v>1721</v>
      </c>
      <c r="G632" s="8" t="s">
        <v>1721</v>
      </c>
      <c r="H632" s="5"/>
      <c r="I632" s="14">
        <f>'Components Data Source'!F632</f>
        <v>0</v>
      </c>
      <c r="J632" s="8" t="s">
        <v>1727</v>
      </c>
      <c r="AB632" s="14"/>
      <c r="AC632" s="14"/>
    </row>
    <row r="633" spans="1:29" hidden="1" x14ac:dyDescent="0.25">
      <c r="A633" s="14" t="s">
        <v>3657</v>
      </c>
      <c r="B633" s="14" t="s">
        <v>3670</v>
      </c>
      <c r="C633" s="14" t="s">
        <v>3673</v>
      </c>
      <c r="D633" s="14" t="s">
        <v>3674</v>
      </c>
      <c r="E633" s="8" t="s">
        <v>1721</v>
      </c>
      <c r="F633" s="8" t="s">
        <v>1721</v>
      </c>
      <c r="G633" s="8" t="s">
        <v>1721</v>
      </c>
      <c r="H633" s="5"/>
      <c r="I633" s="14">
        <f>'Components Data Source'!F633</f>
        <v>0</v>
      </c>
      <c r="J633" s="8" t="s">
        <v>1727</v>
      </c>
      <c r="AB633" s="14"/>
      <c r="AC633" s="14"/>
    </row>
    <row r="634" spans="1:29" hidden="1" x14ac:dyDescent="0.25">
      <c r="A634" s="14" t="s">
        <v>3658</v>
      </c>
      <c r="B634" s="14" t="s">
        <v>3676</v>
      </c>
      <c r="C634" s="14" t="s">
        <v>3677</v>
      </c>
      <c r="D634" s="14" t="s">
        <v>3675</v>
      </c>
      <c r="E634" s="8" t="s">
        <v>1721</v>
      </c>
      <c r="F634" s="8" t="s">
        <v>1721</v>
      </c>
      <c r="G634" s="8" t="s">
        <v>1721</v>
      </c>
      <c r="H634" s="5"/>
      <c r="I634" s="14">
        <f>'Components Data Source'!F634</f>
        <v>0</v>
      </c>
      <c r="J634" s="8" t="s">
        <v>1727</v>
      </c>
      <c r="AB634" s="14"/>
      <c r="AC634" s="14"/>
    </row>
    <row r="635" spans="1:29" hidden="1" x14ac:dyDescent="0.25">
      <c r="A635" s="14" t="s">
        <v>3659</v>
      </c>
      <c r="B635" s="14" t="s">
        <v>3701</v>
      </c>
      <c r="C635" s="14" t="s">
        <v>3671</v>
      </c>
      <c r="D635" s="14" t="s">
        <v>3672</v>
      </c>
      <c r="E635" s="8" t="s">
        <v>1721</v>
      </c>
      <c r="F635" s="8" t="s">
        <v>1721</v>
      </c>
      <c r="G635" s="8" t="s">
        <v>1721</v>
      </c>
      <c r="H635" s="5"/>
      <c r="I635" s="14">
        <f>'Components Data Source'!F635</f>
        <v>0</v>
      </c>
      <c r="J635" s="8" t="s">
        <v>1727</v>
      </c>
      <c r="AB635" s="14"/>
      <c r="AC635" s="14"/>
    </row>
    <row r="636" spans="1:29" hidden="1" x14ac:dyDescent="0.25">
      <c r="A636" s="14" t="s">
        <v>1713</v>
      </c>
      <c r="B636" s="14" t="s">
        <v>3689</v>
      </c>
      <c r="C636" s="14" t="s">
        <v>3687</v>
      </c>
      <c r="D636" s="14" t="s">
        <v>3688</v>
      </c>
      <c r="E636" s="8" t="s">
        <v>1721</v>
      </c>
      <c r="F636" s="8" t="s">
        <v>1721</v>
      </c>
      <c r="G636" s="8" t="s">
        <v>1721</v>
      </c>
      <c r="H636" s="5"/>
      <c r="I636" s="14">
        <f>'Components Data Source'!F636</f>
        <v>0</v>
      </c>
      <c r="J636" s="8" t="s">
        <v>1727</v>
      </c>
      <c r="AB636" s="14"/>
      <c r="AC636" s="14"/>
    </row>
    <row r="637" spans="1:29" hidden="1" x14ac:dyDescent="0.25">
      <c r="A637" s="14" t="s">
        <v>1710</v>
      </c>
      <c r="B637" s="14" t="s">
        <v>3710</v>
      </c>
      <c r="C637" s="14" t="s">
        <v>3712</v>
      </c>
      <c r="D637" s="14" t="s">
        <v>3713</v>
      </c>
      <c r="E637" s="8" t="s">
        <v>1721</v>
      </c>
      <c r="F637" s="8" t="s">
        <v>1721</v>
      </c>
      <c r="G637" s="8" t="s">
        <v>1721</v>
      </c>
      <c r="H637" s="5"/>
      <c r="J637" s="8" t="s">
        <v>1727</v>
      </c>
      <c r="AB637" s="14"/>
      <c r="AC637" s="14"/>
    </row>
    <row r="638" spans="1:29" hidden="1" x14ac:dyDescent="0.25">
      <c r="A638" s="14" t="s">
        <v>3660</v>
      </c>
      <c r="B638" s="14" t="s">
        <v>3711</v>
      </c>
      <c r="C638" s="14" t="s">
        <v>3706</v>
      </c>
      <c r="D638" s="14" t="s">
        <v>3705</v>
      </c>
      <c r="E638" s="8" t="s">
        <v>1721</v>
      </c>
      <c r="F638" s="8" t="s">
        <v>1721</v>
      </c>
      <c r="G638" s="8" t="s">
        <v>1721</v>
      </c>
      <c r="H638" s="5"/>
      <c r="I638" s="14">
        <f>'Components Data Source'!F637</f>
        <v>0</v>
      </c>
      <c r="J638" s="8" t="s">
        <v>1727</v>
      </c>
      <c r="AB638" s="14"/>
      <c r="AC638" s="14"/>
    </row>
    <row r="639" spans="1:29" hidden="1" x14ac:dyDescent="0.25">
      <c r="A639" s="14" t="s">
        <v>3661</v>
      </c>
      <c r="B639" s="14" t="s">
        <v>3708</v>
      </c>
      <c r="C639" s="14" t="s">
        <v>3709</v>
      </c>
      <c r="D639" s="14" t="s">
        <v>3707</v>
      </c>
      <c r="E639" s="8" t="s">
        <v>1721</v>
      </c>
      <c r="F639" s="8" t="s">
        <v>1721</v>
      </c>
      <c r="G639" s="8" t="s">
        <v>1721</v>
      </c>
      <c r="H639" s="5"/>
      <c r="I639" s="14">
        <f>'Components Data Source'!F638</f>
        <v>0</v>
      </c>
      <c r="J639" s="8" t="s">
        <v>1727</v>
      </c>
      <c r="AB639" s="14"/>
      <c r="AC639" s="14"/>
    </row>
    <row r="640" spans="1:29" hidden="1" x14ac:dyDescent="0.25">
      <c r="A640" s="14" t="s">
        <v>1392</v>
      </c>
      <c r="B640" s="14" t="s">
        <v>3714</v>
      </c>
      <c r="C640" s="14" t="s">
        <v>1394</v>
      </c>
      <c r="D640" s="14" t="s">
        <v>3715</v>
      </c>
      <c r="E640" s="8" t="s">
        <v>3727</v>
      </c>
      <c r="F640" s="8" t="s">
        <v>1721</v>
      </c>
      <c r="G640" s="8" t="s">
        <v>1721</v>
      </c>
      <c r="H640" s="5"/>
      <c r="I640" s="8" t="s">
        <v>1721</v>
      </c>
      <c r="J640" s="8" t="s">
        <v>1727</v>
      </c>
      <c r="K640" s="14" t="s">
        <v>3748</v>
      </c>
      <c r="AB640" s="14"/>
      <c r="AC640" s="14"/>
    </row>
    <row r="641" spans="1:29" hidden="1" x14ac:dyDescent="0.25">
      <c r="A641" s="14" t="s">
        <v>3716</v>
      </c>
      <c r="B641" s="14" t="s">
        <v>3717</v>
      </c>
      <c r="C641" s="14" t="s">
        <v>1391</v>
      </c>
      <c r="D641" s="14" t="s">
        <v>3718</v>
      </c>
      <c r="E641" s="8" t="s">
        <v>3727</v>
      </c>
      <c r="F641" s="8" t="s">
        <v>1721</v>
      </c>
      <c r="G641" s="8" t="s">
        <v>1721</v>
      </c>
      <c r="H641" s="5"/>
      <c r="I641" s="8" t="s">
        <v>1721</v>
      </c>
      <c r="J641" s="8" t="s">
        <v>1727</v>
      </c>
      <c r="AB641" s="14"/>
      <c r="AC641" s="14"/>
    </row>
    <row r="642" spans="1:29" hidden="1" x14ac:dyDescent="0.25">
      <c r="A642" s="14" t="s">
        <v>3722</v>
      </c>
      <c r="B642" s="14" t="s">
        <v>3721</v>
      </c>
      <c r="C642" s="14" t="s">
        <v>1402</v>
      </c>
      <c r="D642" s="14" t="s">
        <v>3720</v>
      </c>
      <c r="E642" s="8" t="s">
        <v>3727</v>
      </c>
      <c r="F642" s="8" t="s">
        <v>1721</v>
      </c>
      <c r="G642" s="8" t="s">
        <v>1721</v>
      </c>
      <c r="H642" s="5"/>
      <c r="I642" s="8" t="s">
        <v>1721</v>
      </c>
      <c r="J642" s="8" t="s">
        <v>1727</v>
      </c>
      <c r="AB642" s="14"/>
      <c r="AC642" s="14"/>
    </row>
    <row r="643" spans="1:29" hidden="1" x14ac:dyDescent="0.25">
      <c r="A643" s="14" t="s">
        <v>1403</v>
      </c>
      <c r="B643" s="14" t="s">
        <v>3723</v>
      </c>
      <c r="C643" s="14" t="s">
        <v>1405</v>
      </c>
      <c r="D643" s="14" t="s">
        <v>3724</v>
      </c>
      <c r="E643" s="8" t="s">
        <v>3727</v>
      </c>
      <c r="F643" s="8" t="s">
        <v>1721</v>
      </c>
      <c r="G643" s="8" t="s">
        <v>1721</v>
      </c>
      <c r="H643" s="5"/>
      <c r="I643" s="8" t="s">
        <v>1721</v>
      </c>
      <c r="J643" s="8" t="s">
        <v>1727</v>
      </c>
      <c r="AB643" s="14"/>
      <c r="AC643" s="14"/>
    </row>
    <row r="644" spans="1:29" hidden="1" x14ac:dyDescent="0.25">
      <c r="A644" s="14" t="s">
        <v>1395</v>
      </c>
      <c r="B644" s="14" t="s">
        <v>3725</v>
      </c>
      <c r="C644" s="14" t="s">
        <v>1397</v>
      </c>
      <c r="D644" s="14" t="s">
        <v>3726</v>
      </c>
      <c r="E644" s="8" t="s">
        <v>3727</v>
      </c>
      <c r="F644" s="8" t="s">
        <v>1721</v>
      </c>
      <c r="G644" s="8" t="s">
        <v>1721</v>
      </c>
      <c r="H644" s="5"/>
      <c r="I644" s="8" t="s">
        <v>1721</v>
      </c>
      <c r="J644" s="8" t="s">
        <v>1727</v>
      </c>
      <c r="AB644" s="14"/>
      <c r="AC644" s="14"/>
    </row>
    <row r="645" spans="1:29" hidden="1" x14ac:dyDescent="0.25">
      <c r="A645" s="14" t="s">
        <v>824</v>
      </c>
      <c r="B645" s="14" t="s">
        <v>2646</v>
      </c>
      <c r="C645" s="14" t="s">
        <v>826</v>
      </c>
      <c r="D645" s="14" t="s">
        <v>3728</v>
      </c>
      <c r="E645" s="8" t="s">
        <v>3727</v>
      </c>
      <c r="F645" s="8" t="s">
        <v>1721</v>
      </c>
      <c r="G645" s="8" t="s">
        <v>1721</v>
      </c>
      <c r="H645" s="5"/>
      <c r="I645" s="8" t="s">
        <v>1727</v>
      </c>
      <c r="J645" s="8" t="s">
        <v>1727</v>
      </c>
      <c r="K645" s="14" t="s">
        <v>3748</v>
      </c>
      <c r="AB645" s="14"/>
      <c r="AC645" s="14"/>
    </row>
    <row r="646" spans="1:29" hidden="1" x14ac:dyDescent="0.25">
      <c r="A646" s="14" t="s">
        <v>70</v>
      </c>
      <c r="B646" s="14" t="s">
        <v>3729</v>
      </c>
      <c r="C646" s="14" t="s">
        <v>72</v>
      </c>
      <c r="D646" s="14" t="s">
        <v>3730</v>
      </c>
      <c r="E646" s="8" t="s">
        <v>3727</v>
      </c>
      <c r="F646" s="8" t="s">
        <v>1721</v>
      </c>
      <c r="G646" s="8" t="s">
        <v>1721</v>
      </c>
      <c r="I646" s="8" t="s">
        <v>1727</v>
      </c>
      <c r="J646" s="8" t="s">
        <v>1727</v>
      </c>
      <c r="K646" s="14" t="s">
        <v>3748</v>
      </c>
      <c r="AB646" s="14"/>
      <c r="AC646" s="14"/>
    </row>
    <row r="647" spans="1:29" hidden="1" x14ac:dyDescent="0.25">
      <c r="A647" s="50" t="s">
        <v>1244</v>
      </c>
      <c r="B647" s="14" t="s">
        <v>3732</v>
      </c>
      <c r="C647" s="14" t="s">
        <v>1246</v>
      </c>
      <c r="D647" s="14" t="s">
        <v>3731</v>
      </c>
      <c r="E647" s="8" t="s">
        <v>3727</v>
      </c>
      <c r="F647" s="8" t="s">
        <v>1721</v>
      </c>
      <c r="G647" s="8" t="s">
        <v>1721</v>
      </c>
      <c r="I647" s="8" t="s">
        <v>1727</v>
      </c>
      <c r="J647" s="8" t="s">
        <v>1727</v>
      </c>
      <c r="K647" s="14" t="s">
        <v>3748</v>
      </c>
      <c r="AB647" s="14"/>
      <c r="AC647" s="14"/>
    </row>
    <row r="648" spans="1:29" hidden="1" x14ac:dyDescent="0.25">
      <c r="A648" s="50" t="s">
        <v>1247</v>
      </c>
      <c r="B648" s="14" t="s">
        <v>3733</v>
      </c>
      <c r="C648" s="14" t="s">
        <v>1249</v>
      </c>
      <c r="D648" s="14" t="s">
        <v>3734</v>
      </c>
      <c r="E648" s="8" t="s">
        <v>3727</v>
      </c>
      <c r="F648" s="8" t="s">
        <v>1721</v>
      </c>
      <c r="G648" s="8" t="s">
        <v>1721</v>
      </c>
      <c r="I648" s="8" t="s">
        <v>1727</v>
      </c>
      <c r="J648" s="8" t="s">
        <v>1727</v>
      </c>
      <c r="K648" s="14" t="s">
        <v>3748</v>
      </c>
      <c r="AB648" s="14"/>
      <c r="AC648" s="14"/>
    </row>
    <row r="649" spans="1:29" hidden="1" x14ac:dyDescent="0.25">
      <c r="A649" s="14" t="s">
        <v>1241</v>
      </c>
      <c r="B649" s="14" t="s">
        <v>3735</v>
      </c>
      <c r="C649" s="14" t="s">
        <v>1243</v>
      </c>
      <c r="D649" s="14" t="s">
        <v>3736</v>
      </c>
      <c r="E649" s="8" t="s">
        <v>3727</v>
      </c>
      <c r="F649" s="8" t="s">
        <v>1721</v>
      </c>
      <c r="G649" s="8" t="s">
        <v>1721</v>
      </c>
      <c r="I649" s="8" t="s">
        <v>1727</v>
      </c>
      <c r="J649" s="8" t="s">
        <v>1727</v>
      </c>
      <c r="K649" s="14" t="s">
        <v>3748</v>
      </c>
      <c r="AB649" s="14"/>
      <c r="AC649" s="14"/>
    </row>
    <row r="650" spans="1:29" hidden="1" x14ac:dyDescent="0.25">
      <c r="A650" s="14" t="s">
        <v>1252</v>
      </c>
      <c r="B650" s="14" t="s">
        <v>1253</v>
      </c>
      <c r="C650" s="14" t="s">
        <v>1254</v>
      </c>
      <c r="D650" s="14" t="s">
        <v>2235</v>
      </c>
      <c r="E650" s="8" t="s">
        <v>3727</v>
      </c>
      <c r="F650" s="8" t="s">
        <v>1727</v>
      </c>
      <c r="G650" s="8" t="s">
        <v>1721</v>
      </c>
      <c r="H650" s="37" t="s">
        <v>3747</v>
      </c>
      <c r="I650" s="8" t="s">
        <v>1727</v>
      </c>
      <c r="J650" s="8" t="s">
        <v>1727</v>
      </c>
      <c r="K650" s="14" t="s">
        <v>3748</v>
      </c>
      <c r="AB650" s="14"/>
      <c r="AC650" s="14"/>
    </row>
    <row r="651" spans="1:29" hidden="1" x14ac:dyDescent="0.25">
      <c r="A651" s="14" t="s">
        <v>1255</v>
      </c>
      <c r="B651" s="14" t="s">
        <v>1256</v>
      </c>
      <c r="C651" s="14" t="s">
        <v>1257</v>
      </c>
      <c r="D651" s="14" t="s">
        <v>3737</v>
      </c>
      <c r="E651" s="8" t="s">
        <v>3727</v>
      </c>
      <c r="F651" s="8" t="s">
        <v>1721</v>
      </c>
      <c r="G651" s="8" t="s">
        <v>1721</v>
      </c>
      <c r="I651" s="8" t="s">
        <v>1727</v>
      </c>
      <c r="J651" s="8" t="s">
        <v>1727</v>
      </c>
      <c r="K651" s="14" t="s">
        <v>3748</v>
      </c>
      <c r="AB651" s="14"/>
      <c r="AC651" s="14"/>
    </row>
    <row r="652" spans="1:29" hidden="1" x14ac:dyDescent="0.25">
      <c r="A652" s="14" t="s">
        <v>1258</v>
      </c>
      <c r="B652" s="14" t="s">
        <v>1259</v>
      </c>
      <c r="C652" s="14" t="s">
        <v>1260</v>
      </c>
      <c r="D652" s="14" t="s">
        <v>3738</v>
      </c>
      <c r="E652" s="8" t="s">
        <v>3727</v>
      </c>
      <c r="F652" s="8" t="s">
        <v>1721</v>
      </c>
      <c r="G652" s="8" t="s">
        <v>1721</v>
      </c>
      <c r="I652" s="8" t="s">
        <v>1727</v>
      </c>
      <c r="J652" s="8" t="s">
        <v>1727</v>
      </c>
      <c r="K652" s="14" t="s">
        <v>3748</v>
      </c>
      <c r="AB652" s="14"/>
      <c r="AC652" s="14"/>
    </row>
    <row r="653" spans="1:29" hidden="1" x14ac:dyDescent="0.25">
      <c r="A653" s="14" t="s">
        <v>2883</v>
      </c>
      <c r="B653" s="14" t="s">
        <v>1262</v>
      </c>
      <c r="C653" s="14" t="s">
        <v>1263</v>
      </c>
      <c r="D653" s="14" t="s">
        <v>3739</v>
      </c>
      <c r="E653" s="8" t="s">
        <v>3727</v>
      </c>
      <c r="F653" s="8" t="s">
        <v>1721</v>
      </c>
      <c r="G653" s="8" t="s">
        <v>1721</v>
      </c>
      <c r="I653" s="8" t="s">
        <v>1727</v>
      </c>
      <c r="J653" s="8" t="s">
        <v>1727</v>
      </c>
      <c r="K653" s="14" t="s">
        <v>3748</v>
      </c>
      <c r="AB653" s="14"/>
      <c r="AC653" s="14"/>
    </row>
    <row r="654" spans="1:29" hidden="1" x14ac:dyDescent="0.25">
      <c r="A654" s="14" t="s">
        <v>1264</v>
      </c>
      <c r="B654" s="14" t="s">
        <v>1265</v>
      </c>
      <c r="C654" s="14" t="s">
        <v>1266</v>
      </c>
      <c r="D654" s="14" t="s">
        <v>3740</v>
      </c>
      <c r="E654" s="8" t="s">
        <v>3727</v>
      </c>
      <c r="F654" s="8" t="s">
        <v>1721</v>
      </c>
      <c r="G654" s="8" t="s">
        <v>1721</v>
      </c>
      <c r="I654" s="8" t="s">
        <v>1727</v>
      </c>
      <c r="J654" s="8" t="s">
        <v>1727</v>
      </c>
      <c r="K654" s="14" t="s">
        <v>3748</v>
      </c>
      <c r="AB654" s="14"/>
      <c r="AC654" s="14"/>
    </row>
    <row r="655" spans="1:29" hidden="1" x14ac:dyDescent="0.25">
      <c r="A655" s="14" t="s">
        <v>1267</v>
      </c>
      <c r="B655" s="14" t="s">
        <v>1268</v>
      </c>
      <c r="C655" s="14" t="s">
        <v>1269</v>
      </c>
      <c r="D655" s="14" t="s">
        <v>3741</v>
      </c>
      <c r="E655" s="8" t="s">
        <v>3727</v>
      </c>
      <c r="F655" s="8" t="s">
        <v>1721</v>
      </c>
      <c r="G655" s="8" t="s">
        <v>1721</v>
      </c>
      <c r="I655" s="8" t="s">
        <v>1727</v>
      </c>
      <c r="J655" s="8" t="s">
        <v>1727</v>
      </c>
      <c r="K655" s="14" t="s">
        <v>3748</v>
      </c>
      <c r="AB655" s="14"/>
      <c r="AC655" s="14"/>
    </row>
    <row r="656" spans="1:29" hidden="1" x14ac:dyDescent="0.25">
      <c r="A656" s="14" t="s">
        <v>1270</v>
      </c>
      <c r="B656" s="14" t="s">
        <v>1271</v>
      </c>
      <c r="C656" s="14" t="s">
        <v>1272</v>
      </c>
      <c r="D656" s="14" t="s">
        <v>3742</v>
      </c>
      <c r="E656" s="8" t="s">
        <v>3727</v>
      </c>
      <c r="F656" s="8" t="s">
        <v>1721</v>
      </c>
      <c r="G656" s="8" t="s">
        <v>1721</v>
      </c>
      <c r="I656" s="8" t="s">
        <v>1727</v>
      </c>
      <c r="J656" s="8" t="s">
        <v>1727</v>
      </c>
      <c r="K656" s="14" t="s">
        <v>3748</v>
      </c>
      <c r="AB656" s="14"/>
      <c r="AC656" s="14"/>
    </row>
    <row r="657" spans="1:29" hidden="1" x14ac:dyDescent="0.25">
      <c r="A657" s="16" t="s">
        <v>1273</v>
      </c>
      <c r="B657" s="8" t="s">
        <v>1274</v>
      </c>
      <c r="C657" s="8" t="s">
        <v>1275</v>
      </c>
      <c r="D657" s="8" t="s">
        <v>2242</v>
      </c>
      <c r="E657" s="8" t="s">
        <v>3727</v>
      </c>
      <c r="F657" s="8" t="s">
        <v>1721</v>
      </c>
      <c r="G657" s="8" t="s">
        <v>1721</v>
      </c>
      <c r="I657" s="8" t="s">
        <v>1727</v>
      </c>
      <c r="J657" s="8" t="s">
        <v>1727</v>
      </c>
      <c r="K657" s="14" t="s">
        <v>3748</v>
      </c>
      <c r="AB657" s="14"/>
      <c r="AC657" s="14"/>
    </row>
    <row r="658" spans="1:29" hidden="1" x14ac:dyDescent="0.25">
      <c r="A658" s="14" t="s">
        <v>1427</v>
      </c>
      <c r="B658" s="14" t="s">
        <v>1428</v>
      </c>
      <c r="C658" s="14" t="s">
        <v>1429</v>
      </c>
      <c r="D658" s="14" t="s">
        <v>3749</v>
      </c>
      <c r="E658" s="8" t="s">
        <v>3727</v>
      </c>
      <c r="F658" s="8" t="s">
        <v>1721</v>
      </c>
      <c r="G658" s="8" t="s">
        <v>1721</v>
      </c>
      <c r="I658" s="14">
        <f>'Components Data Source'!F657</f>
        <v>0</v>
      </c>
      <c r="J658" s="8"/>
      <c r="AB658" s="14"/>
      <c r="AC658" s="14"/>
    </row>
    <row r="659" spans="1:29" hidden="1" x14ac:dyDescent="0.25">
      <c r="A659" s="14" t="s">
        <v>2886</v>
      </c>
      <c r="B659" s="14" t="s">
        <v>1442</v>
      </c>
      <c r="C659" s="14" t="s">
        <v>1443</v>
      </c>
      <c r="D659" s="14" t="s">
        <v>3750</v>
      </c>
      <c r="E659" s="8" t="s">
        <v>3727</v>
      </c>
      <c r="F659" s="8" t="s">
        <v>1721</v>
      </c>
      <c r="G659" s="8" t="s">
        <v>1721</v>
      </c>
      <c r="I659" s="14">
        <f>'Components Data Source'!F658</f>
        <v>0</v>
      </c>
      <c r="J659" s="8"/>
      <c r="AB659" s="14"/>
      <c r="AC659" s="14"/>
    </row>
    <row r="660" spans="1:29" hidden="1" x14ac:dyDescent="0.25">
      <c r="A660" s="14" t="s">
        <v>1444</v>
      </c>
      <c r="B660" s="14" t="s">
        <v>1445</v>
      </c>
      <c r="C660" s="14" t="s">
        <v>1446</v>
      </c>
      <c r="D660" s="14" t="s">
        <v>2302</v>
      </c>
      <c r="E660" s="8" t="s">
        <v>3727</v>
      </c>
      <c r="F660" s="8" t="s">
        <v>1721</v>
      </c>
      <c r="G660" s="8" t="s">
        <v>1721</v>
      </c>
      <c r="H660" s="14" t="s">
        <v>3763</v>
      </c>
      <c r="I660" s="14">
        <f>'Components Data Source'!F659</f>
        <v>0</v>
      </c>
      <c r="J660" s="8"/>
      <c r="AB660" s="14"/>
      <c r="AC660" s="14"/>
    </row>
    <row r="661" spans="1:29" hidden="1" x14ac:dyDescent="0.25">
      <c r="A661" s="14" t="s">
        <v>1433</v>
      </c>
      <c r="B661" s="14" t="s">
        <v>1434</v>
      </c>
      <c r="C661" s="14" t="s">
        <v>1435</v>
      </c>
      <c r="D661" s="14" t="s">
        <v>3751</v>
      </c>
      <c r="E661" s="8" t="s">
        <v>3727</v>
      </c>
      <c r="F661" s="8" t="s">
        <v>1721</v>
      </c>
      <c r="G661" s="8" t="s">
        <v>1721</v>
      </c>
      <c r="I661" s="14">
        <f>'Components Data Source'!F660</f>
        <v>0</v>
      </c>
      <c r="J661" s="8"/>
      <c r="AB661" s="14"/>
      <c r="AC661" s="14"/>
    </row>
    <row r="662" spans="1:29" hidden="1" x14ac:dyDescent="0.25">
      <c r="A662" s="14" t="s">
        <v>1430</v>
      </c>
      <c r="B662" s="14" t="s">
        <v>3761</v>
      </c>
      <c r="C662" s="14" t="s">
        <v>1432</v>
      </c>
      <c r="D662" s="14" t="s">
        <v>3752</v>
      </c>
      <c r="E662" s="8" t="s">
        <v>3727</v>
      </c>
      <c r="F662" s="8" t="s">
        <v>1721</v>
      </c>
      <c r="G662" s="8" t="s">
        <v>1721</v>
      </c>
      <c r="I662" s="14">
        <f>'Components Data Source'!F661</f>
        <v>0</v>
      </c>
      <c r="J662" s="8"/>
      <c r="AB662" s="14"/>
      <c r="AC662" s="14"/>
    </row>
    <row r="663" spans="1:29" hidden="1" x14ac:dyDescent="0.25">
      <c r="A663" s="14" t="s">
        <v>1436</v>
      </c>
      <c r="B663" s="14" t="s">
        <v>1437</v>
      </c>
      <c r="C663" s="14" t="s">
        <v>1438</v>
      </c>
      <c r="D663" s="14" t="s">
        <v>3753</v>
      </c>
      <c r="E663" s="8" t="s">
        <v>3727</v>
      </c>
      <c r="F663" s="8" t="s">
        <v>1721</v>
      </c>
      <c r="G663" s="8" t="s">
        <v>1721</v>
      </c>
      <c r="I663" s="14">
        <f>'Components Data Source'!F662</f>
        <v>0</v>
      </c>
      <c r="J663" s="8"/>
      <c r="AB663" s="14"/>
      <c r="AC663" s="14"/>
    </row>
    <row r="664" spans="1:29" hidden="1" x14ac:dyDescent="0.25">
      <c r="A664" s="14" t="s">
        <v>1439</v>
      </c>
      <c r="B664" s="14" t="s">
        <v>1440</v>
      </c>
      <c r="C664" s="14" t="s">
        <v>1441</v>
      </c>
      <c r="D664" s="14" t="s">
        <v>3754</v>
      </c>
      <c r="E664" s="8" t="s">
        <v>3727</v>
      </c>
      <c r="F664" s="8" t="s">
        <v>1727</v>
      </c>
      <c r="G664" s="8" t="s">
        <v>1721</v>
      </c>
      <c r="H664" s="37" t="s">
        <v>3762</v>
      </c>
      <c r="I664" s="14">
        <f>'Components Data Source'!F663</f>
        <v>0</v>
      </c>
      <c r="J664" s="8"/>
      <c r="AB664" s="14"/>
      <c r="AC664" s="14"/>
    </row>
    <row r="665" spans="1:29" hidden="1" x14ac:dyDescent="0.25">
      <c r="A665" s="14" t="s">
        <v>1424</v>
      </c>
      <c r="B665" s="14" t="s">
        <v>1425</v>
      </c>
      <c r="C665" s="14" t="s">
        <v>1426</v>
      </c>
      <c r="D665" s="14" t="s">
        <v>3755</v>
      </c>
      <c r="E665" s="8" t="s">
        <v>3727</v>
      </c>
      <c r="F665" s="8" t="s">
        <v>1721</v>
      </c>
      <c r="G665" s="8" t="s">
        <v>1721</v>
      </c>
      <c r="I665" s="14">
        <f>'Components Data Source'!F664</f>
        <v>0</v>
      </c>
      <c r="J665" s="8"/>
      <c r="AB665" s="14"/>
      <c r="AC665" s="14"/>
    </row>
    <row r="666" spans="1:29" hidden="1" x14ac:dyDescent="0.25">
      <c r="A666" s="14" t="s">
        <v>625</v>
      </c>
      <c r="B666" s="14" t="s">
        <v>626</v>
      </c>
      <c r="C666" s="14" t="s">
        <v>627</v>
      </c>
      <c r="D666" s="14" t="s">
        <v>3756</v>
      </c>
      <c r="E666" s="8" t="s">
        <v>3727</v>
      </c>
      <c r="F666" s="8" t="s">
        <v>1721</v>
      </c>
      <c r="G666" s="8" t="s">
        <v>1721</v>
      </c>
      <c r="I666" s="14">
        <f>'Components Data Source'!F665</f>
        <v>0</v>
      </c>
      <c r="J666" s="8"/>
      <c r="AB666" s="14"/>
      <c r="AC666" s="14"/>
    </row>
    <row r="667" spans="1:29" hidden="1" x14ac:dyDescent="0.25">
      <c r="A667" s="14" t="s">
        <v>628</v>
      </c>
      <c r="B667" s="14" t="s">
        <v>629</v>
      </c>
      <c r="C667" s="14" t="s">
        <v>630</v>
      </c>
      <c r="D667" s="14" t="s">
        <v>3757</v>
      </c>
      <c r="E667" s="8" t="s">
        <v>3727</v>
      </c>
      <c r="F667" s="8" t="s">
        <v>1721</v>
      </c>
      <c r="G667" s="8" t="s">
        <v>1721</v>
      </c>
      <c r="I667" s="14">
        <f>'Components Data Source'!F666</f>
        <v>0</v>
      </c>
      <c r="J667" s="8"/>
      <c r="AB667" s="14"/>
      <c r="AC667" s="14"/>
    </row>
    <row r="668" spans="1:29" hidden="1" x14ac:dyDescent="0.25">
      <c r="A668" s="14" t="s">
        <v>2824</v>
      </c>
      <c r="B668" s="14" t="s">
        <v>637</v>
      </c>
      <c r="C668" s="14" t="s">
        <v>638</v>
      </c>
      <c r="D668" s="14" t="s">
        <v>3758</v>
      </c>
      <c r="E668" s="8" t="s">
        <v>3727</v>
      </c>
      <c r="F668" s="8" t="s">
        <v>2474</v>
      </c>
      <c r="G668" s="8"/>
      <c r="I668" s="14">
        <f>'Components Data Source'!F668</f>
        <v>0</v>
      </c>
      <c r="J668" s="8"/>
      <c r="AB668" s="14"/>
      <c r="AC668" s="14"/>
    </row>
    <row r="669" spans="1:29" ht="36" hidden="1" customHeight="1" x14ac:dyDescent="0.25">
      <c r="A669" s="14" t="s">
        <v>631</v>
      </c>
      <c r="B669" s="14" t="s">
        <v>632</v>
      </c>
      <c r="C669" s="14" t="s">
        <v>633</v>
      </c>
      <c r="D669" s="14" t="s">
        <v>3759</v>
      </c>
      <c r="E669" s="8" t="s">
        <v>3727</v>
      </c>
      <c r="F669" s="8" t="s">
        <v>1721</v>
      </c>
      <c r="G669" s="8" t="s">
        <v>1721</v>
      </c>
      <c r="I669" s="14">
        <f>'Components Data Source'!F669</f>
        <v>0</v>
      </c>
      <c r="J669" s="8"/>
      <c r="AB669" s="14"/>
      <c r="AC669" s="14"/>
    </row>
    <row r="670" spans="1:29" ht="24" hidden="1" customHeight="1" x14ac:dyDescent="0.25">
      <c r="A670" s="14" t="s">
        <v>634</v>
      </c>
      <c r="B670" s="14" t="s">
        <v>635</v>
      </c>
      <c r="C670" s="14" t="s">
        <v>636</v>
      </c>
      <c r="D670" s="14" t="s">
        <v>3760</v>
      </c>
      <c r="E670" s="8" t="s">
        <v>3727</v>
      </c>
      <c r="F670" s="8"/>
      <c r="G670" s="8"/>
      <c r="I670" s="14">
        <f>'Components Data Source'!F670</f>
        <v>0</v>
      </c>
      <c r="J670" s="8"/>
      <c r="AB670" s="14"/>
      <c r="AC670" s="14"/>
    </row>
    <row r="671" spans="1:29" ht="41.25" hidden="1" customHeight="1" x14ac:dyDescent="0.25">
      <c r="A671" s="14" t="s">
        <v>622</v>
      </c>
      <c r="B671" s="14" t="s">
        <v>623</v>
      </c>
      <c r="C671" s="14" t="s">
        <v>624</v>
      </c>
      <c r="D671" s="14" t="s">
        <v>2006</v>
      </c>
      <c r="E671" s="8">
        <f>'Components Data Source'!E676</f>
        <v>0</v>
      </c>
      <c r="F671" s="8"/>
      <c r="G671" s="8"/>
      <c r="I671" s="14">
        <f>'Components Data Source'!F676</f>
        <v>0</v>
      </c>
      <c r="J671" s="8"/>
    </row>
    <row r="672" spans="1:29" ht="48" hidden="1" customHeight="1" x14ac:dyDescent="0.25">
      <c r="A672" s="14" t="s">
        <v>2824</v>
      </c>
      <c r="B672" s="14" t="s">
        <v>637</v>
      </c>
      <c r="C672" s="14" t="s">
        <v>638</v>
      </c>
      <c r="D672" s="14" t="s">
        <v>2012</v>
      </c>
      <c r="E672" s="8" t="s">
        <v>3727</v>
      </c>
      <c r="F672" s="8" t="s">
        <v>1721</v>
      </c>
      <c r="G672" s="8" t="s">
        <v>1721</v>
      </c>
      <c r="I672" s="14">
        <f>'Components Data Source'!F677</f>
        <v>0</v>
      </c>
      <c r="J672" s="8"/>
    </row>
    <row r="673" spans="1:7" hidden="1" x14ac:dyDescent="0.25">
      <c r="A673" s="16" t="s">
        <v>2882</v>
      </c>
      <c r="B673" s="8" t="s">
        <v>1250</v>
      </c>
      <c r="C673" s="8" t="s">
        <v>1251</v>
      </c>
      <c r="D673" s="8" t="s">
        <v>2234</v>
      </c>
      <c r="E673" s="8" t="s">
        <v>3727</v>
      </c>
      <c r="F673" s="8" t="s">
        <v>1721</v>
      </c>
      <c r="G673" s="8" t="s">
        <v>1721</v>
      </c>
    </row>
    <row r="674" spans="1:7" hidden="1" x14ac:dyDescent="0.25">
      <c r="A674" s="14" t="s">
        <v>1244</v>
      </c>
      <c r="B674" s="14" t="s">
        <v>1245</v>
      </c>
      <c r="C674" s="14" t="s">
        <v>1246</v>
      </c>
      <c r="D674" s="14" t="s">
        <v>2232</v>
      </c>
      <c r="E674" s="8" t="s">
        <v>3727</v>
      </c>
      <c r="F674" s="8" t="s">
        <v>1721</v>
      </c>
      <c r="G674" s="8" t="s">
        <v>1721</v>
      </c>
    </row>
  </sheetData>
  <autoFilter ref="A1:AJ674" xr:uid="{00000000-0001-0000-0000-000000000000}">
    <filterColumn colId="4">
      <filters>
        <filter val="FREE"/>
      </filters>
    </filterColumn>
  </autoFilter>
  <sortState xmlns:xlrd2="http://schemas.microsoft.com/office/spreadsheetml/2017/richdata2" ref="A623:A640">
    <sortCondition ref="A623:A640"/>
  </sortState>
  <phoneticPr fontId="22" type="noConversion"/>
  <conditionalFormatting sqref="A2 D2:L2 Q2:Q603 E3:M603">
    <cfRule type="containsText" dxfId="189" priority="927" operator="containsText" text="0">
      <formula>NOT(ISERROR(SEARCH("0",A2)))</formula>
    </cfRule>
  </conditionalFormatting>
  <conditionalFormatting sqref="A38:B127 D38:D319 B128 A129:B319 A320:D603 A604:M620 A621:F621 H621:N621 H622:I639 A622:D646 K622:N672 H640:H657 A647:E665 E658:E671 H658:I672 A666:C666 D666:E667 A668:E668 D669:E669 A670:E671 D672:E672 E673:E674">
    <cfRule type="cellIs" dxfId="188" priority="925" operator="equal">
      <formula>0</formula>
    </cfRule>
  </conditionalFormatting>
  <conditionalFormatting sqref="A673:D673">
    <cfRule type="cellIs" dxfId="187" priority="1" operator="equal">
      <formula>0</formula>
    </cfRule>
  </conditionalFormatting>
  <conditionalFormatting sqref="E622:E674">
    <cfRule type="containsText" dxfId="186" priority="13" operator="containsText" text="U">
      <formula>NOT(ISERROR(SEARCH("U",E622)))</formula>
    </cfRule>
  </conditionalFormatting>
  <conditionalFormatting sqref="E622:G674 M2:M620 J622:J672">
    <cfRule type="containsText" dxfId="185" priority="17" operator="containsText" text="W">
      <formula>NOT(ISERROR(SEARCH("W",E2)))</formula>
    </cfRule>
  </conditionalFormatting>
  <conditionalFormatting sqref="F1">
    <cfRule type="cellIs" dxfId="184" priority="9" operator="equal">
      <formula>0</formula>
    </cfRule>
  </conditionalFormatting>
  <conditionalFormatting sqref="H1">
    <cfRule type="cellIs" dxfId="183" priority="8" operator="equal">
      <formula>0</formula>
    </cfRule>
  </conditionalFormatting>
  <conditionalFormatting sqref="I640:I657">
    <cfRule type="containsText" dxfId="182" priority="5" operator="containsText" text="W">
      <formula>NOT(ISERROR(SEARCH("W",I640)))</formula>
    </cfRule>
    <cfRule type="containsText" dxfId="181" priority="6" operator="containsText" text="Y">
      <formula>NOT(ISERROR(SEARCH("Y",I640)))</formula>
    </cfRule>
    <cfRule type="containsText" dxfId="180" priority="7" operator="containsText" text="N">
      <formula>NOT(ISERROR(SEARCH("N",I640)))</formula>
    </cfRule>
  </conditionalFormatting>
  <conditionalFormatting sqref="M2:M620">
    <cfRule type="containsText" dxfId="179" priority="18" operator="containsText" text="Y">
      <formula>NOT(ISERROR(SEARCH("Y",M2)))</formula>
    </cfRule>
    <cfRule type="containsText" dxfId="178" priority="19" operator="containsText" text="N">
      <formula>NOT(ISERROR(SEARCH("N",M2)))</formula>
    </cfRule>
  </conditionalFormatting>
  <conditionalFormatting sqref="O2:O22">
    <cfRule type="containsText" dxfId="177" priority="346" operator="containsText" text="N">
      <formula>NOT(ISERROR(SEARCH("N",O2)))</formula>
    </cfRule>
    <cfRule type="containsText" dxfId="176" priority="345" operator="containsText" text="Y">
      <formula>NOT(ISERROR(SEARCH("Y",O2)))</formula>
    </cfRule>
  </conditionalFormatting>
  <conditionalFormatting sqref="O2:O620">
    <cfRule type="containsText" dxfId="175" priority="134" operator="containsText" text="I">
      <formula>NOT(ISERROR(SEARCH("I",O2)))</formula>
    </cfRule>
    <cfRule type="containsText" dxfId="174" priority="135" operator="containsText" text="o">
      <formula>NOT(ISERROR(SEARCH("o",O2)))</formula>
    </cfRule>
  </conditionalFormatting>
  <conditionalFormatting sqref="O18:O21">
    <cfRule type="containsText" dxfId="173" priority="344" operator="containsText" text="A">
      <formula>NOT(ISERROR(SEARCH("A",O18)))</formula>
    </cfRule>
  </conditionalFormatting>
  <conditionalFormatting sqref="O23:O510 O512:O529 O531 O535 O538:O619">
    <cfRule type="containsText" dxfId="172" priority="339" operator="containsText" text="Y">
      <formula>NOT(ISERROR(SEARCH("Y",O23)))</formula>
    </cfRule>
    <cfRule type="containsText" dxfId="171" priority="340" operator="containsText" text="N">
      <formula>NOT(ISERROR(SEARCH("N",O23)))</formula>
    </cfRule>
  </conditionalFormatting>
  <conditionalFormatting sqref="O23:O510 O538:O619 O512:O529 O531 O535">
    <cfRule type="containsText" dxfId="170" priority="338" operator="containsText" text="A">
      <formula>NOT(ISERROR(SEARCH("A",O23)))</formula>
    </cfRule>
  </conditionalFormatting>
  <conditionalFormatting sqref="O127:O128 O130:O153 O167:O171 O180:O223 O227:O260 O272:O302 O309:O328 O339:O344 O346:O356 O358 O360:O415 O457:O458 O462 O474 O479:O493 O508 O510 O560:O591">
    <cfRule type="containsText" dxfId="169" priority="343" operator="containsText" text="N">
      <formula>NOT(ISERROR(SEARCH("N",O127)))</formula>
    </cfRule>
    <cfRule type="containsText" dxfId="168" priority="342" operator="containsText" text="Y">
      <formula>NOT(ISERROR(SEARCH("Y",O127)))</formula>
    </cfRule>
    <cfRule type="containsText" dxfId="167" priority="341" operator="containsText" text="A">
      <formula>NOT(ISERROR(SEARCH("A",O127)))</formula>
    </cfRule>
  </conditionalFormatting>
  <conditionalFormatting sqref="O129">
    <cfRule type="containsText" dxfId="166" priority="335" operator="containsText" text="A">
      <formula>NOT(ISERROR(SEARCH("A",O129)))</formula>
    </cfRule>
    <cfRule type="containsText" dxfId="165" priority="336" operator="containsText" text="Y">
      <formula>NOT(ISERROR(SEARCH("Y",O129)))</formula>
    </cfRule>
    <cfRule type="containsText" dxfId="164" priority="337" operator="containsText" text="N">
      <formula>NOT(ISERROR(SEARCH("N",O129)))</formula>
    </cfRule>
  </conditionalFormatting>
  <conditionalFormatting sqref="O154:O166">
    <cfRule type="containsText" dxfId="163" priority="332" operator="containsText" text="A">
      <formula>NOT(ISERROR(SEARCH("A",O154)))</formula>
    </cfRule>
    <cfRule type="containsText" dxfId="162" priority="333" operator="containsText" text="Y">
      <formula>NOT(ISERROR(SEARCH("Y",O154)))</formula>
    </cfRule>
    <cfRule type="containsText" dxfId="161" priority="334" operator="containsText" text="N">
      <formula>NOT(ISERROR(SEARCH("N",O154)))</formula>
    </cfRule>
  </conditionalFormatting>
  <conditionalFormatting sqref="O172:O179">
    <cfRule type="containsText" dxfId="160" priority="331" operator="containsText" text="N">
      <formula>NOT(ISERROR(SEARCH("N",O172)))</formula>
    </cfRule>
    <cfRule type="containsText" dxfId="159" priority="329" operator="containsText" text="A">
      <formula>NOT(ISERROR(SEARCH("A",O172)))</formula>
    </cfRule>
    <cfRule type="containsText" dxfId="158" priority="330" operator="containsText" text="Y">
      <formula>NOT(ISERROR(SEARCH("Y",O172)))</formula>
    </cfRule>
  </conditionalFormatting>
  <conditionalFormatting sqref="O224:O226">
    <cfRule type="containsText" dxfId="157" priority="327" operator="containsText" text="Y">
      <formula>NOT(ISERROR(SEARCH("Y",O224)))</formula>
    </cfRule>
    <cfRule type="containsText" dxfId="156" priority="328" operator="containsText" text="N">
      <formula>NOT(ISERROR(SEARCH("N",O224)))</formula>
    </cfRule>
    <cfRule type="containsText" dxfId="155" priority="326" operator="containsText" text="A">
      <formula>NOT(ISERROR(SEARCH("A",O224)))</formula>
    </cfRule>
  </conditionalFormatting>
  <conditionalFormatting sqref="O261:O271">
    <cfRule type="containsText" dxfId="154" priority="320" operator="containsText" text="A">
      <formula>NOT(ISERROR(SEARCH("A",O261)))</formula>
    </cfRule>
    <cfRule type="containsText" dxfId="153" priority="321" operator="containsText" text="Y">
      <formula>NOT(ISERROR(SEARCH("Y",O261)))</formula>
    </cfRule>
    <cfRule type="containsText" dxfId="152" priority="322" operator="containsText" text="N">
      <formula>NOT(ISERROR(SEARCH("N",O261)))</formula>
    </cfRule>
  </conditionalFormatting>
  <conditionalFormatting sqref="O303:O308">
    <cfRule type="containsText" dxfId="151" priority="316" operator="containsText" text="N">
      <formula>NOT(ISERROR(SEARCH("N",O303)))</formula>
    </cfRule>
    <cfRule type="containsText" dxfId="150" priority="315" operator="containsText" text="Y">
      <formula>NOT(ISERROR(SEARCH("Y",O303)))</formula>
    </cfRule>
    <cfRule type="containsText" dxfId="149" priority="314" operator="containsText" text="A">
      <formula>NOT(ISERROR(SEARCH("A",O303)))</formula>
    </cfRule>
  </conditionalFormatting>
  <conditionalFormatting sqref="O329:O338">
    <cfRule type="containsText" dxfId="148" priority="306" operator="containsText" text="Y">
      <formula>NOT(ISERROR(SEARCH("Y",O329)))</formula>
    </cfRule>
    <cfRule type="containsText" dxfId="147" priority="307" operator="containsText" text="N">
      <formula>NOT(ISERROR(SEARCH("N",O329)))</formula>
    </cfRule>
    <cfRule type="containsText" dxfId="146" priority="305" operator="containsText" text="A">
      <formula>NOT(ISERROR(SEARCH("A",O329)))</formula>
    </cfRule>
  </conditionalFormatting>
  <conditionalFormatting sqref="O345">
    <cfRule type="containsText" dxfId="145" priority="303" operator="containsText" text="Y">
      <formula>NOT(ISERROR(SEARCH("Y",O345)))</formula>
    </cfRule>
    <cfRule type="containsText" dxfId="144" priority="302" operator="containsText" text="A">
      <formula>NOT(ISERROR(SEARCH("A",O345)))</formula>
    </cfRule>
    <cfRule type="containsText" dxfId="143" priority="304" operator="containsText" text="N">
      <formula>NOT(ISERROR(SEARCH("N",O345)))</formula>
    </cfRule>
  </conditionalFormatting>
  <conditionalFormatting sqref="O357 O359">
    <cfRule type="containsText" dxfId="142" priority="251" operator="containsText" text="A">
      <formula>NOT(ISERROR(SEARCH("A",O357)))</formula>
    </cfRule>
    <cfRule type="containsText" dxfId="141" priority="253" operator="containsText" text="N">
      <formula>NOT(ISERROR(SEARCH("N",O357)))</formula>
    </cfRule>
    <cfRule type="containsText" dxfId="140" priority="252" operator="containsText" text="Y">
      <formula>NOT(ISERROR(SEARCH("Y",O357)))</formula>
    </cfRule>
  </conditionalFormatting>
  <conditionalFormatting sqref="O416:O456">
    <cfRule type="containsText" dxfId="139" priority="299" operator="containsText" text="A">
      <formula>NOT(ISERROR(SEARCH("A",O416)))</formula>
    </cfRule>
    <cfRule type="containsText" dxfId="138" priority="301" operator="containsText" text="N">
      <formula>NOT(ISERROR(SEARCH("N",O416)))</formula>
    </cfRule>
    <cfRule type="containsText" dxfId="137" priority="300" operator="containsText" text="Y">
      <formula>NOT(ISERROR(SEARCH("Y",O416)))</formula>
    </cfRule>
  </conditionalFormatting>
  <conditionalFormatting sqref="O459:O461">
    <cfRule type="containsText" dxfId="136" priority="296" operator="containsText" text="A">
      <formula>NOT(ISERROR(SEARCH("A",O459)))</formula>
    </cfRule>
    <cfRule type="containsText" dxfId="135" priority="297" operator="containsText" text="Y">
      <formula>NOT(ISERROR(SEARCH("Y",O459)))</formula>
    </cfRule>
    <cfRule type="containsText" dxfId="134" priority="298" operator="containsText" text="N">
      <formula>NOT(ISERROR(SEARCH("N",O459)))</formula>
    </cfRule>
  </conditionalFormatting>
  <conditionalFormatting sqref="O463:O473">
    <cfRule type="containsText" dxfId="133" priority="295" operator="containsText" text="N">
      <formula>NOT(ISERROR(SEARCH("N",O463)))</formula>
    </cfRule>
    <cfRule type="containsText" dxfId="132" priority="293" operator="containsText" text="A">
      <formula>NOT(ISERROR(SEARCH("A",O463)))</formula>
    </cfRule>
    <cfRule type="containsText" dxfId="131" priority="294" operator="containsText" text="Y">
      <formula>NOT(ISERROR(SEARCH("Y",O463)))</formula>
    </cfRule>
  </conditionalFormatting>
  <conditionalFormatting sqref="O475:O478">
    <cfRule type="containsText" dxfId="130" priority="292" operator="containsText" text="N">
      <formula>NOT(ISERROR(SEARCH("N",O475)))</formula>
    </cfRule>
    <cfRule type="containsText" dxfId="129" priority="291" operator="containsText" text="Y">
      <formula>NOT(ISERROR(SEARCH("Y",O475)))</formula>
    </cfRule>
    <cfRule type="containsText" dxfId="128" priority="290" operator="containsText" text="A">
      <formula>NOT(ISERROR(SEARCH("A",O475)))</formula>
    </cfRule>
  </conditionalFormatting>
  <conditionalFormatting sqref="O494:O507">
    <cfRule type="containsText" dxfId="127" priority="279" operator="containsText" text="Y">
      <formula>NOT(ISERROR(SEARCH("Y",O494)))</formula>
    </cfRule>
    <cfRule type="containsText" dxfId="126" priority="278" operator="containsText" text="A">
      <formula>NOT(ISERROR(SEARCH("A",O494)))</formula>
    </cfRule>
    <cfRule type="containsText" dxfId="125" priority="280" operator="containsText" text="N">
      <formula>NOT(ISERROR(SEARCH("N",O494)))</formula>
    </cfRule>
  </conditionalFormatting>
  <conditionalFormatting sqref="O509">
    <cfRule type="containsText" dxfId="124" priority="275" operator="containsText" text="A">
      <formula>NOT(ISERROR(SEARCH("A",O509)))</formula>
    </cfRule>
    <cfRule type="containsText" dxfId="123" priority="277" operator="containsText" text="N">
      <formula>NOT(ISERROR(SEARCH("N",O509)))</formula>
    </cfRule>
    <cfRule type="containsText" dxfId="122" priority="276" operator="containsText" text="Y">
      <formula>NOT(ISERROR(SEARCH("Y",O509)))</formula>
    </cfRule>
  </conditionalFormatting>
  <conditionalFormatting sqref="O511">
    <cfRule type="containsText" dxfId="121" priority="242" operator="containsText" text="N">
      <formula>NOT(ISERROR(SEARCH("N",O511)))</formula>
    </cfRule>
    <cfRule type="containsText" dxfId="120" priority="240" operator="containsText" text="A">
      <formula>NOT(ISERROR(SEARCH("A",O511)))</formula>
    </cfRule>
    <cfRule type="containsText" dxfId="119" priority="241" operator="containsText" text="Y">
      <formula>NOT(ISERROR(SEARCH("Y",O511)))</formula>
    </cfRule>
  </conditionalFormatting>
  <conditionalFormatting sqref="O511:O529">
    <cfRule type="containsText" dxfId="118" priority="243" operator="containsText" text="A">
      <formula>NOT(ISERROR(SEARCH("A",O511)))</formula>
    </cfRule>
    <cfRule type="containsText" dxfId="117" priority="244" operator="containsText" text="Y">
      <formula>NOT(ISERROR(SEARCH("Y",O511)))</formula>
    </cfRule>
    <cfRule type="containsText" dxfId="116" priority="245" operator="containsText" text="N">
      <formula>NOT(ISERROR(SEARCH("N",O511)))</formula>
    </cfRule>
  </conditionalFormatting>
  <conditionalFormatting sqref="O530">
    <cfRule type="containsText" dxfId="115" priority="178" operator="containsText" text="N">
      <formula>NOT(ISERROR(SEARCH("N",O530)))</formula>
    </cfRule>
    <cfRule type="containsText" dxfId="114" priority="176" operator="containsText" text="A">
      <formula>NOT(ISERROR(SEARCH("A",O530)))</formula>
    </cfRule>
    <cfRule type="containsText" dxfId="113" priority="177" operator="containsText" text="Y">
      <formula>NOT(ISERROR(SEARCH("Y",O530)))</formula>
    </cfRule>
  </conditionalFormatting>
  <conditionalFormatting sqref="O530:O531">
    <cfRule type="containsText" dxfId="112" priority="179" operator="containsText" text="A">
      <formula>NOT(ISERROR(SEARCH("A",O530)))</formula>
    </cfRule>
    <cfRule type="containsText" dxfId="111" priority="180" operator="containsText" text="Y">
      <formula>NOT(ISERROR(SEARCH("Y",O530)))</formula>
    </cfRule>
    <cfRule type="containsText" dxfId="110" priority="181" operator="containsText" text="N">
      <formula>NOT(ISERROR(SEARCH("N",O530)))</formula>
    </cfRule>
  </conditionalFormatting>
  <conditionalFormatting sqref="O532">
    <cfRule type="containsText" dxfId="109" priority="171" operator="containsText" text="A">
      <formula>NOT(ISERROR(SEARCH("A",O532)))</formula>
    </cfRule>
    <cfRule type="containsText" dxfId="108" priority="173" operator="containsText" text="N">
      <formula>NOT(ISERROR(SEARCH("N",O532)))</formula>
    </cfRule>
    <cfRule type="containsText" dxfId="107" priority="172" operator="containsText" text="Y">
      <formula>NOT(ISERROR(SEARCH("Y",O532)))</formula>
    </cfRule>
  </conditionalFormatting>
  <conditionalFormatting sqref="O532:O533">
    <cfRule type="containsText" dxfId="106" priority="163" operator="containsText" text="A">
      <formula>NOT(ISERROR(SEARCH("A",O532)))</formula>
    </cfRule>
    <cfRule type="containsText" dxfId="105" priority="164" operator="containsText" text="Y">
      <formula>NOT(ISERROR(SEARCH("Y",O532)))</formula>
    </cfRule>
    <cfRule type="containsText" dxfId="104" priority="165" operator="containsText" text="N">
      <formula>NOT(ISERROR(SEARCH("N",O532)))</formula>
    </cfRule>
  </conditionalFormatting>
  <conditionalFormatting sqref="O533:O535">
    <cfRule type="containsText" dxfId="103" priority="157" operator="containsText" text="N">
      <formula>NOT(ISERROR(SEARCH("N",O533)))</formula>
    </cfRule>
    <cfRule type="containsText" dxfId="102" priority="156" operator="containsText" text="Y">
      <formula>NOT(ISERROR(SEARCH("Y",O533)))</formula>
    </cfRule>
    <cfRule type="containsText" dxfId="101" priority="155" operator="containsText" text="A">
      <formula>NOT(ISERROR(SEARCH("A",O533)))</formula>
    </cfRule>
  </conditionalFormatting>
  <conditionalFormatting sqref="O534">
    <cfRule type="containsText" dxfId="100" priority="154" operator="containsText" text="N">
      <formula>NOT(ISERROR(SEARCH("N",O534)))</formula>
    </cfRule>
    <cfRule type="containsText" dxfId="99" priority="152" operator="containsText" text="A">
      <formula>NOT(ISERROR(SEARCH("A",O534)))</formula>
    </cfRule>
    <cfRule type="containsText" dxfId="98" priority="153" operator="containsText" text="Y">
      <formula>NOT(ISERROR(SEARCH("Y",O534)))</formula>
    </cfRule>
  </conditionalFormatting>
  <conditionalFormatting sqref="O536">
    <cfRule type="containsText" dxfId="97" priority="147" operator="containsText" text="A">
      <formula>NOT(ISERROR(SEARCH("A",O536)))</formula>
    </cfRule>
    <cfRule type="containsText" dxfId="96" priority="148" operator="containsText" text="Y">
      <formula>NOT(ISERROR(SEARCH("Y",O536)))</formula>
    </cfRule>
    <cfRule type="containsText" dxfId="95" priority="149" operator="containsText" text="N">
      <formula>NOT(ISERROR(SEARCH("N",O536)))</formula>
    </cfRule>
  </conditionalFormatting>
  <conditionalFormatting sqref="O536:O559">
    <cfRule type="containsText" dxfId="94" priority="141" operator="containsText" text="N">
      <formula>NOT(ISERROR(SEARCH("N",O536)))</formula>
    </cfRule>
    <cfRule type="containsText" dxfId="93" priority="139" operator="containsText" text="A">
      <formula>NOT(ISERROR(SEARCH("A",O536)))</formula>
    </cfRule>
    <cfRule type="containsText" dxfId="92" priority="140" operator="containsText" text="Y">
      <formula>NOT(ISERROR(SEARCH("Y",O536)))</formula>
    </cfRule>
  </conditionalFormatting>
  <conditionalFormatting sqref="O537">
    <cfRule type="containsText" dxfId="91" priority="137" operator="containsText" text="Y">
      <formula>NOT(ISERROR(SEARCH("Y",O537)))</formula>
    </cfRule>
    <cfRule type="containsText" dxfId="90" priority="138" operator="containsText" text="N">
      <formula>NOT(ISERROR(SEARCH("N",O537)))</formula>
    </cfRule>
    <cfRule type="containsText" dxfId="89" priority="136" operator="containsText" text="A">
      <formula>NOT(ISERROR(SEARCH("A",O537)))</formula>
    </cfRule>
  </conditionalFormatting>
  <conditionalFormatting sqref="O592:O613">
    <cfRule type="containsText" dxfId="88" priority="250" operator="containsText" text="N">
      <formula>NOT(ISERROR(SEARCH("N",O592)))</formula>
    </cfRule>
    <cfRule type="containsText" dxfId="87" priority="248" operator="containsText" text="A">
      <formula>NOT(ISERROR(SEARCH("A",O592)))</formula>
    </cfRule>
    <cfRule type="containsText" dxfId="86" priority="249" operator="containsText" text="Y">
      <formula>NOT(ISERROR(SEARCH("Y",O592)))</formula>
    </cfRule>
  </conditionalFormatting>
  <conditionalFormatting sqref="O620 AD508:AF620">
    <cfRule type="containsText" dxfId="85" priority="186" operator="containsText" text="A">
      <formula>NOT(ISERROR(SEARCH("A",O508)))</formula>
    </cfRule>
  </conditionalFormatting>
  <conditionalFormatting sqref="Q604:Q672">
    <cfRule type="cellIs" dxfId="84" priority="188" operator="equal">
      <formula>0</formula>
    </cfRule>
  </conditionalFormatting>
  <conditionalFormatting sqref="Y2:Y620 AJ2:AJ620 AD508:AF620 O620">
    <cfRule type="containsText" dxfId="81" priority="194" operator="containsText" text="Y">
      <formula>NOT(ISERROR(SEARCH("Y",O2)))</formula>
    </cfRule>
    <cfRule type="containsText" dxfId="80" priority="195" operator="containsText" text="N">
      <formula>NOT(ISERROR(SEARCH("N",O2)))</formula>
    </cfRule>
  </conditionalFormatting>
  <conditionalFormatting sqref="Y2:Y620 AJ2:AJ620">
    <cfRule type="containsText" dxfId="79" priority="187" operator="containsText" text="A">
      <formula>NOT(ISERROR(SEARCH("A",Y2)))</formula>
    </cfRule>
  </conditionalFormatting>
  <conditionalFormatting sqref="Y621:AG670 AI621:AJ670 J622:J672 E622:G674">
    <cfRule type="containsText" dxfId="78" priority="943" operator="containsText" text="N">
      <formula>NOT(ISERROR(SEARCH("N",E621)))</formula>
    </cfRule>
    <cfRule type="containsText" dxfId="77" priority="942" operator="containsText" text="Y">
      <formula>NOT(ISERROR(SEARCH("Y",E621)))</formula>
    </cfRule>
  </conditionalFormatting>
  <conditionalFormatting sqref="Y621:AG670 AI621:AJ670">
    <cfRule type="containsText" dxfId="76" priority="765" operator="containsText" text="A">
      <formula>NOT(ISERROR(SEARCH("A",Y621)))</formula>
    </cfRule>
  </conditionalFormatting>
  <conditionalFormatting sqref="Z2:Z620">
    <cfRule type="cellIs" dxfId="75" priority="191" operator="equal">
      <formula>2</formula>
    </cfRule>
    <cfRule type="cellIs" dxfId="74" priority="193" operator="equal">
      <formula>0</formula>
    </cfRule>
    <cfRule type="cellIs" dxfId="73" priority="192" operator="equal">
      <formula>1</formula>
    </cfRule>
    <cfRule type="cellIs" dxfId="72" priority="190" operator="equal">
      <formula>3</formula>
    </cfRule>
    <cfRule type="cellIs" dxfId="71" priority="189" operator="equal">
      <formula>4</formula>
    </cfRule>
  </conditionalFormatting>
  <conditionalFormatting sqref="AA2:AA620">
    <cfRule type="containsText" dxfId="70" priority="185" operator="containsText" text="Y">
      <formula>NOT(ISERROR(SEARCH("Y",AA2)))</formula>
    </cfRule>
    <cfRule type="containsText" dxfId="69" priority="184" operator="containsText" text="N">
      <formula>NOT(ISERROR(SEARCH("N",AA2)))</formula>
    </cfRule>
  </conditionalFormatting>
  <conditionalFormatting sqref="AD5:AD22">
    <cfRule type="containsText" dxfId="66" priority="757" operator="containsText" text="N">
      <formula>NOT(ISERROR(SEARCH("N",AD5)))</formula>
    </cfRule>
    <cfRule type="containsText" dxfId="65" priority="756" operator="containsText" text="Y">
      <formula>NOT(ISERROR(SEARCH("Y",AD5)))</formula>
    </cfRule>
  </conditionalFormatting>
  <conditionalFormatting sqref="AD18:AD21">
    <cfRule type="containsText" dxfId="64" priority="755" operator="containsText" text="A">
      <formula>NOT(ISERROR(SEARCH("A",AD18)))</formula>
    </cfRule>
  </conditionalFormatting>
  <conditionalFormatting sqref="AD23:AD129">
    <cfRule type="containsText" dxfId="63" priority="722" operator="containsText" text="A">
      <formula>NOT(ISERROR(SEARCH("A",AD23)))</formula>
    </cfRule>
    <cfRule type="containsText" dxfId="62" priority="724" operator="containsText" text="N">
      <formula>NOT(ISERROR(SEARCH("N",AD23)))</formula>
    </cfRule>
    <cfRule type="containsText" dxfId="61" priority="723" operator="containsText" text="Y">
      <formula>NOT(ISERROR(SEARCH("Y",AD23)))</formula>
    </cfRule>
  </conditionalFormatting>
  <conditionalFormatting sqref="AD172:AD223">
    <cfRule type="containsText" dxfId="60" priority="705" operator="containsText" text="N">
      <formula>NOT(ISERROR(SEARCH("N",AD172)))</formula>
    </cfRule>
    <cfRule type="containsText" dxfId="59" priority="704" operator="containsText" text="Y">
      <formula>NOT(ISERROR(SEARCH("Y",AD172)))</formula>
    </cfRule>
  </conditionalFormatting>
  <conditionalFormatting sqref="AD224:AD338">
    <cfRule type="containsText" dxfId="58" priority="620" operator="containsText" text="A">
      <formula>NOT(ISERROR(SEARCH("A",AD224)))</formula>
    </cfRule>
  </conditionalFormatting>
  <conditionalFormatting sqref="AD227:AD338">
    <cfRule type="containsText" dxfId="57" priority="621" operator="containsText" text="Y">
      <formula>NOT(ISERROR(SEARCH("Y",AD227)))</formula>
    </cfRule>
    <cfRule type="containsText" dxfId="56" priority="622" operator="containsText" text="N">
      <formula>NOT(ISERROR(SEARCH("N",AD227)))</formula>
    </cfRule>
  </conditionalFormatting>
  <conditionalFormatting sqref="AD172:AE223">
    <cfRule type="containsText" dxfId="55" priority="702" operator="containsText" text="A">
      <formula>NOT(ISERROR(SEARCH("A",AD172)))</formula>
    </cfRule>
  </conditionalFormatting>
  <conditionalFormatting sqref="AD495:AE507">
    <cfRule type="containsText" dxfId="54" priority="509" operator="containsText" text="A">
      <formula>NOT(ISERROR(SEARCH("A",AD495)))</formula>
    </cfRule>
    <cfRule type="containsText" dxfId="53" priority="510" operator="containsText" text="Y">
      <formula>NOT(ISERROR(SEARCH("Y",AD495)))</formula>
    </cfRule>
    <cfRule type="containsText" dxfId="52" priority="511" operator="containsText" text="N">
      <formula>NOT(ISERROR(SEARCH("N",AD495)))</formula>
    </cfRule>
  </conditionalFormatting>
  <conditionalFormatting sqref="AD130:AF171">
    <cfRule type="containsText" dxfId="51" priority="715" operator="containsText" text="N">
      <formula>NOT(ISERROR(SEARCH("N",AD130)))</formula>
    </cfRule>
    <cfRule type="containsText" dxfId="50" priority="712" operator="containsText" text="A">
      <formula>NOT(ISERROR(SEARCH("A",AD130)))</formula>
    </cfRule>
    <cfRule type="containsText" dxfId="49" priority="714" operator="containsText" text="Y">
      <formula>NOT(ISERROR(SEARCH("Y",AD130)))</formula>
    </cfRule>
  </conditionalFormatting>
  <conditionalFormatting sqref="AD339:AF494">
    <cfRule type="containsText" dxfId="48" priority="402" operator="containsText" text="Y">
      <formula>NOT(ISERROR(SEARCH("Y",AD339)))</formula>
    </cfRule>
    <cfRule type="containsText" dxfId="47" priority="401" operator="containsText" text="A">
      <formula>NOT(ISERROR(SEARCH("A",AD339)))</formula>
    </cfRule>
    <cfRule type="containsText" dxfId="46" priority="403" operator="containsText" text="N">
      <formula>NOT(ISERROR(SEARCH("N",AD339)))</formula>
    </cfRule>
  </conditionalFormatting>
  <conditionalFormatting sqref="AD2:AG4 AI2:AI620">
    <cfRule type="containsText" dxfId="45" priority="132" operator="containsText" text="Y">
      <formula>NOT(ISERROR(SEARCH("Y",AD2)))</formula>
    </cfRule>
    <cfRule type="containsText" dxfId="44" priority="133" operator="containsText" text="N">
      <formula>NOT(ISERROR(SEARCH("N",AD2)))</formula>
    </cfRule>
  </conditionalFormatting>
  <conditionalFormatting sqref="AD224:AG226">
    <cfRule type="containsText" dxfId="43" priority="694" operator="containsText" text="Y">
      <formula>NOT(ISERROR(SEARCH("Y",AD224)))</formula>
    </cfRule>
    <cfRule type="containsText" dxfId="42" priority="695" operator="containsText" text="N">
      <formula>NOT(ISERROR(SEARCH("N",AD224)))</formula>
    </cfRule>
  </conditionalFormatting>
  <conditionalFormatting sqref="AE35:AE105">
    <cfRule type="containsText" dxfId="41" priority="732" operator="containsText" text="A">
      <formula>NOT(ISERROR(SEARCH("A",AE35)))</formula>
    </cfRule>
  </conditionalFormatting>
  <conditionalFormatting sqref="AE227:AE338">
    <cfRule type="containsText" dxfId="40" priority="617" operator="containsText" text="A">
      <formula>NOT(ISERROR(SEARCH("A",AE227)))</formula>
    </cfRule>
  </conditionalFormatting>
  <conditionalFormatting sqref="AE331:AE338">
    <cfRule type="containsText" dxfId="39" priority="618" operator="containsText" text="Y">
      <formula>NOT(ISERROR(SEARCH("Y",AE331)))</formula>
    </cfRule>
    <cfRule type="containsText" dxfId="38" priority="619" operator="containsText" text="N">
      <formula>NOT(ISERROR(SEARCH("N",AE331)))</formula>
    </cfRule>
  </conditionalFormatting>
  <conditionalFormatting sqref="AE5:AF128">
    <cfRule type="containsText" dxfId="37" priority="741" operator="containsText" text="N">
      <formula>NOT(ISERROR(SEARCH("N",AE5)))</formula>
    </cfRule>
    <cfRule type="containsText" dxfId="36" priority="740" operator="containsText" text="Y">
      <formula>NOT(ISERROR(SEARCH("Y",AE5)))</formula>
    </cfRule>
  </conditionalFormatting>
  <conditionalFormatting sqref="AE106:AF129">
    <cfRule type="containsText" dxfId="35" priority="725" operator="containsText" text="A">
      <formula>NOT(ISERROR(SEARCH("A",AE106)))</formula>
    </cfRule>
  </conditionalFormatting>
  <conditionalFormatting sqref="AE129:AF129">
    <cfRule type="containsText" dxfId="34" priority="730" operator="containsText" text="Y">
      <formula>NOT(ISERROR(SEARCH("Y",AE129)))</formula>
    </cfRule>
    <cfRule type="containsText" dxfId="33" priority="731" operator="containsText" text="N">
      <formula>NOT(ISERROR(SEARCH("N",AE129)))</formula>
    </cfRule>
  </conditionalFormatting>
  <conditionalFormatting sqref="AE172:AF202">
    <cfRule type="containsText" dxfId="32" priority="710" operator="containsText" text="Y">
      <formula>NOT(ISERROR(SEARCH("Y",AE172)))</formula>
    </cfRule>
    <cfRule type="containsText" dxfId="31" priority="711" operator="containsText" text="N">
      <formula>NOT(ISERROR(SEARCH("N",AE172)))</formula>
    </cfRule>
  </conditionalFormatting>
  <conditionalFormatting sqref="AE245:AF330">
    <cfRule type="containsText" dxfId="30" priority="631" operator="containsText" text="N">
      <formula>NOT(ISERROR(SEARCH("N",AE245)))</formula>
    </cfRule>
    <cfRule type="containsText" dxfId="29" priority="630" operator="containsText" text="Y">
      <formula>NOT(ISERROR(SEARCH("Y",AE245)))</formula>
    </cfRule>
  </conditionalFormatting>
  <conditionalFormatting sqref="AE203:AG203 AE204:AF205 AE206:AG209 AE210:AF210 AE211:AG220 AE221:AF221 AE222:AG223 AE227:AF230 AE231:AG237 AE238:AF240 AE241:AG244">
    <cfRule type="containsText" dxfId="28" priority="938" operator="containsText" text="Y">
      <formula>NOT(ISERROR(SEARCH("Y",AE203)))</formula>
    </cfRule>
    <cfRule type="containsText" dxfId="27" priority="939" operator="containsText" text="N">
      <formula>NOT(ISERROR(SEARCH("N",AE203)))</formula>
    </cfRule>
  </conditionalFormatting>
  <conditionalFormatting sqref="AE224:AG226">
    <cfRule type="containsText" dxfId="26" priority="692" operator="containsText" text="A">
      <formula>NOT(ISERROR(SEARCH("A",AE224)))</formula>
    </cfRule>
  </conditionalFormatting>
  <conditionalFormatting sqref="AF9:AF105">
    <cfRule type="containsText" dxfId="25" priority="736" operator="containsText" text="A">
      <formula>NOT(ISERROR(SEARCH("A",AF9)))</formula>
    </cfRule>
  </conditionalFormatting>
  <conditionalFormatting sqref="AF172:AF202">
    <cfRule type="containsText" dxfId="24" priority="706" operator="containsText" text="A">
      <formula>NOT(ISERROR(SEARCH("A",AF172)))</formula>
    </cfRule>
  </conditionalFormatting>
  <conditionalFormatting sqref="AF245:AF338">
    <cfRule type="containsText" dxfId="23" priority="623" operator="containsText" text="A">
      <formula>NOT(ISERROR(SEARCH("A",AF245)))</formula>
    </cfRule>
  </conditionalFormatting>
  <conditionalFormatting sqref="AF331:AF338">
    <cfRule type="containsText" dxfId="22" priority="627" operator="containsText" text="Y">
      <formula>NOT(ISERROR(SEARCH("Y",AF331)))</formula>
    </cfRule>
    <cfRule type="containsText" dxfId="21" priority="628" operator="containsText" text="N">
      <formula>NOT(ISERROR(SEARCH("N",AF331)))</formula>
    </cfRule>
  </conditionalFormatting>
  <conditionalFormatting sqref="AF495:AF498">
    <cfRule type="containsText" dxfId="20" priority="543" operator="containsText" text="Y">
      <formula>NOT(ISERROR(SEARCH("Y",AF495)))</formula>
    </cfRule>
    <cfRule type="containsText" dxfId="19" priority="539" operator="containsText" text="A">
      <formula>NOT(ISERROR(SEARCH("A",AF495)))</formula>
    </cfRule>
    <cfRule type="containsText" dxfId="18" priority="544" operator="containsText" text="N">
      <formula>NOT(ISERROR(SEARCH("N",AF495)))</formula>
    </cfRule>
  </conditionalFormatting>
  <conditionalFormatting sqref="AF500:AF507">
    <cfRule type="containsText" dxfId="17" priority="520" operator="containsText" text="N">
      <formula>NOT(ISERROR(SEARCH("N",AF500)))</formula>
    </cfRule>
    <cfRule type="containsText" dxfId="16" priority="515" operator="containsText" text="A">
      <formula>NOT(ISERROR(SEARCH("A",AF500)))</formula>
    </cfRule>
    <cfRule type="containsText" dxfId="15" priority="519" operator="containsText" text="Y">
      <formula>NOT(ISERROR(SEARCH("Y",AF500)))</formula>
    </cfRule>
  </conditionalFormatting>
  <conditionalFormatting sqref="AF203:AG223 AF227:AG244">
    <cfRule type="containsText" dxfId="14" priority="129" operator="containsText" text="A">
      <formula>NOT(ISERROR(SEARCH("A",AF203)))</formula>
    </cfRule>
  </conditionalFormatting>
  <conditionalFormatting sqref="AF499:AG499">
    <cfRule type="containsText" dxfId="13" priority="533" operator="containsText" text="A">
      <formula>NOT(ISERROR(SEARCH("A",AF499)))</formula>
    </cfRule>
    <cfRule type="containsText" dxfId="12" priority="534" operator="containsText" text="Y">
      <formula>NOT(ISERROR(SEARCH("Y",AF499)))</formula>
    </cfRule>
    <cfRule type="containsText" dxfId="11" priority="535" operator="containsText" text="N">
      <formula>NOT(ISERROR(SEARCH("N",AF499)))</formula>
    </cfRule>
  </conditionalFormatting>
  <conditionalFormatting sqref="AG5:AG202">
    <cfRule type="containsText" dxfId="10" priority="29" operator="containsText" text="N">
      <formula>NOT(ISERROR(SEARCH("N",AG5)))</formula>
    </cfRule>
    <cfRule type="containsText" dxfId="9" priority="28" operator="containsText" text="Y">
      <formula>NOT(ISERROR(SEARCH("Y",AG5)))</formula>
    </cfRule>
  </conditionalFormatting>
  <conditionalFormatting sqref="AG9:AG202">
    <cfRule type="containsText" dxfId="8" priority="27" operator="containsText" text="A">
      <formula>NOT(ISERROR(SEARCH("A",AG9)))</formula>
    </cfRule>
  </conditionalFormatting>
  <conditionalFormatting sqref="AG204:AG205 AG210 AG221 AG227:AG230 AG238:AG240">
    <cfRule type="containsText" dxfId="7" priority="131" operator="containsText" text="N">
      <formula>NOT(ISERROR(SEARCH("N",AG204)))</formula>
    </cfRule>
    <cfRule type="containsText" dxfId="6" priority="130" operator="containsText" text="Y">
      <formula>NOT(ISERROR(SEARCH("Y",AG204)))</formula>
    </cfRule>
  </conditionalFormatting>
  <conditionalFormatting sqref="AG245:AG498">
    <cfRule type="containsText" dxfId="5" priority="40" operator="containsText" text="Y">
      <formula>NOT(ISERROR(SEARCH("Y",AG245)))</formula>
    </cfRule>
    <cfRule type="containsText" dxfId="4" priority="41" operator="containsText" text="N">
      <formula>NOT(ISERROR(SEARCH("N",AG245)))</formula>
    </cfRule>
    <cfRule type="containsText" dxfId="3" priority="39" operator="containsText" text="A">
      <formula>NOT(ISERROR(SEARCH("A",AG245)))</formula>
    </cfRule>
  </conditionalFormatting>
  <conditionalFormatting sqref="AG500:AG620">
    <cfRule type="containsText" dxfId="2" priority="32" operator="containsText" text="N">
      <formula>NOT(ISERROR(SEARCH("N",AG500)))</formula>
    </cfRule>
    <cfRule type="containsText" dxfId="1" priority="30" operator="containsText" text="A">
      <formula>NOT(ISERROR(SEARCH("A",AG500)))</formula>
    </cfRule>
    <cfRule type="containsText" dxfId="0" priority="31" operator="containsText" text="Y">
      <formula>NOT(ISERROR(SEARCH("Y",AG500)))</formula>
    </cfRule>
  </conditionalFormatting>
  <dataValidations count="6">
    <dataValidation type="list" allowBlank="1" showInputMessage="1" showErrorMessage="1" sqref="W68" xr:uid="{954CF18F-BF6D-4B68-A6CD-2D1FDF2E8E99}">
      <formula1>$AM$4:$AM$12</formula1>
    </dataValidation>
    <dataValidation type="list" allowBlank="1" showInputMessage="1" showErrorMessage="1" sqref="V129:W129 V131:W131 V122:W122 V124:W126" xr:uid="{F5ACC6CA-0536-4767-9FCE-B16DBA1718F7}">
      <formula1>$W$3:$W$12</formula1>
    </dataValidation>
    <dataValidation type="list" allowBlank="1" showInputMessage="1" showErrorMessage="1" sqref="V157:W157 V22:W22 V69:W72 V66:W67 V38:W38 V36:W36 V31:W31 V14:W14 V28:W28 V111:W121" xr:uid="{1764B98B-5F17-4CA9-9C16-6E862FBDFB2F}">
      <formula1>$W$4:$W$12</formula1>
    </dataValidation>
    <dataValidation type="list" allowBlank="1" showInputMessage="1" showErrorMessage="1" sqref="V134:W134 V143:W143 V136:W138 V149:W150 V159:W160 V155:W155 V166:W167 V169:W175 V214:W215 V183:W183 V204:W204 V245:W247 V285:W286 V206:W207 V527:W527 V301:W301 V258:W260 V307:W308 V268:W269 V271:W272 V548:W548 V304:W305 V320:W324 V350:W350 V352:W352 V359:W359 V355:W355 V373:W373 V366:W366 V363:W363 V376:W380 V310:W310 V390:W391 V393:W393 V388:W388 V603:W604 V402:W402 W389 V606:W606 V605 V607:V608 W608 V382:W385 W614 V611:V670" xr:uid="{BEB5970C-49AA-4394-990A-BBDC46EEE17E}">
      <formula1>$V$3:$V$12</formula1>
    </dataValidation>
    <dataValidation type="list" allowBlank="1" showInputMessage="1" showErrorMessage="1" sqref="V263:W265 V253:W254 V543:W543 V270:W270 V398:W398 V289:W289 V300:W300 V311:W311 V315:W315 V302:W302 V325:W325 V327:W327 V329:W329 V333:W335 V371:W371 V396:W396 V342:W342" xr:uid="{C96E9FEE-FD30-47A3-8946-FD6EF62CA4EE}">
      <formula1>$V$4:$V$12</formula1>
    </dataValidation>
    <dataValidation type="list" allowBlank="1" showInputMessage="1" showErrorMessage="1" sqref="V156:W156 W611:W613 V336:W341 V73:W110 V609:W610 W607 W605 V356:W358 V399:W401 V397:W397 V386:W387 V330:W332 V392:W392 V123:W123 V381:W381 V374:W375 V360:W362 V367:W370 V372:W372 V364:W365 V353:W354 V216:W244 V351:W351 V290:W299 V403:W526 V328:W328 V326:W326 V316:W319 V312:W314 V303:W303 V306:W306 V287:W288 V185:W203 V544:W547 V266:W267 V528:W542 V343:W349 V248:W252 V261:W262 V309:W309 V273:W284 V389 V255:W257 V139:W142 V32:W35 V208:W213 V176:W182 V168:W168 V39:W65 V205:W205 V158:W158 V144:W148 V135:W135 V130:W130 V132:W133 V151:W154 V2:W13 V15:W21 V23:W27 V68 V394:W395 V29:W30 V37:W37 V161:W165 V127:W128 V549:W602 W615:W670" xr:uid="{00000000-0002-0000-0000-000000000000}">
      <formula1>$AQ$3:$AQ$14</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889" operator="containsText" id="{6E60E078-6DF4-4339-9358-09F57A169610}">
            <xm:f>NOT(ISERROR(SEARCH(N,R167)))</xm:f>
            <xm:f>N</xm:f>
            <x14:dxf>
              <font>
                <color rgb="FF9C0006"/>
              </font>
              <fill>
                <patternFill>
                  <bgColor rgb="FFFFC7CE"/>
                </patternFill>
              </fill>
            </x14:dxf>
          </x14:cfRule>
          <xm:sqref>R167:S167</xm:sqref>
        </x14:conditionalFormatting>
        <x14:conditionalFormatting xmlns:xm="http://schemas.microsoft.com/office/excel/2006/main">
          <x14:cfRule type="containsText" priority="887" operator="containsText" id="{B9433029-FBCB-4F55-9FF3-3D75970539CD}">
            <xm:f>NOT(ISERROR(SEARCH(N,R169)))</xm:f>
            <xm:f>N</xm:f>
            <x14:dxf>
              <font>
                <color rgb="FF9C0006"/>
              </font>
              <fill>
                <patternFill>
                  <bgColor rgb="FFFFC7CE"/>
                </patternFill>
              </fill>
            </x14:dxf>
          </x14:cfRule>
          <xm:sqref>R169:S169</xm:sqref>
        </x14:conditionalFormatting>
        <x14:conditionalFormatting xmlns:xm="http://schemas.microsoft.com/office/excel/2006/main">
          <x14:cfRule type="containsText" priority="888" operator="containsText" id="{63BDF83D-1922-4428-9B77-6F6B2DFC5748}">
            <xm:f>NOT(ISERROR(SEARCH(N,AB169)))</xm:f>
            <xm:f>N</xm:f>
            <x14:dxf>
              <font>
                <color rgb="FF9C0006"/>
              </font>
              <fill>
                <patternFill>
                  <bgColor rgb="FFFFC7CE"/>
                </patternFill>
              </fill>
            </x14:dxf>
          </x14:cfRule>
          <xm:sqref>AB169</xm:sqref>
        </x14:conditionalFormatting>
        <x14:conditionalFormatting xmlns:xm="http://schemas.microsoft.com/office/excel/2006/main">
          <x14:cfRule type="containsText" priority="770" operator="containsText" id="{D8A31AE8-A9D4-4E41-88C5-CD1B3ED7367A}">
            <xm:f>NOT(ISERROR(SEARCH(N,AB398)))</xm:f>
            <xm:f>N</xm:f>
            <x14:dxf>
              <font>
                <color rgb="FF9C0006"/>
              </font>
              <fill>
                <patternFill>
                  <bgColor rgb="FFFFC7CE"/>
                </patternFill>
              </fill>
            </x14:dxf>
          </x14:cfRule>
          <xm:sqref>AB398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BAB8-58BE-49A8-99A6-17CB299C6A1D}">
  <dimension ref="A1:C603"/>
  <sheetViews>
    <sheetView workbookViewId="0">
      <selection activeCell="E20" sqref="A1:XFD1048576"/>
    </sheetView>
  </sheetViews>
  <sheetFormatPr defaultRowHeight="15" x14ac:dyDescent="0.25"/>
  <cols>
    <col min="1" max="1" width="42.140625" style="14" customWidth="1"/>
    <col min="2" max="2" width="25.7109375" style="14" customWidth="1"/>
    <col min="3" max="3" width="9.140625" style="14"/>
  </cols>
  <sheetData>
    <row r="1" spans="1:3" x14ac:dyDescent="0.25">
      <c r="A1" t="s">
        <v>1</v>
      </c>
      <c r="B1" t="s">
        <v>0</v>
      </c>
      <c r="C1" t="s">
        <v>3573</v>
      </c>
    </row>
    <row r="2" spans="1:3" x14ac:dyDescent="0.25">
      <c r="A2" t="s">
        <v>1457</v>
      </c>
      <c r="B2" t="s">
        <v>1456</v>
      </c>
      <c r="C2">
        <v>486</v>
      </c>
    </row>
    <row r="3" spans="1:3" x14ac:dyDescent="0.25">
      <c r="A3" t="s">
        <v>881</v>
      </c>
      <c r="B3" t="s">
        <v>880</v>
      </c>
      <c r="C3">
        <v>443</v>
      </c>
    </row>
    <row r="4" spans="1:3" x14ac:dyDescent="0.25">
      <c r="A4" t="s">
        <v>1469</v>
      </c>
      <c r="B4" t="s">
        <v>1468</v>
      </c>
      <c r="C4">
        <v>390</v>
      </c>
    </row>
    <row r="5" spans="1:3" x14ac:dyDescent="0.25">
      <c r="A5" t="s">
        <v>1410</v>
      </c>
      <c r="B5" t="s">
        <v>1409</v>
      </c>
      <c r="C5">
        <v>309</v>
      </c>
    </row>
    <row r="6" spans="1:3" x14ac:dyDescent="0.25">
      <c r="A6" t="s">
        <v>1687</v>
      </c>
      <c r="B6" t="s">
        <v>1686</v>
      </c>
      <c r="C6">
        <v>300</v>
      </c>
    </row>
    <row r="7" spans="1:3" x14ac:dyDescent="0.25">
      <c r="A7" t="s">
        <v>1454</v>
      </c>
      <c r="B7" t="s">
        <v>1453</v>
      </c>
      <c r="C7">
        <v>288</v>
      </c>
    </row>
    <row r="8" spans="1:3" x14ac:dyDescent="0.25">
      <c r="A8" t="s">
        <v>825</v>
      </c>
      <c r="B8" t="s">
        <v>824</v>
      </c>
      <c r="C8">
        <v>266</v>
      </c>
    </row>
    <row r="9" spans="1:3" x14ac:dyDescent="0.25">
      <c r="A9" t="s">
        <v>1463</v>
      </c>
      <c r="B9" t="s">
        <v>1462</v>
      </c>
      <c r="C9">
        <v>216</v>
      </c>
    </row>
    <row r="10" spans="1:3" x14ac:dyDescent="0.25">
      <c r="A10" t="s">
        <v>1696</v>
      </c>
      <c r="B10" t="s">
        <v>1695</v>
      </c>
      <c r="C10">
        <v>216</v>
      </c>
    </row>
    <row r="11" spans="1:3" x14ac:dyDescent="0.25">
      <c r="A11" t="s">
        <v>525</v>
      </c>
      <c r="B11" t="s">
        <v>524</v>
      </c>
      <c r="C11">
        <v>181</v>
      </c>
    </row>
    <row r="12" spans="1:3" x14ac:dyDescent="0.25">
      <c r="A12" t="s">
        <v>1236</v>
      </c>
      <c r="B12" t="s">
        <v>1167</v>
      </c>
      <c r="C12">
        <v>171</v>
      </c>
    </row>
    <row r="13" spans="1:3" x14ac:dyDescent="0.25">
      <c r="A13" t="s">
        <v>1657</v>
      </c>
      <c r="B13" t="s">
        <v>1656</v>
      </c>
      <c r="C13">
        <v>169</v>
      </c>
    </row>
    <row r="14" spans="1:3" x14ac:dyDescent="0.25">
      <c r="A14" t="s">
        <v>973</v>
      </c>
      <c r="B14" t="s">
        <v>972</v>
      </c>
      <c r="C14">
        <v>146</v>
      </c>
    </row>
    <row r="15" spans="1:3" x14ac:dyDescent="0.25">
      <c r="A15" t="s">
        <v>1442</v>
      </c>
      <c r="B15" t="s">
        <v>3574</v>
      </c>
      <c r="C15">
        <v>143</v>
      </c>
    </row>
    <row r="16" spans="1:3" x14ac:dyDescent="0.25">
      <c r="A16" t="s">
        <v>1621</v>
      </c>
      <c r="B16" t="s">
        <v>1620</v>
      </c>
      <c r="C16">
        <v>139</v>
      </c>
    </row>
    <row r="17" spans="1:3" x14ac:dyDescent="0.25">
      <c r="A17" t="s">
        <v>1666</v>
      </c>
      <c r="B17" t="s">
        <v>1665</v>
      </c>
      <c r="C17">
        <v>139</v>
      </c>
    </row>
    <row r="18" spans="1:3" x14ac:dyDescent="0.25">
      <c r="A18" t="s">
        <v>136</v>
      </c>
      <c r="B18" t="s">
        <v>135</v>
      </c>
      <c r="C18">
        <v>134</v>
      </c>
    </row>
    <row r="19" spans="1:3" x14ac:dyDescent="0.25">
      <c r="A19" t="s">
        <v>1425</v>
      </c>
      <c r="B19" t="s">
        <v>1424</v>
      </c>
      <c r="C19">
        <v>132</v>
      </c>
    </row>
    <row r="20" spans="1:3" x14ac:dyDescent="0.25">
      <c r="A20" t="s">
        <v>786</v>
      </c>
      <c r="B20" t="s">
        <v>785</v>
      </c>
      <c r="C20">
        <v>131</v>
      </c>
    </row>
    <row r="21" spans="1:3" x14ac:dyDescent="0.25">
      <c r="A21" t="s">
        <v>1552</v>
      </c>
      <c r="B21" t="s">
        <v>1551</v>
      </c>
      <c r="C21">
        <v>127</v>
      </c>
    </row>
    <row r="22" spans="1:3" x14ac:dyDescent="0.25">
      <c r="A22" t="s">
        <v>1413</v>
      </c>
      <c r="B22" t="s">
        <v>1412</v>
      </c>
      <c r="C22">
        <v>123</v>
      </c>
    </row>
    <row r="23" spans="1:3" x14ac:dyDescent="0.25">
      <c r="A23" t="s">
        <v>1681</v>
      </c>
      <c r="B23" t="s">
        <v>1680</v>
      </c>
      <c r="C23">
        <v>117</v>
      </c>
    </row>
    <row r="24" spans="1:3" x14ac:dyDescent="0.25">
      <c r="A24" t="s">
        <v>1672</v>
      </c>
      <c r="B24" t="s">
        <v>1671</v>
      </c>
      <c r="C24">
        <v>113</v>
      </c>
    </row>
    <row r="25" spans="1:3" x14ac:dyDescent="0.25">
      <c r="A25" t="s">
        <v>623</v>
      </c>
      <c r="B25" t="s">
        <v>622</v>
      </c>
      <c r="C25">
        <v>105</v>
      </c>
    </row>
    <row r="26" spans="1:3" x14ac:dyDescent="0.25">
      <c r="A26" t="s">
        <v>1181</v>
      </c>
      <c r="B26" t="s">
        <v>1180</v>
      </c>
      <c r="C26">
        <v>104</v>
      </c>
    </row>
    <row r="27" spans="1:3" x14ac:dyDescent="0.25">
      <c r="A27" t="s">
        <v>1714</v>
      </c>
      <c r="B27" t="s">
        <v>1713</v>
      </c>
      <c r="C27">
        <v>100</v>
      </c>
    </row>
    <row r="28" spans="1:3" x14ac:dyDescent="0.25">
      <c r="A28" t="s">
        <v>884</v>
      </c>
      <c r="B28" t="s">
        <v>883</v>
      </c>
      <c r="C28">
        <v>99</v>
      </c>
    </row>
    <row r="29" spans="1:3" x14ac:dyDescent="0.25">
      <c r="A29" t="s">
        <v>1331</v>
      </c>
      <c r="B29" t="s">
        <v>1330</v>
      </c>
      <c r="C29">
        <v>98</v>
      </c>
    </row>
    <row r="30" spans="1:3" x14ac:dyDescent="0.25">
      <c r="A30" t="s">
        <v>1699</v>
      </c>
      <c r="B30" t="s">
        <v>1698</v>
      </c>
      <c r="C30">
        <v>96</v>
      </c>
    </row>
    <row r="31" spans="1:3" x14ac:dyDescent="0.25">
      <c r="A31" t="s">
        <v>913</v>
      </c>
      <c r="B31" t="s">
        <v>912</v>
      </c>
      <c r="C31">
        <v>94</v>
      </c>
    </row>
    <row r="32" spans="1:3" x14ac:dyDescent="0.25">
      <c r="A32" t="s">
        <v>1588</v>
      </c>
      <c r="B32" t="s">
        <v>1587</v>
      </c>
      <c r="C32">
        <v>94</v>
      </c>
    </row>
    <row r="33" spans="1:3" x14ac:dyDescent="0.25">
      <c r="A33" t="s">
        <v>1702</v>
      </c>
      <c r="B33" t="s">
        <v>1701</v>
      </c>
      <c r="C33">
        <v>87</v>
      </c>
    </row>
    <row r="34" spans="1:3" x14ac:dyDescent="0.25">
      <c r="A34" t="s">
        <v>1711</v>
      </c>
      <c r="B34" t="s">
        <v>1710</v>
      </c>
      <c r="C34">
        <v>82</v>
      </c>
    </row>
    <row r="35" spans="1:3" x14ac:dyDescent="0.25">
      <c r="A35" t="s">
        <v>109</v>
      </c>
      <c r="B35" t="s">
        <v>108</v>
      </c>
      <c r="C35">
        <v>79</v>
      </c>
    </row>
    <row r="36" spans="1:3" x14ac:dyDescent="0.25">
      <c r="A36" t="s">
        <v>1092</v>
      </c>
      <c r="B36" t="s">
        <v>3575</v>
      </c>
      <c r="C36">
        <v>75</v>
      </c>
    </row>
    <row r="37" spans="1:3" x14ac:dyDescent="0.25">
      <c r="A37" t="s">
        <v>1633</v>
      </c>
      <c r="B37" t="s">
        <v>1632</v>
      </c>
      <c r="C37">
        <v>75</v>
      </c>
    </row>
    <row r="38" spans="1:3" x14ac:dyDescent="0.25">
      <c r="A38" t="s">
        <v>1416</v>
      </c>
      <c r="B38" t="s">
        <v>1415</v>
      </c>
      <c r="C38">
        <v>74</v>
      </c>
    </row>
    <row r="39" spans="1:3" x14ac:dyDescent="0.25">
      <c r="A39" t="s">
        <v>1448</v>
      </c>
      <c r="B39" t="s">
        <v>1447</v>
      </c>
      <c r="C39">
        <v>72</v>
      </c>
    </row>
    <row r="40" spans="1:3" x14ac:dyDescent="0.25">
      <c r="A40" t="s">
        <v>626</v>
      </c>
      <c r="B40" t="s">
        <v>625</v>
      </c>
      <c r="C40">
        <v>69</v>
      </c>
    </row>
    <row r="41" spans="1:3" x14ac:dyDescent="0.25">
      <c r="A41" t="s">
        <v>792</v>
      </c>
      <c r="B41" t="s">
        <v>791</v>
      </c>
      <c r="C41">
        <v>69</v>
      </c>
    </row>
    <row r="42" spans="1:3" x14ac:dyDescent="0.25">
      <c r="A42" t="s">
        <v>1428</v>
      </c>
      <c r="B42" t="s">
        <v>1427</v>
      </c>
      <c r="C42">
        <v>68</v>
      </c>
    </row>
    <row r="43" spans="1:3" x14ac:dyDescent="0.25">
      <c r="A43" t="s">
        <v>1560</v>
      </c>
      <c r="B43" t="s">
        <v>1559</v>
      </c>
      <c r="C43">
        <v>68</v>
      </c>
    </row>
    <row r="44" spans="1:3" x14ac:dyDescent="0.25">
      <c r="A44" t="s">
        <v>113</v>
      </c>
      <c r="B44" t="s">
        <v>112</v>
      </c>
      <c r="C44">
        <v>67</v>
      </c>
    </row>
    <row r="45" spans="1:3" x14ac:dyDescent="0.25">
      <c r="A45" t="s">
        <v>947</v>
      </c>
      <c r="B45" t="s">
        <v>944</v>
      </c>
      <c r="C45">
        <v>67</v>
      </c>
    </row>
    <row r="46" spans="1:3" x14ac:dyDescent="0.25">
      <c r="A46" t="s">
        <v>1437</v>
      </c>
      <c r="B46" t="s">
        <v>1436</v>
      </c>
      <c r="C46">
        <v>67</v>
      </c>
    </row>
    <row r="47" spans="1:3" x14ac:dyDescent="0.25">
      <c r="A47" t="s">
        <v>1071</v>
      </c>
      <c r="B47" t="s">
        <v>1070</v>
      </c>
      <c r="C47">
        <v>65</v>
      </c>
    </row>
    <row r="48" spans="1:3" x14ac:dyDescent="0.25">
      <c r="A48" t="s">
        <v>590</v>
      </c>
      <c r="B48" t="s">
        <v>589</v>
      </c>
      <c r="C48">
        <v>62</v>
      </c>
    </row>
    <row r="49" spans="1:3" x14ac:dyDescent="0.25">
      <c r="A49" t="s">
        <v>1176</v>
      </c>
      <c r="B49" t="s">
        <v>1175</v>
      </c>
      <c r="C49">
        <v>62</v>
      </c>
    </row>
    <row r="50" spans="1:3" x14ac:dyDescent="0.25">
      <c r="A50" t="s">
        <v>158</v>
      </c>
      <c r="B50" t="s">
        <v>3576</v>
      </c>
      <c r="C50">
        <v>61</v>
      </c>
    </row>
    <row r="51" spans="1:3" x14ac:dyDescent="0.25">
      <c r="A51" t="s">
        <v>386</v>
      </c>
      <c r="B51" t="s">
        <v>385</v>
      </c>
      <c r="C51">
        <v>59</v>
      </c>
    </row>
    <row r="52" spans="1:3" x14ac:dyDescent="0.25">
      <c r="A52" t="s">
        <v>1283</v>
      </c>
      <c r="B52" t="s">
        <v>1282</v>
      </c>
      <c r="C52">
        <v>59</v>
      </c>
    </row>
    <row r="53" spans="1:3" x14ac:dyDescent="0.25">
      <c r="A53" t="s">
        <v>1495</v>
      </c>
      <c r="B53" t="s">
        <v>1494</v>
      </c>
      <c r="C53">
        <v>59</v>
      </c>
    </row>
    <row r="54" spans="1:3" x14ac:dyDescent="0.25">
      <c r="A54" t="s">
        <v>993</v>
      </c>
      <c r="B54" t="s">
        <v>992</v>
      </c>
      <c r="C54">
        <v>58</v>
      </c>
    </row>
    <row r="55" spans="1:3" x14ac:dyDescent="0.25">
      <c r="A55" t="s">
        <v>1407</v>
      </c>
      <c r="B55" t="s">
        <v>1406</v>
      </c>
      <c r="C55">
        <v>58</v>
      </c>
    </row>
    <row r="56" spans="1:3" x14ac:dyDescent="0.25">
      <c r="A56" t="s">
        <v>1005</v>
      </c>
      <c r="B56" t="s">
        <v>1004</v>
      </c>
      <c r="C56">
        <v>56</v>
      </c>
    </row>
    <row r="57" spans="1:3" x14ac:dyDescent="0.25">
      <c r="A57" t="s">
        <v>1483</v>
      </c>
      <c r="B57" t="s">
        <v>1482</v>
      </c>
      <c r="C57">
        <v>53</v>
      </c>
    </row>
    <row r="58" spans="1:3" x14ac:dyDescent="0.25">
      <c r="A58" t="s">
        <v>1094</v>
      </c>
      <c r="B58" t="s">
        <v>3577</v>
      </c>
      <c r="C58">
        <v>52</v>
      </c>
    </row>
    <row r="59" spans="1:3" x14ac:dyDescent="0.25">
      <c r="A59" t="s">
        <v>1210</v>
      </c>
      <c r="B59" t="s">
        <v>3578</v>
      </c>
      <c r="C59">
        <v>52</v>
      </c>
    </row>
    <row r="60" spans="1:3" x14ac:dyDescent="0.25">
      <c r="A60" t="s">
        <v>1466</v>
      </c>
      <c r="B60" t="s">
        <v>1465</v>
      </c>
      <c r="C60">
        <v>51</v>
      </c>
    </row>
    <row r="61" spans="1:3" x14ac:dyDescent="0.25">
      <c r="A61" t="s">
        <v>1404</v>
      </c>
      <c r="B61" t="s">
        <v>1403</v>
      </c>
      <c r="C61">
        <v>48</v>
      </c>
    </row>
    <row r="62" spans="1:3" x14ac:dyDescent="0.25">
      <c r="A62" t="s">
        <v>1460</v>
      </c>
      <c r="B62" t="s">
        <v>1459</v>
      </c>
      <c r="C62">
        <v>47</v>
      </c>
    </row>
    <row r="63" spans="1:3" x14ac:dyDescent="0.25">
      <c r="A63" t="s">
        <v>279</v>
      </c>
      <c r="B63" t="s">
        <v>278</v>
      </c>
      <c r="C63">
        <v>46</v>
      </c>
    </row>
    <row r="64" spans="1:3" x14ac:dyDescent="0.25">
      <c r="A64" t="s">
        <v>1099</v>
      </c>
      <c r="B64" t="s">
        <v>1098</v>
      </c>
      <c r="C64">
        <v>45</v>
      </c>
    </row>
    <row r="65" spans="1:3" x14ac:dyDescent="0.25">
      <c r="A65" t="s">
        <v>1419</v>
      </c>
      <c r="B65" t="s">
        <v>1418</v>
      </c>
      <c r="C65">
        <v>45</v>
      </c>
    </row>
    <row r="66" spans="1:3" x14ac:dyDescent="0.25">
      <c r="A66" t="s">
        <v>1228</v>
      </c>
      <c r="B66" t="s">
        <v>1227</v>
      </c>
      <c r="C66">
        <v>41</v>
      </c>
    </row>
    <row r="67" spans="1:3" x14ac:dyDescent="0.25">
      <c r="A67" t="s">
        <v>850</v>
      </c>
      <c r="B67" t="s">
        <v>3579</v>
      </c>
      <c r="C67">
        <v>40</v>
      </c>
    </row>
    <row r="68" spans="1:3" x14ac:dyDescent="0.25">
      <c r="A68" t="s">
        <v>1274</v>
      </c>
      <c r="B68" t="s">
        <v>1273</v>
      </c>
      <c r="C68">
        <v>40</v>
      </c>
    </row>
    <row r="69" spans="1:3" x14ac:dyDescent="0.25">
      <c r="A69" t="s">
        <v>1642</v>
      </c>
      <c r="B69" t="s">
        <v>1641</v>
      </c>
      <c r="C69">
        <v>40</v>
      </c>
    </row>
    <row r="70" spans="1:3" x14ac:dyDescent="0.25">
      <c r="A70" t="s">
        <v>121</v>
      </c>
      <c r="B70" t="s">
        <v>120</v>
      </c>
      <c r="C70">
        <v>39</v>
      </c>
    </row>
    <row r="71" spans="1:3" x14ac:dyDescent="0.25">
      <c r="A71" t="s">
        <v>1050</v>
      </c>
      <c r="B71" t="s">
        <v>1049</v>
      </c>
      <c r="C71">
        <v>39</v>
      </c>
    </row>
    <row r="72" spans="1:3" x14ac:dyDescent="0.25">
      <c r="A72" t="s">
        <v>1489</v>
      </c>
      <c r="B72" t="s">
        <v>1488</v>
      </c>
      <c r="C72">
        <v>39</v>
      </c>
    </row>
    <row r="73" spans="1:3" x14ac:dyDescent="0.25">
      <c r="A73" t="s">
        <v>1047</v>
      </c>
      <c r="B73" t="s">
        <v>1046</v>
      </c>
      <c r="C73">
        <v>38</v>
      </c>
    </row>
    <row r="74" spans="1:3" x14ac:dyDescent="0.25">
      <c r="A74" t="s">
        <v>1445</v>
      </c>
      <c r="B74" t="s">
        <v>1444</v>
      </c>
      <c r="C74">
        <v>38</v>
      </c>
    </row>
    <row r="75" spans="1:3" x14ac:dyDescent="0.25">
      <c r="A75" t="s">
        <v>1565</v>
      </c>
      <c r="B75" t="s">
        <v>343</v>
      </c>
      <c r="C75">
        <v>38</v>
      </c>
    </row>
    <row r="76" spans="1:3" x14ac:dyDescent="0.25">
      <c r="A76" t="s">
        <v>1585</v>
      </c>
      <c r="B76" t="s">
        <v>1584</v>
      </c>
      <c r="C76">
        <v>38</v>
      </c>
    </row>
    <row r="77" spans="1:3" x14ac:dyDescent="0.25">
      <c r="A77" t="s">
        <v>734</v>
      </c>
      <c r="B77" t="s">
        <v>733</v>
      </c>
      <c r="C77">
        <v>37</v>
      </c>
    </row>
    <row r="78" spans="1:3" x14ac:dyDescent="0.25">
      <c r="A78" t="s">
        <v>771</v>
      </c>
      <c r="B78" t="s">
        <v>770</v>
      </c>
      <c r="C78">
        <v>37</v>
      </c>
    </row>
    <row r="79" spans="1:3" x14ac:dyDescent="0.25">
      <c r="A79" t="s">
        <v>1184</v>
      </c>
      <c r="B79" t="s">
        <v>1183</v>
      </c>
      <c r="C79">
        <v>37</v>
      </c>
    </row>
    <row r="80" spans="1:3" x14ac:dyDescent="0.25">
      <c r="A80" t="s">
        <v>1693</v>
      </c>
      <c r="B80" t="s">
        <v>1692</v>
      </c>
      <c r="C80">
        <v>37</v>
      </c>
    </row>
    <row r="81" spans="1:3" x14ac:dyDescent="0.25">
      <c r="A81" t="s">
        <v>36</v>
      </c>
      <c r="B81" t="s">
        <v>35</v>
      </c>
      <c r="C81">
        <v>36</v>
      </c>
    </row>
    <row r="82" spans="1:3" x14ac:dyDescent="0.25">
      <c r="A82" t="s">
        <v>130</v>
      </c>
      <c r="B82" t="s">
        <v>129</v>
      </c>
      <c r="C82">
        <v>36</v>
      </c>
    </row>
    <row r="83" spans="1:3" x14ac:dyDescent="0.25">
      <c r="A83" t="s">
        <v>246</v>
      </c>
      <c r="B83" t="s">
        <v>245</v>
      </c>
      <c r="C83">
        <v>36</v>
      </c>
    </row>
    <row r="84" spans="1:3" x14ac:dyDescent="0.25">
      <c r="A84" t="s">
        <v>383</v>
      </c>
      <c r="B84" t="s">
        <v>382</v>
      </c>
      <c r="C84">
        <v>35</v>
      </c>
    </row>
    <row r="85" spans="1:3" x14ac:dyDescent="0.25">
      <c r="A85" t="s">
        <v>485</v>
      </c>
      <c r="B85" t="s">
        <v>484</v>
      </c>
      <c r="C85">
        <v>34</v>
      </c>
    </row>
    <row r="86" spans="1:3" x14ac:dyDescent="0.25">
      <c r="A86" t="s">
        <v>703</v>
      </c>
      <c r="B86" t="s">
        <v>3580</v>
      </c>
      <c r="C86">
        <v>34</v>
      </c>
    </row>
    <row r="87" spans="1:3" x14ac:dyDescent="0.25">
      <c r="A87" t="s">
        <v>807</v>
      </c>
      <c r="B87" t="s">
        <v>806</v>
      </c>
      <c r="C87">
        <v>34</v>
      </c>
    </row>
    <row r="88" spans="1:3" x14ac:dyDescent="0.25">
      <c r="A88" t="s">
        <v>804</v>
      </c>
      <c r="B88" t="s">
        <v>803</v>
      </c>
      <c r="C88">
        <v>33</v>
      </c>
    </row>
    <row r="89" spans="1:3" x14ac:dyDescent="0.25">
      <c r="A89" t="s">
        <v>435</v>
      </c>
      <c r="B89" t="s">
        <v>434</v>
      </c>
      <c r="C89">
        <v>32</v>
      </c>
    </row>
    <row r="90" spans="1:3" x14ac:dyDescent="0.25">
      <c r="A90" t="s">
        <v>1576</v>
      </c>
      <c r="B90" t="s">
        <v>3581</v>
      </c>
      <c r="C90">
        <v>32</v>
      </c>
    </row>
    <row r="91" spans="1:3" x14ac:dyDescent="0.25">
      <c r="A91" t="s">
        <v>578</v>
      </c>
      <c r="B91" t="s">
        <v>577</v>
      </c>
      <c r="C91">
        <v>31</v>
      </c>
    </row>
    <row r="92" spans="1:3" x14ac:dyDescent="0.25">
      <c r="A92" t="s">
        <v>1475</v>
      </c>
      <c r="B92" t="s">
        <v>1474</v>
      </c>
      <c r="C92">
        <v>31</v>
      </c>
    </row>
    <row r="93" spans="1:3" x14ac:dyDescent="0.25">
      <c r="A93" t="s">
        <v>309</v>
      </c>
      <c r="B93" t="s">
        <v>308</v>
      </c>
      <c r="C93">
        <v>30</v>
      </c>
    </row>
    <row r="94" spans="1:3" x14ac:dyDescent="0.25">
      <c r="A94" t="s">
        <v>670</v>
      </c>
      <c r="B94" t="s">
        <v>669</v>
      </c>
      <c r="C94">
        <v>30</v>
      </c>
    </row>
    <row r="95" spans="1:3" x14ac:dyDescent="0.25">
      <c r="A95" t="s">
        <v>1708</v>
      </c>
      <c r="B95" t="s">
        <v>1707</v>
      </c>
      <c r="C95">
        <v>30</v>
      </c>
    </row>
    <row r="96" spans="1:3" x14ac:dyDescent="0.25">
      <c r="A96" t="s">
        <v>243</v>
      </c>
      <c r="B96" t="s">
        <v>242</v>
      </c>
      <c r="C96">
        <v>29</v>
      </c>
    </row>
    <row r="97" spans="1:3" x14ac:dyDescent="0.25">
      <c r="A97" t="s">
        <v>968</v>
      </c>
      <c r="B97" t="s">
        <v>967</v>
      </c>
      <c r="C97">
        <v>29</v>
      </c>
    </row>
    <row r="98" spans="1:3" x14ac:dyDescent="0.25">
      <c r="A98" t="s">
        <v>412</v>
      </c>
      <c r="B98" t="s">
        <v>411</v>
      </c>
      <c r="C98">
        <v>28</v>
      </c>
    </row>
    <row r="99" spans="1:3" x14ac:dyDescent="0.25">
      <c r="A99" t="s">
        <v>812</v>
      </c>
      <c r="B99" t="s">
        <v>3580</v>
      </c>
      <c r="C99">
        <v>28</v>
      </c>
    </row>
    <row r="100" spans="1:3" x14ac:dyDescent="0.25">
      <c r="A100" t="s">
        <v>99</v>
      </c>
      <c r="B100" t="s">
        <v>98</v>
      </c>
      <c r="C100">
        <v>27</v>
      </c>
    </row>
    <row r="101" spans="1:3" x14ac:dyDescent="0.25">
      <c r="A101" t="s">
        <v>145</v>
      </c>
      <c r="B101" t="s">
        <v>144</v>
      </c>
      <c r="C101">
        <v>27</v>
      </c>
    </row>
    <row r="102" spans="1:3" x14ac:dyDescent="0.25">
      <c r="A102" t="s">
        <v>548</v>
      </c>
      <c r="B102" t="s">
        <v>547</v>
      </c>
      <c r="C102">
        <v>27</v>
      </c>
    </row>
    <row r="103" spans="1:3" x14ac:dyDescent="0.25">
      <c r="A103" t="s">
        <v>1286</v>
      </c>
      <c r="B103" t="s">
        <v>1285</v>
      </c>
      <c r="C103">
        <v>27</v>
      </c>
    </row>
    <row r="104" spans="1:3" x14ac:dyDescent="0.25">
      <c r="A104" t="s">
        <v>1155</v>
      </c>
      <c r="B104" t="s">
        <v>1154</v>
      </c>
      <c r="C104">
        <v>26</v>
      </c>
    </row>
    <row r="105" spans="1:3" x14ac:dyDescent="0.25">
      <c r="A105" t="s">
        <v>1307</v>
      </c>
      <c r="B105" t="s">
        <v>1306</v>
      </c>
      <c r="C105">
        <v>26</v>
      </c>
    </row>
    <row r="106" spans="1:3" x14ac:dyDescent="0.25">
      <c r="A106" t="s">
        <v>164</v>
      </c>
      <c r="B106" t="s">
        <v>163</v>
      </c>
      <c r="C106">
        <v>25</v>
      </c>
    </row>
    <row r="107" spans="1:3" x14ac:dyDescent="0.25">
      <c r="A107" t="s">
        <v>996</v>
      </c>
      <c r="B107" t="s">
        <v>995</v>
      </c>
      <c r="C107">
        <v>25</v>
      </c>
    </row>
    <row r="108" spans="1:3" x14ac:dyDescent="0.25">
      <c r="A108" t="s">
        <v>80</v>
      </c>
      <c r="B108" t="s">
        <v>79</v>
      </c>
      <c r="C108">
        <v>24</v>
      </c>
    </row>
    <row r="109" spans="1:3" x14ac:dyDescent="0.25">
      <c r="A109" t="s">
        <v>133</v>
      </c>
      <c r="B109" t="s">
        <v>132</v>
      </c>
      <c r="C109">
        <v>24</v>
      </c>
    </row>
    <row r="110" spans="1:3" x14ac:dyDescent="0.25">
      <c r="A110" t="s">
        <v>1636</v>
      </c>
      <c r="B110" t="s">
        <v>1635</v>
      </c>
      <c r="C110">
        <v>24</v>
      </c>
    </row>
    <row r="111" spans="1:3" x14ac:dyDescent="0.25">
      <c r="A111" t="s">
        <v>212</v>
      </c>
      <c r="B111" t="s">
        <v>211</v>
      </c>
      <c r="C111">
        <v>22</v>
      </c>
    </row>
    <row r="112" spans="1:3" x14ac:dyDescent="0.25">
      <c r="A112" t="s">
        <v>575</v>
      </c>
      <c r="B112" t="s">
        <v>574</v>
      </c>
      <c r="C112">
        <v>22</v>
      </c>
    </row>
    <row r="113" spans="1:3" x14ac:dyDescent="0.25">
      <c r="A113" t="s">
        <v>780</v>
      </c>
      <c r="B113" t="s">
        <v>779</v>
      </c>
      <c r="C113">
        <v>22</v>
      </c>
    </row>
    <row r="114" spans="1:3" x14ac:dyDescent="0.25">
      <c r="A114" t="s">
        <v>1557</v>
      </c>
      <c r="B114" t="s">
        <v>3582</v>
      </c>
      <c r="C114">
        <v>22</v>
      </c>
    </row>
    <row r="115" spans="1:3" x14ac:dyDescent="0.25">
      <c r="A115" t="s">
        <v>696</v>
      </c>
      <c r="B115" t="s">
        <v>695</v>
      </c>
      <c r="C115">
        <v>21</v>
      </c>
    </row>
    <row r="116" spans="1:3" x14ac:dyDescent="0.25">
      <c r="A116" t="s">
        <v>699</v>
      </c>
      <c r="B116" t="s">
        <v>698</v>
      </c>
      <c r="C116">
        <v>21</v>
      </c>
    </row>
    <row r="117" spans="1:3" x14ac:dyDescent="0.25">
      <c r="A117" t="s">
        <v>801</v>
      </c>
      <c r="B117" t="s">
        <v>800</v>
      </c>
      <c r="C117">
        <v>21</v>
      </c>
    </row>
    <row r="118" spans="1:3" x14ac:dyDescent="0.25">
      <c r="A118" t="s">
        <v>1213</v>
      </c>
      <c r="B118" t="s">
        <v>1212</v>
      </c>
      <c r="C118">
        <v>21</v>
      </c>
    </row>
    <row r="119" spans="1:3" x14ac:dyDescent="0.25">
      <c r="A119" t="s">
        <v>1434</v>
      </c>
      <c r="B119" t="s">
        <v>1433</v>
      </c>
      <c r="C119">
        <v>21</v>
      </c>
    </row>
    <row r="120" spans="1:3" x14ac:dyDescent="0.25">
      <c r="A120" t="s">
        <v>1603</v>
      </c>
      <c r="B120" t="s">
        <v>1602</v>
      </c>
      <c r="C120">
        <v>21</v>
      </c>
    </row>
    <row r="121" spans="1:3" x14ac:dyDescent="0.25">
      <c r="A121" t="s">
        <v>329</v>
      </c>
      <c r="B121" t="s">
        <v>328</v>
      </c>
      <c r="C121">
        <v>20</v>
      </c>
    </row>
    <row r="122" spans="1:3" x14ac:dyDescent="0.25">
      <c r="A122" t="s">
        <v>360</v>
      </c>
      <c r="B122" t="s">
        <v>3583</v>
      </c>
      <c r="C122">
        <v>20</v>
      </c>
    </row>
    <row r="123" spans="1:3" x14ac:dyDescent="0.25">
      <c r="A123" t="s">
        <v>389</v>
      </c>
      <c r="B123" t="s">
        <v>388</v>
      </c>
      <c r="C123">
        <v>20</v>
      </c>
    </row>
    <row r="124" spans="1:3" x14ac:dyDescent="0.25">
      <c r="A124" t="s">
        <v>581</v>
      </c>
      <c r="B124" t="s">
        <v>580</v>
      </c>
      <c r="C124">
        <v>20</v>
      </c>
    </row>
    <row r="125" spans="1:3" x14ac:dyDescent="0.25">
      <c r="A125" t="s">
        <v>739</v>
      </c>
      <c r="B125" t="s">
        <v>738</v>
      </c>
      <c r="C125">
        <v>20</v>
      </c>
    </row>
    <row r="126" spans="1:3" x14ac:dyDescent="0.25">
      <c r="A126" t="s">
        <v>1146</v>
      </c>
      <c r="B126" t="s">
        <v>1145</v>
      </c>
      <c r="C126">
        <v>20</v>
      </c>
    </row>
    <row r="127" spans="1:3" x14ac:dyDescent="0.25">
      <c r="A127" t="s">
        <v>225</v>
      </c>
      <c r="B127" t="s">
        <v>224</v>
      </c>
      <c r="C127">
        <v>19</v>
      </c>
    </row>
    <row r="128" spans="1:3" x14ac:dyDescent="0.25">
      <c r="A128" t="s">
        <v>584</v>
      </c>
      <c r="B128" t="s">
        <v>583</v>
      </c>
      <c r="C128">
        <v>19</v>
      </c>
    </row>
    <row r="129" spans="1:3" x14ac:dyDescent="0.25">
      <c r="A129" t="s">
        <v>768</v>
      </c>
      <c r="B129" t="s">
        <v>767</v>
      </c>
      <c r="C129">
        <v>18</v>
      </c>
    </row>
    <row r="130" spans="1:3" x14ac:dyDescent="0.25">
      <c r="A130" t="s">
        <v>188</v>
      </c>
      <c r="B130" t="s">
        <v>187</v>
      </c>
      <c r="C130">
        <v>17</v>
      </c>
    </row>
    <row r="131" spans="1:3" x14ac:dyDescent="0.25">
      <c r="A131" t="s">
        <v>560</v>
      </c>
      <c r="B131" t="s">
        <v>559</v>
      </c>
      <c r="C131">
        <v>17</v>
      </c>
    </row>
    <row r="132" spans="1:3" x14ac:dyDescent="0.25">
      <c r="A132" t="s">
        <v>1675</v>
      </c>
      <c r="B132" t="s">
        <v>1674</v>
      </c>
      <c r="C132">
        <v>17</v>
      </c>
    </row>
    <row r="133" spans="1:3" x14ac:dyDescent="0.25">
      <c r="A133" t="s">
        <v>1690</v>
      </c>
      <c r="B133" t="s">
        <v>1689</v>
      </c>
      <c r="C133">
        <v>17</v>
      </c>
    </row>
    <row r="134" spans="1:3" x14ac:dyDescent="0.25">
      <c r="A134" t="s">
        <v>380</v>
      </c>
      <c r="B134" t="s">
        <v>379</v>
      </c>
      <c r="C134">
        <v>16</v>
      </c>
    </row>
    <row r="135" spans="1:3" x14ac:dyDescent="0.25">
      <c r="A135" t="s">
        <v>497</v>
      </c>
      <c r="B135" t="s">
        <v>496</v>
      </c>
      <c r="C135">
        <v>16</v>
      </c>
    </row>
    <row r="136" spans="1:3" x14ac:dyDescent="0.25">
      <c r="A136" t="s">
        <v>693</v>
      </c>
      <c r="B136" t="s">
        <v>692</v>
      </c>
      <c r="C136">
        <v>16</v>
      </c>
    </row>
    <row r="137" spans="1:3" x14ac:dyDescent="0.25">
      <c r="A137" t="s">
        <v>753</v>
      </c>
      <c r="B137" t="s">
        <v>752</v>
      </c>
      <c r="C137">
        <v>16</v>
      </c>
    </row>
    <row r="138" spans="1:3" x14ac:dyDescent="0.25">
      <c r="A138" t="s">
        <v>762</v>
      </c>
      <c r="B138" t="s">
        <v>761</v>
      </c>
      <c r="C138">
        <v>16</v>
      </c>
    </row>
    <row r="139" spans="1:3" x14ac:dyDescent="0.25">
      <c r="A139" t="s">
        <v>124</v>
      </c>
      <c r="B139" t="s">
        <v>123</v>
      </c>
      <c r="C139">
        <v>15</v>
      </c>
    </row>
    <row r="140" spans="1:3" x14ac:dyDescent="0.25">
      <c r="A140" t="s">
        <v>1025</v>
      </c>
      <c r="B140" t="s">
        <v>1009</v>
      </c>
      <c r="C140">
        <v>15</v>
      </c>
    </row>
    <row r="141" spans="1:3" x14ac:dyDescent="0.25">
      <c r="A141" t="s">
        <v>1119</v>
      </c>
      <c r="B141" t="s">
        <v>1118</v>
      </c>
      <c r="C141">
        <v>15</v>
      </c>
    </row>
    <row r="142" spans="1:3" x14ac:dyDescent="0.25">
      <c r="A142" t="s">
        <v>1149</v>
      </c>
      <c r="B142" t="s">
        <v>1148</v>
      </c>
      <c r="C142">
        <v>15</v>
      </c>
    </row>
    <row r="143" spans="1:3" x14ac:dyDescent="0.25">
      <c r="A143" t="s">
        <v>1422</v>
      </c>
      <c r="B143" t="s">
        <v>1421</v>
      </c>
      <c r="C143">
        <v>15</v>
      </c>
    </row>
    <row r="144" spans="1:3" x14ac:dyDescent="0.25">
      <c r="A144" t="s">
        <v>1486</v>
      </c>
      <c r="B144" t="s">
        <v>1485</v>
      </c>
      <c r="C144">
        <v>15</v>
      </c>
    </row>
    <row r="145" spans="1:3" x14ac:dyDescent="0.25">
      <c r="A145" t="s">
        <v>602</v>
      </c>
      <c r="B145" t="s">
        <v>601</v>
      </c>
      <c r="C145">
        <v>14</v>
      </c>
    </row>
    <row r="146" spans="1:3" x14ac:dyDescent="0.25">
      <c r="A146" t="s">
        <v>657</v>
      </c>
      <c r="B146" t="s">
        <v>656</v>
      </c>
      <c r="C146">
        <v>14</v>
      </c>
    </row>
    <row r="147" spans="1:3" x14ac:dyDescent="0.25">
      <c r="A147" t="s">
        <v>896</v>
      </c>
      <c r="B147" t="s">
        <v>895</v>
      </c>
      <c r="C147">
        <v>14</v>
      </c>
    </row>
    <row r="148" spans="1:3" x14ac:dyDescent="0.25">
      <c r="A148" t="s">
        <v>1062</v>
      </c>
      <c r="B148" t="s">
        <v>1061</v>
      </c>
      <c r="C148">
        <v>14</v>
      </c>
    </row>
    <row r="149" spans="1:3" x14ac:dyDescent="0.25">
      <c r="A149" t="s">
        <v>1582</v>
      </c>
      <c r="B149" t="s">
        <v>1581</v>
      </c>
      <c r="C149">
        <v>14</v>
      </c>
    </row>
    <row r="150" spans="1:3" x14ac:dyDescent="0.25">
      <c r="A150" t="s">
        <v>13</v>
      </c>
      <c r="B150" t="s">
        <v>12</v>
      </c>
      <c r="C150">
        <v>13</v>
      </c>
    </row>
    <row r="151" spans="1:3" x14ac:dyDescent="0.25">
      <c r="A151" t="s">
        <v>176</v>
      </c>
      <c r="B151" t="s">
        <v>175</v>
      </c>
      <c r="C151">
        <v>13</v>
      </c>
    </row>
    <row r="152" spans="1:3" x14ac:dyDescent="0.25">
      <c r="A152" t="s">
        <v>240</v>
      </c>
      <c r="B152" t="s">
        <v>239</v>
      </c>
      <c r="C152">
        <v>13</v>
      </c>
    </row>
    <row r="153" spans="1:3" x14ac:dyDescent="0.25">
      <c r="A153" t="s">
        <v>312</v>
      </c>
      <c r="B153" t="s">
        <v>311</v>
      </c>
      <c r="C153">
        <v>13</v>
      </c>
    </row>
    <row r="154" spans="1:3" x14ac:dyDescent="0.25">
      <c r="A154" t="s">
        <v>509</v>
      </c>
      <c r="B154" t="s">
        <v>3584</v>
      </c>
      <c r="C154">
        <v>13</v>
      </c>
    </row>
    <row r="155" spans="1:3" x14ac:dyDescent="0.25">
      <c r="A155" t="s">
        <v>611</v>
      </c>
      <c r="B155" t="s">
        <v>610</v>
      </c>
      <c r="C155">
        <v>13</v>
      </c>
    </row>
    <row r="156" spans="1:3" x14ac:dyDescent="0.25">
      <c r="A156" t="s">
        <v>945</v>
      </c>
      <c r="B156" t="s">
        <v>944</v>
      </c>
      <c r="C156">
        <v>13</v>
      </c>
    </row>
    <row r="157" spans="1:3" x14ac:dyDescent="0.25">
      <c r="A157" t="s">
        <v>1041</v>
      </c>
      <c r="B157" t="s">
        <v>336</v>
      </c>
      <c r="C157">
        <v>13</v>
      </c>
    </row>
    <row r="158" spans="1:3" x14ac:dyDescent="0.25">
      <c r="A158" t="s">
        <v>1531</v>
      </c>
      <c r="B158" t="s">
        <v>1530</v>
      </c>
      <c r="C158">
        <v>13</v>
      </c>
    </row>
    <row r="159" spans="1:3" x14ac:dyDescent="0.25">
      <c r="A159" t="s">
        <v>1678</v>
      </c>
      <c r="B159" t="s">
        <v>1677</v>
      </c>
      <c r="C159">
        <v>13</v>
      </c>
    </row>
    <row r="160" spans="1:3" x14ac:dyDescent="0.25">
      <c r="A160" t="s">
        <v>155</v>
      </c>
      <c r="B160" t="s">
        <v>3585</v>
      </c>
      <c r="C160">
        <v>12</v>
      </c>
    </row>
    <row r="161" spans="1:3" x14ac:dyDescent="0.25">
      <c r="A161" t="s">
        <v>218</v>
      </c>
      <c r="B161" t="s">
        <v>217</v>
      </c>
      <c r="C161">
        <v>12</v>
      </c>
    </row>
    <row r="162" spans="1:3" x14ac:dyDescent="0.25">
      <c r="A162" t="s">
        <v>687</v>
      </c>
      <c r="B162" t="s">
        <v>686</v>
      </c>
      <c r="C162">
        <v>12</v>
      </c>
    </row>
    <row r="163" spans="1:3" x14ac:dyDescent="0.25">
      <c r="A163" t="s">
        <v>1077</v>
      </c>
      <c r="B163" t="s">
        <v>1076</v>
      </c>
      <c r="C163">
        <v>12</v>
      </c>
    </row>
    <row r="164" spans="1:3" x14ac:dyDescent="0.25">
      <c r="A164" t="s">
        <v>1663</v>
      </c>
      <c r="B164" t="s">
        <v>1662</v>
      </c>
      <c r="C164">
        <v>12</v>
      </c>
    </row>
    <row r="165" spans="1:3" x14ac:dyDescent="0.25">
      <c r="A165" t="s">
        <v>148</v>
      </c>
      <c r="B165" t="s">
        <v>147</v>
      </c>
      <c r="C165">
        <v>11</v>
      </c>
    </row>
    <row r="166" spans="1:3" x14ac:dyDescent="0.25">
      <c r="A166" t="s">
        <v>432</v>
      </c>
      <c r="B166" t="s">
        <v>431</v>
      </c>
      <c r="C166">
        <v>11</v>
      </c>
    </row>
    <row r="167" spans="1:3" x14ac:dyDescent="0.25">
      <c r="A167" t="s">
        <v>467</v>
      </c>
      <c r="B167" t="s">
        <v>466</v>
      </c>
      <c r="C167">
        <v>11</v>
      </c>
    </row>
    <row r="168" spans="1:3" x14ac:dyDescent="0.25">
      <c r="A168" t="s">
        <v>637</v>
      </c>
      <c r="B168" t="s">
        <v>3574</v>
      </c>
      <c r="C168">
        <v>11</v>
      </c>
    </row>
    <row r="169" spans="1:3" x14ac:dyDescent="0.25">
      <c r="A169" t="s">
        <v>1023</v>
      </c>
      <c r="B169" t="s">
        <v>1009</v>
      </c>
      <c r="C169">
        <v>11</v>
      </c>
    </row>
    <row r="170" spans="1:3" x14ac:dyDescent="0.25">
      <c r="A170" t="s">
        <v>1168</v>
      </c>
      <c r="B170" t="s">
        <v>1167</v>
      </c>
      <c r="C170">
        <v>11</v>
      </c>
    </row>
    <row r="171" spans="1:3" x14ac:dyDescent="0.25">
      <c r="A171" t="s">
        <v>1202</v>
      </c>
      <c r="B171" t="s">
        <v>1201</v>
      </c>
      <c r="C171">
        <v>11</v>
      </c>
    </row>
    <row r="172" spans="1:3" x14ac:dyDescent="0.25">
      <c r="A172" t="s">
        <v>1253</v>
      </c>
      <c r="B172" t="s">
        <v>1252</v>
      </c>
      <c r="C172">
        <v>11</v>
      </c>
    </row>
    <row r="173" spans="1:3" x14ac:dyDescent="0.25">
      <c r="A173" t="s">
        <v>1540</v>
      </c>
      <c r="B173" t="s">
        <v>1539</v>
      </c>
      <c r="C173">
        <v>11</v>
      </c>
    </row>
    <row r="174" spans="1:3" x14ac:dyDescent="0.25">
      <c r="A174" t="s">
        <v>1612</v>
      </c>
      <c r="B174" t="s">
        <v>1611</v>
      </c>
      <c r="C174">
        <v>11</v>
      </c>
    </row>
    <row r="175" spans="1:3" x14ac:dyDescent="0.25">
      <c r="A175" t="s">
        <v>71</v>
      </c>
      <c r="B175" t="s">
        <v>70</v>
      </c>
      <c r="C175">
        <v>10</v>
      </c>
    </row>
    <row r="176" spans="1:3" x14ac:dyDescent="0.25">
      <c r="A176" t="s">
        <v>96</v>
      </c>
      <c r="B176" t="s">
        <v>95</v>
      </c>
      <c r="C176">
        <v>10</v>
      </c>
    </row>
    <row r="177" spans="1:3" x14ac:dyDescent="0.25">
      <c r="A177" t="s">
        <v>534</v>
      </c>
      <c r="B177" t="s">
        <v>533</v>
      </c>
      <c r="C177">
        <v>10</v>
      </c>
    </row>
    <row r="178" spans="1:3" x14ac:dyDescent="0.25">
      <c r="A178" t="s">
        <v>593</v>
      </c>
      <c r="B178" t="s">
        <v>592</v>
      </c>
      <c r="C178">
        <v>10</v>
      </c>
    </row>
    <row r="179" spans="1:3" x14ac:dyDescent="0.25">
      <c r="A179" t="s">
        <v>599</v>
      </c>
      <c r="B179" t="s">
        <v>598</v>
      </c>
      <c r="C179">
        <v>10</v>
      </c>
    </row>
    <row r="180" spans="1:3" x14ac:dyDescent="0.25">
      <c r="A180" t="s">
        <v>701</v>
      </c>
      <c r="B180" t="s">
        <v>3586</v>
      </c>
      <c r="C180">
        <v>10</v>
      </c>
    </row>
    <row r="181" spans="1:3" x14ac:dyDescent="0.25">
      <c r="A181" t="s">
        <v>765</v>
      </c>
      <c r="B181" t="s">
        <v>764</v>
      </c>
      <c r="C181">
        <v>10</v>
      </c>
    </row>
    <row r="182" spans="1:3" x14ac:dyDescent="0.25">
      <c r="A182" t="s">
        <v>934</v>
      </c>
      <c r="B182" t="s">
        <v>933</v>
      </c>
      <c r="C182">
        <v>10</v>
      </c>
    </row>
    <row r="183" spans="1:3" x14ac:dyDescent="0.25">
      <c r="A183" t="s">
        <v>975</v>
      </c>
      <c r="B183" t="s">
        <v>3587</v>
      </c>
      <c r="C183">
        <v>10</v>
      </c>
    </row>
    <row r="184" spans="1:3" x14ac:dyDescent="0.25">
      <c r="A184" t="s">
        <v>978</v>
      </c>
      <c r="B184" t="s">
        <v>977</v>
      </c>
      <c r="C184">
        <v>10</v>
      </c>
    </row>
    <row r="185" spans="1:3" x14ac:dyDescent="0.25">
      <c r="A185" t="s">
        <v>1053</v>
      </c>
      <c r="B185" t="s">
        <v>1052</v>
      </c>
      <c r="C185">
        <v>10</v>
      </c>
    </row>
    <row r="186" spans="1:3" x14ac:dyDescent="0.25">
      <c r="A186" t="s">
        <v>1065</v>
      </c>
      <c r="B186" t="s">
        <v>1064</v>
      </c>
      <c r="C186">
        <v>10</v>
      </c>
    </row>
    <row r="187" spans="1:3" x14ac:dyDescent="0.25">
      <c r="A187" t="s">
        <v>1096</v>
      </c>
      <c r="B187" t="s">
        <v>3588</v>
      </c>
      <c r="C187">
        <v>10</v>
      </c>
    </row>
    <row r="188" spans="1:3" x14ac:dyDescent="0.25">
      <c r="A188" t="s">
        <v>1143</v>
      </c>
      <c r="B188" t="s">
        <v>1142</v>
      </c>
      <c r="C188">
        <v>10</v>
      </c>
    </row>
    <row r="189" spans="1:3" x14ac:dyDescent="0.25">
      <c r="A189" t="s">
        <v>1401</v>
      </c>
      <c r="B189" t="s">
        <v>1400</v>
      </c>
      <c r="C189">
        <v>10</v>
      </c>
    </row>
    <row r="190" spans="1:3" x14ac:dyDescent="0.25">
      <c r="A190" t="s">
        <v>1492</v>
      </c>
      <c r="B190" t="s">
        <v>1491</v>
      </c>
      <c r="C190">
        <v>10</v>
      </c>
    </row>
    <row r="191" spans="1:3" x14ac:dyDescent="0.25">
      <c r="A191" t="s">
        <v>47</v>
      </c>
      <c r="B191" t="s">
        <v>46</v>
      </c>
      <c r="C191">
        <v>9</v>
      </c>
    </row>
    <row r="192" spans="1:3" x14ac:dyDescent="0.25">
      <c r="A192" t="s">
        <v>531</v>
      </c>
      <c r="B192" t="s">
        <v>530</v>
      </c>
      <c r="C192">
        <v>9</v>
      </c>
    </row>
    <row r="193" spans="1:3" x14ac:dyDescent="0.25">
      <c r="A193" t="s">
        <v>542</v>
      </c>
      <c r="B193" t="s">
        <v>541</v>
      </c>
      <c r="C193">
        <v>9</v>
      </c>
    </row>
    <row r="194" spans="1:3" x14ac:dyDescent="0.25">
      <c r="A194" t="s">
        <v>545</v>
      </c>
      <c r="B194" t="s">
        <v>544</v>
      </c>
      <c r="C194">
        <v>9</v>
      </c>
    </row>
    <row r="195" spans="1:3" x14ac:dyDescent="0.25">
      <c r="A195" t="s">
        <v>629</v>
      </c>
      <c r="B195" t="s">
        <v>628</v>
      </c>
      <c r="C195">
        <v>9</v>
      </c>
    </row>
    <row r="196" spans="1:3" x14ac:dyDescent="0.25">
      <c r="A196" t="s">
        <v>863</v>
      </c>
      <c r="B196" t="s">
        <v>3589</v>
      </c>
      <c r="C196">
        <v>9</v>
      </c>
    </row>
    <row r="197" spans="1:3" x14ac:dyDescent="0.25">
      <c r="A197" t="s">
        <v>922</v>
      </c>
      <c r="B197" t="s">
        <v>921</v>
      </c>
      <c r="C197">
        <v>9</v>
      </c>
    </row>
    <row r="198" spans="1:3" x14ac:dyDescent="0.25">
      <c r="A198" t="s">
        <v>1039</v>
      </c>
      <c r="B198" t="s">
        <v>1038</v>
      </c>
      <c r="C198">
        <v>9</v>
      </c>
    </row>
    <row r="199" spans="1:3" x14ac:dyDescent="0.25">
      <c r="A199" t="s">
        <v>1478</v>
      </c>
      <c r="B199" t="s">
        <v>1477</v>
      </c>
      <c r="C199">
        <v>9</v>
      </c>
    </row>
    <row r="200" spans="1:3" x14ac:dyDescent="0.25">
      <c r="A200" t="s">
        <v>1537</v>
      </c>
      <c r="B200" t="s">
        <v>1536</v>
      </c>
      <c r="C200">
        <v>9</v>
      </c>
    </row>
    <row r="201" spans="1:3" x14ac:dyDescent="0.25">
      <c r="A201" t="s">
        <v>84</v>
      </c>
      <c r="B201" t="s">
        <v>83</v>
      </c>
      <c r="C201">
        <v>8</v>
      </c>
    </row>
    <row r="202" spans="1:3" x14ac:dyDescent="0.25">
      <c r="A202" t="s">
        <v>261</v>
      </c>
      <c r="B202" t="s">
        <v>260</v>
      </c>
      <c r="C202">
        <v>8</v>
      </c>
    </row>
    <row r="203" spans="1:3" x14ac:dyDescent="0.25">
      <c r="A203" t="s">
        <v>264</v>
      </c>
      <c r="B203" t="s">
        <v>263</v>
      </c>
      <c r="C203">
        <v>8</v>
      </c>
    </row>
    <row r="204" spans="1:3" x14ac:dyDescent="0.25">
      <c r="A204" t="s">
        <v>632</v>
      </c>
      <c r="B204" t="s">
        <v>631</v>
      </c>
      <c r="C204">
        <v>8</v>
      </c>
    </row>
    <row r="205" spans="1:3" x14ac:dyDescent="0.25">
      <c r="A205" t="s">
        <v>840</v>
      </c>
      <c r="B205" t="s">
        <v>839</v>
      </c>
      <c r="C205">
        <v>8</v>
      </c>
    </row>
    <row r="206" spans="1:3" x14ac:dyDescent="0.25">
      <c r="A206" t="s">
        <v>890</v>
      </c>
      <c r="B206" t="s">
        <v>889</v>
      </c>
      <c r="C206">
        <v>8</v>
      </c>
    </row>
    <row r="207" spans="1:3" x14ac:dyDescent="0.25">
      <c r="A207" t="s">
        <v>928</v>
      </c>
      <c r="B207" t="s">
        <v>927</v>
      </c>
      <c r="C207">
        <v>8</v>
      </c>
    </row>
    <row r="208" spans="1:3" x14ac:dyDescent="0.25">
      <c r="A208" t="s">
        <v>1029</v>
      </c>
      <c r="B208" t="s">
        <v>3587</v>
      </c>
      <c r="C208">
        <v>8</v>
      </c>
    </row>
    <row r="209" spans="1:3" x14ac:dyDescent="0.25">
      <c r="A209" t="s">
        <v>1106</v>
      </c>
      <c r="B209" t="s">
        <v>3590</v>
      </c>
      <c r="C209">
        <v>8</v>
      </c>
    </row>
    <row r="210" spans="1:3" x14ac:dyDescent="0.25">
      <c r="A210" t="s">
        <v>1349</v>
      </c>
      <c r="B210" t="s">
        <v>1348</v>
      </c>
      <c r="C210">
        <v>8</v>
      </c>
    </row>
    <row r="211" spans="1:3" x14ac:dyDescent="0.25">
      <c r="A211" t="s">
        <v>1528</v>
      </c>
      <c r="B211" t="s">
        <v>1527</v>
      </c>
      <c r="C211">
        <v>8</v>
      </c>
    </row>
    <row r="212" spans="1:3" x14ac:dyDescent="0.25">
      <c r="A212" t="s">
        <v>1571</v>
      </c>
      <c r="B212" t="s">
        <v>1570</v>
      </c>
      <c r="C212">
        <v>8</v>
      </c>
    </row>
    <row r="213" spans="1:3" x14ac:dyDescent="0.25">
      <c r="A213" t="s">
        <v>1716</v>
      </c>
      <c r="B213" t="s">
        <v>1004</v>
      </c>
      <c r="C213">
        <v>8</v>
      </c>
    </row>
    <row r="214" spans="1:3" x14ac:dyDescent="0.25">
      <c r="A214" t="s">
        <v>153</v>
      </c>
      <c r="B214" t="s">
        <v>152</v>
      </c>
      <c r="C214">
        <v>7</v>
      </c>
    </row>
    <row r="215" spans="1:3" x14ac:dyDescent="0.25">
      <c r="A215" t="s">
        <v>192</v>
      </c>
      <c r="B215" t="s">
        <v>3591</v>
      </c>
      <c r="C215">
        <v>7</v>
      </c>
    </row>
    <row r="216" spans="1:3" x14ac:dyDescent="0.25">
      <c r="A216" t="s">
        <v>295</v>
      </c>
      <c r="B216" t="s">
        <v>294</v>
      </c>
      <c r="C216">
        <v>7</v>
      </c>
    </row>
    <row r="217" spans="1:3" x14ac:dyDescent="0.25">
      <c r="A217" t="s">
        <v>301</v>
      </c>
      <c r="B217" t="s">
        <v>300</v>
      </c>
      <c r="C217">
        <v>7</v>
      </c>
    </row>
    <row r="218" spans="1:3" x14ac:dyDescent="0.25">
      <c r="A218" t="s">
        <v>318</v>
      </c>
      <c r="B218" t="s">
        <v>317</v>
      </c>
      <c r="C218">
        <v>7</v>
      </c>
    </row>
    <row r="219" spans="1:3" x14ac:dyDescent="0.25">
      <c r="A219" t="s">
        <v>409</v>
      </c>
      <c r="B219" t="s">
        <v>408</v>
      </c>
      <c r="C219">
        <v>7</v>
      </c>
    </row>
    <row r="220" spans="1:3" x14ac:dyDescent="0.25">
      <c r="A220" t="s">
        <v>415</v>
      </c>
      <c r="B220" t="s">
        <v>414</v>
      </c>
      <c r="C220">
        <v>7</v>
      </c>
    </row>
    <row r="221" spans="1:3" x14ac:dyDescent="0.25">
      <c r="A221" t="s">
        <v>417</v>
      </c>
      <c r="B221" t="s">
        <v>3592</v>
      </c>
      <c r="C221">
        <v>7</v>
      </c>
    </row>
    <row r="222" spans="1:3" x14ac:dyDescent="0.25">
      <c r="A222" t="s">
        <v>518</v>
      </c>
      <c r="B222" t="s">
        <v>517</v>
      </c>
      <c r="C222">
        <v>7</v>
      </c>
    </row>
    <row r="223" spans="1:3" x14ac:dyDescent="0.25">
      <c r="A223" t="s">
        <v>522</v>
      </c>
      <c r="B223" t="s">
        <v>3593</v>
      </c>
      <c r="C223">
        <v>7</v>
      </c>
    </row>
    <row r="224" spans="1:3" x14ac:dyDescent="0.25">
      <c r="A224" t="s">
        <v>551</v>
      </c>
      <c r="B224" t="s">
        <v>550</v>
      </c>
      <c r="C224">
        <v>7</v>
      </c>
    </row>
    <row r="225" spans="1:3" x14ac:dyDescent="0.25">
      <c r="A225" t="s">
        <v>605</v>
      </c>
      <c r="B225" t="s">
        <v>604</v>
      </c>
      <c r="C225">
        <v>7</v>
      </c>
    </row>
    <row r="226" spans="1:3" x14ac:dyDescent="0.25">
      <c r="A226" t="s">
        <v>843</v>
      </c>
      <c r="B226" t="s">
        <v>842</v>
      </c>
      <c r="C226">
        <v>7</v>
      </c>
    </row>
    <row r="227" spans="1:3" x14ac:dyDescent="0.25">
      <c r="A227" t="s">
        <v>861</v>
      </c>
      <c r="B227" t="s">
        <v>860</v>
      </c>
      <c r="C227">
        <v>7</v>
      </c>
    </row>
    <row r="228" spans="1:3" x14ac:dyDescent="0.25">
      <c r="A228" t="s">
        <v>872</v>
      </c>
      <c r="B228" t="s">
        <v>871</v>
      </c>
      <c r="C228">
        <v>7</v>
      </c>
    </row>
    <row r="229" spans="1:3" x14ac:dyDescent="0.25">
      <c r="A229" t="s">
        <v>931</v>
      </c>
      <c r="B229" t="s">
        <v>930</v>
      </c>
      <c r="C229">
        <v>7</v>
      </c>
    </row>
    <row r="230" spans="1:3" x14ac:dyDescent="0.25">
      <c r="A230" t="s">
        <v>956</v>
      </c>
      <c r="B230" t="s">
        <v>955</v>
      </c>
      <c r="C230">
        <v>7</v>
      </c>
    </row>
    <row r="231" spans="1:3" x14ac:dyDescent="0.25">
      <c r="A231" t="s">
        <v>990</v>
      </c>
      <c r="B231" t="s">
        <v>989</v>
      </c>
      <c r="C231">
        <v>7</v>
      </c>
    </row>
    <row r="232" spans="1:3" x14ac:dyDescent="0.25">
      <c r="A232" t="s">
        <v>1059</v>
      </c>
      <c r="B232" t="s">
        <v>1058</v>
      </c>
      <c r="C232">
        <v>7</v>
      </c>
    </row>
    <row r="233" spans="1:3" x14ac:dyDescent="0.25">
      <c r="A233" t="s">
        <v>1134</v>
      </c>
      <c r="B233" t="s">
        <v>1133</v>
      </c>
      <c r="C233">
        <v>7</v>
      </c>
    </row>
    <row r="234" spans="1:3" x14ac:dyDescent="0.25">
      <c r="A234" t="s">
        <v>1152</v>
      </c>
      <c r="B234" t="s">
        <v>1151</v>
      </c>
      <c r="C234">
        <v>7</v>
      </c>
    </row>
    <row r="235" spans="1:3" x14ac:dyDescent="0.25">
      <c r="A235" t="s">
        <v>1160</v>
      </c>
      <c r="B235" t="s">
        <v>3594</v>
      </c>
      <c r="C235">
        <v>7</v>
      </c>
    </row>
    <row r="236" spans="1:3" x14ac:dyDescent="0.25">
      <c r="A236" t="s">
        <v>1259</v>
      </c>
      <c r="B236" t="s">
        <v>1258</v>
      </c>
      <c r="C236">
        <v>7</v>
      </c>
    </row>
    <row r="237" spans="1:3" x14ac:dyDescent="0.25">
      <c r="A237" t="s">
        <v>1325</v>
      </c>
      <c r="B237" t="s">
        <v>1324</v>
      </c>
      <c r="C237">
        <v>7</v>
      </c>
    </row>
    <row r="238" spans="1:3" x14ac:dyDescent="0.25">
      <c r="A238" t="s">
        <v>1352</v>
      </c>
      <c r="B238" t="s">
        <v>1351</v>
      </c>
      <c r="C238">
        <v>7</v>
      </c>
    </row>
    <row r="239" spans="1:3" x14ac:dyDescent="0.25">
      <c r="A239" t="s">
        <v>1390</v>
      </c>
      <c r="B239" t="s">
        <v>3595</v>
      </c>
      <c r="C239">
        <v>7</v>
      </c>
    </row>
    <row r="240" spans="1:3" x14ac:dyDescent="0.25">
      <c r="A240" t="s">
        <v>221</v>
      </c>
      <c r="B240" t="s">
        <v>220</v>
      </c>
      <c r="C240">
        <v>6</v>
      </c>
    </row>
    <row r="241" spans="1:3" x14ac:dyDescent="0.25">
      <c r="A241" t="s">
        <v>332</v>
      </c>
      <c r="B241" t="s">
        <v>331</v>
      </c>
      <c r="C241">
        <v>6</v>
      </c>
    </row>
    <row r="242" spans="1:3" x14ac:dyDescent="0.25">
      <c r="A242" t="s">
        <v>334</v>
      </c>
      <c r="B242" t="s">
        <v>3596</v>
      </c>
      <c r="C242">
        <v>6</v>
      </c>
    </row>
    <row r="243" spans="1:3" x14ac:dyDescent="0.25">
      <c r="A243" t="s">
        <v>444</v>
      </c>
      <c r="B243" t="s">
        <v>443</v>
      </c>
      <c r="C243">
        <v>6</v>
      </c>
    </row>
    <row r="244" spans="1:3" x14ac:dyDescent="0.25">
      <c r="A244" t="s">
        <v>620</v>
      </c>
      <c r="B244" t="s">
        <v>3597</v>
      </c>
      <c r="C244">
        <v>6</v>
      </c>
    </row>
    <row r="245" spans="1:3" x14ac:dyDescent="0.25">
      <c r="A245" t="s">
        <v>705</v>
      </c>
      <c r="B245" t="s">
        <v>3580</v>
      </c>
      <c r="C245">
        <v>6</v>
      </c>
    </row>
    <row r="246" spans="1:3" x14ac:dyDescent="0.25">
      <c r="A246" t="s">
        <v>798</v>
      </c>
      <c r="B246" t="s">
        <v>797</v>
      </c>
      <c r="C246">
        <v>6</v>
      </c>
    </row>
    <row r="247" spans="1:3" x14ac:dyDescent="0.25">
      <c r="A247" t="s">
        <v>910</v>
      </c>
      <c r="B247" t="s">
        <v>909</v>
      </c>
      <c r="C247">
        <v>6</v>
      </c>
    </row>
    <row r="248" spans="1:3" x14ac:dyDescent="0.25">
      <c r="A248" t="s">
        <v>1019</v>
      </c>
      <c r="B248" t="s">
        <v>1009</v>
      </c>
      <c r="C248">
        <v>6</v>
      </c>
    </row>
    <row r="249" spans="1:3" x14ac:dyDescent="0.25">
      <c r="A249" t="s">
        <v>1574</v>
      </c>
      <c r="B249" t="s">
        <v>1573</v>
      </c>
      <c r="C249">
        <v>6</v>
      </c>
    </row>
    <row r="250" spans="1:3" x14ac:dyDescent="0.25">
      <c r="A250" t="s">
        <v>1624</v>
      </c>
      <c r="B250" t="s">
        <v>1623</v>
      </c>
      <c r="C250">
        <v>6</v>
      </c>
    </row>
    <row r="251" spans="1:3" x14ac:dyDescent="0.25">
      <c r="A251" t="s">
        <v>1627</v>
      </c>
      <c r="B251" t="s">
        <v>1626</v>
      </c>
      <c r="C251">
        <v>6</v>
      </c>
    </row>
    <row r="252" spans="1:3" x14ac:dyDescent="0.25">
      <c r="A252" t="s">
        <v>1648</v>
      </c>
      <c r="B252" t="s">
        <v>1647</v>
      </c>
      <c r="C252">
        <v>6</v>
      </c>
    </row>
    <row r="253" spans="1:3" x14ac:dyDescent="0.25">
      <c r="A253" t="s">
        <v>166</v>
      </c>
      <c r="B253" t="s">
        <v>3567</v>
      </c>
      <c r="C253">
        <v>5</v>
      </c>
    </row>
    <row r="254" spans="1:3" x14ac:dyDescent="0.25">
      <c r="A254" t="s">
        <v>209</v>
      </c>
      <c r="B254" t="s">
        <v>208</v>
      </c>
      <c r="C254">
        <v>5</v>
      </c>
    </row>
    <row r="255" spans="1:3" x14ac:dyDescent="0.25">
      <c r="A255" t="s">
        <v>237</v>
      </c>
      <c r="B255" t="s">
        <v>236</v>
      </c>
      <c r="C255">
        <v>5</v>
      </c>
    </row>
    <row r="256" spans="1:3" x14ac:dyDescent="0.25">
      <c r="A256" t="s">
        <v>344</v>
      </c>
      <c r="B256" t="s">
        <v>343</v>
      </c>
      <c r="C256">
        <v>5</v>
      </c>
    </row>
    <row r="257" spans="1:3" x14ac:dyDescent="0.25">
      <c r="A257" t="s">
        <v>350</v>
      </c>
      <c r="B257" t="s">
        <v>3598</v>
      </c>
      <c r="C257">
        <v>5</v>
      </c>
    </row>
    <row r="258" spans="1:3" x14ac:dyDescent="0.25">
      <c r="A258" t="s">
        <v>394</v>
      </c>
      <c r="B258" t="s">
        <v>393</v>
      </c>
      <c r="C258">
        <v>5</v>
      </c>
    </row>
    <row r="259" spans="1:3" x14ac:dyDescent="0.25">
      <c r="A259" t="s">
        <v>461</v>
      </c>
      <c r="B259" t="s">
        <v>460</v>
      </c>
      <c r="C259">
        <v>5</v>
      </c>
    </row>
    <row r="260" spans="1:3" x14ac:dyDescent="0.25">
      <c r="A260" t="s">
        <v>491</v>
      </c>
      <c r="B260" t="s">
        <v>490</v>
      </c>
      <c r="C260">
        <v>5</v>
      </c>
    </row>
    <row r="261" spans="1:3" x14ac:dyDescent="0.25">
      <c r="A261" t="s">
        <v>587</v>
      </c>
      <c r="B261" t="s">
        <v>586</v>
      </c>
      <c r="C261">
        <v>5</v>
      </c>
    </row>
    <row r="262" spans="1:3" x14ac:dyDescent="0.25">
      <c r="A262" t="s">
        <v>1083</v>
      </c>
      <c r="B262" t="s">
        <v>1082</v>
      </c>
      <c r="C262">
        <v>5</v>
      </c>
    </row>
    <row r="263" spans="1:3" x14ac:dyDescent="0.25">
      <c r="A263" t="s">
        <v>1131</v>
      </c>
      <c r="B263" t="s">
        <v>1130</v>
      </c>
      <c r="C263">
        <v>5</v>
      </c>
    </row>
    <row r="264" spans="1:3" x14ac:dyDescent="0.25">
      <c r="A264" t="s">
        <v>1219</v>
      </c>
      <c r="B264" t="s">
        <v>1218</v>
      </c>
      <c r="C264">
        <v>5</v>
      </c>
    </row>
    <row r="265" spans="1:3" x14ac:dyDescent="0.25">
      <c r="A265" t="s">
        <v>1239</v>
      </c>
      <c r="B265" t="s">
        <v>1238</v>
      </c>
      <c r="C265">
        <v>5</v>
      </c>
    </row>
    <row r="266" spans="1:3" x14ac:dyDescent="0.25">
      <c r="A266" t="s">
        <v>1328</v>
      </c>
      <c r="B266" t="s">
        <v>1327</v>
      </c>
      <c r="C266">
        <v>5</v>
      </c>
    </row>
    <row r="267" spans="1:3" x14ac:dyDescent="0.25">
      <c r="A267" t="s">
        <v>1600</v>
      </c>
      <c r="B267" t="s">
        <v>1599</v>
      </c>
      <c r="C267">
        <v>5</v>
      </c>
    </row>
    <row r="268" spans="1:3" x14ac:dyDescent="0.25">
      <c r="A268" t="s">
        <v>93</v>
      </c>
      <c r="B268" t="s">
        <v>3599</v>
      </c>
      <c r="C268">
        <v>4</v>
      </c>
    </row>
    <row r="269" spans="1:3" x14ac:dyDescent="0.25">
      <c r="A269" t="s">
        <v>270</v>
      </c>
      <c r="B269" t="s">
        <v>269</v>
      </c>
      <c r="C269">
        <v>4</v>
      </c>
    </row>
    <row r="270" spans="1:3" x14ac:dyDescent="0.25">
      <c r="A270" t="s">
        <v>288</v>
      </c>
      <c r="B270" t="s">
        <v>287</v>
      </c>
      <c r="C270">
        <v>4</v>
      </c>
    </row>
    <row r="271" spans="1:3" x14ac:dyDescent="0.25">
      <c r="A271" t="s">
        <v>306</v>
      </c>
      <c r="B271" t="s">
        <v>3600</v>
      </c>
      <c r="C271">
        <v>4</v>
      </c>
    </row>
    <row r="272" spans="1:3" x14ac:dyDescent="0.25">
      <c r="A272" t="s">
        <v>315</v>
      </c>
      <c r="B272" t="s">
        <v>314</v>
      </c>
      <c r="C272">
        <v>4</v>
      </c>
    </row>
    <row r="273" spans="1:3" x14ac:dyDescent="0.25">
      <c r="A273" t="s">
        <v>438</v>
      </c>
      <c r="B273" t="s">
        <v>437</v>
      </c>
      <c r="C273">
        <v>4</v>
      </c>
    </row>
    <row r="274" spans="1:3" x14ac:dyDescent="0.25">
      <c r="A274" t="s">
        <v>488</v>
      </c>
      <c r="B274" t="s">
        <v>487</v>
      </c>
      <c r="C274">
        <v>4</v>
      </c>
    </row>
    <row r="275" spans="1:3" x14ac:dyDescent="0.25">
      <c r="A275" t="s">
        <v>494</v>
      </c>
      <c r="B275" t="s">
        <v>493</v>
      </c>
      <c r="C275">
        <v>4</v>
      </c>
    </row>
    <row r="276" spans="1:3" x14ac:dyDescent="0.25">
      <c r="A276" t="s">
        <v>536</v>
      </c>
      <c r="B276" t="s">
        <v>3601</v>
      </c>
      <c r="C276">
        <v>4</v>
      </c>
    </row>
    <row r="277" spans="1:3" x14ac:dyDescent="0.25">
      <c r="A277" t="s">
        <v>539</v>
      </c>
      <c r="B277" t="s">
        <v>538</v>
      </c>
      <c r="C277">
        <v>4</v>
      </c>
    </row>
    <row r="278" spans="1:3" x14ac:dyDescent="0.25">
      <c r="A278" t="s">
        <v>664</v>
      </c>
      <c r="B278" t="s">
        <v>663</v>
      </c>
      <c r="C278">
        <v>4</v>
      </c>
    </row>
    <row r="279" spans="1:3" x14ac:dyDescent="0.25">
      <c r="A279" t="s">
        <v>684</v>
      </c>
      <c r="B279" t="s">
        <v>683</v>
      </c>
      <c r="C279">
        <v>4</v>
      </c>
    </row>
    <row r="280" spans="1:3" x14ac:dyDescent="0.25">
      <c r="A280" t="s">
        <v>727</v>
      </c>
      <c r="B280" t="s">
        <v>3602</v>
      </c>
      <c r="C280">
        <v>4</v>
      </c>
    </row>
    <row r="281" spans="1:3" x14ac:dyDescent="0.25">
      <c r="A281" t="s">
        <v>731</v>
      </c>
      <c r="B281" t="s">
        <v>3603</v>
      </c>
      <c r="C281">
        <v>4</v>
      </c>
    </row>
    <row r="282" spans="1:3" x14ac:dyDescent="0.25">
      <c r="A282" t="s">
        <v>783</v>
      </c>
      <c r="B282" t="s">
        <v>782</v>
      </c>
      <c r="C282">
        <v>4</v>
      </c>
    </row>
    <row r="283" spans="1:3" x14ac:dyDescent="0.25">
      <c r="A283" t="s">
        <v>858</v>
      </c>
      <c r="B283" t="s">
        <v>857</v>
      </c>
      <c r="C283">
        <v>4</v>
      </c>
    </row>
    <row r="284" spans="1:3" x14ac:dyDescent="0.25">
      <c r="A284" t="s">
        <v>907</v>
      </c>
      <c r="B284" t="s">
        <v>906</v>
      </c>
      <c r="C284">
        <v>4</v>
      </c>
    </row>
    <row r="285" spans="1:3" x14ac:dyDescent="0.25">
      <c r="A285" t="s">
        <v>937</v>
      </c>
      <c r="B285" t="s">
        <v>936</v>
      </c>
      <c r="C285">
        <v>4</v>
      </c>
    </row>
    <row r="286" spans="1:3" x14ac:dyDescent="0.25">
      <c r="A286" t="s">
        <v>984</v>
      </c>
      <c r="B286" t="s">
        <v>983</v>
      </c>
      <c r="C286">
        <v>4</v>
      </c>
    </row>
    <row r="287" spans="1:3" x14ac:dyDescent="0.25">
      <c r="A287" t="s">
        <v>1002</v>
      </c>
      <c r="B287" t="s">
        <v>1001</v>
      </c>
      <c r="C287">
        <v>4</v>
      </c>
    </row>
    <row r="288" spans="1:3" x14ac:dyDescent="0.25">
      <c r="A288" t="s">
        <v>1013</v>
      </c>
      <c r="B288" t="s">
        <v>1012</v>
      </c>
      <c r="C288">
        <v>4</v>
      </c>
    </row>
    <row r="289" spans="1:3" x14ac:dyDescent="0.25">
      <c r="A289" t="s">
        <v>1110</v>
      </c>
      <c r="B289" t="s">
        <v>3590</v>
      </c>
      <c r="C289">
        <v>4</v>
      </c>
    </row>
    <row r="290" spans="1:3" x14ac:dyDescent="0.25">
      <c r="A290" t="s">
        <v>1125</v>
      </c>
      <c r="B290" t="s">
        <v>1124</v>
      </c>
      <c r="C290">
        <v>4</v>
      </c>
    </row>
    <row r="291" spans="1:3" x14ac:dyDescent="0.25">
      <c r="A291" t="s">
        <v>1137</v>
      </c>
      <c r="B291" t="s">
        <v>1136</v>
      </c>
      <c r="C291">
        <v>4</v>
      </c>
    </row>
    <row r="292" spans="1:3" x14ac:dyDescent="0.25">
      <c r="A292" t="s">
        <v>1140</v>
      </c>
      <c r="B292" t="s">
        <v>1139</v>
      </c>
      <c r="C292">
        <v>4</v>
      </c>
    </row>
    <row r="293" spans="1:3" x14ac:dyDescent="0.25">
      <c r="A293" t="s">
        <v>1222</v>
      </c>
      <c r="B293" t="s">
        <v>1221</v>
      </c>
      <c r="C293">
        <v>4</v>
      </c>
    </row>
    <row r="294" spans="1:3" x14ac:dyDescent="0.25">
      <c r="A294" t="s">
        <v>1367</v>
      </c>
      <c r="B294" t="s">
        <v>1366</v>
      </c>
      <c r="C294">
        <v>4</v>
      </c>
    </row>
    <row r="295" spans="1:3" x14ac:dyDescent="0.25">
      <c r="A295" t="s">
        <v>1379</v>
      </c>
      <c r="B295" t="s">
        <v>1378</v>
      </c>
      <c r="C295">
        <v>4</v>
      </c>
    </row>
    <row r="296" spans="1:3" x14ac:dyDescent="0.25">
      <c r="A296" t="s">
        <v>1451</v>
      </c>
      <c r="B296" t="s">
        <v>1450</v>
      </c>
      <c r="C296">
        <v>4</v>
      </c>
    </row>
    <row r="297" spans="1:3" x14ac:dyDescent="0.25">
      <c r="A297" t="s">
        <v>1480</v>
      </c>
      <c r="B297" t="s">
        <v>3604</v>
      </c>
      <c r="C297">
        <v>4</v>
      </c>
    </row>
    <row r="298" spans="1:3" x14ac:dyDescent="0.25">
      <c r="A298" t="s">
        <v>10</v>
      </c>
      <c r="B298" t="s">
        <v>9</v>
      </c>
      <c r="C298">
        <v>3</v>
      </c>
    </row>
    <row r="299" spans="1:3" x14ac:dyDescent="0.25">
      <c r="A299" t="s">
        <v>19</v>
      </c>
      <c r="B299" t="s">
        <v>18</v>
      </c>
      <c r="C299">
        <v>3</v>
      </c>
    </row>
    <row r="300" spans="1:3" x14ac:dyDescent="0.25">
      <c r="A300" t="s">
        <v>62</v>
      </c>
      <c r="B300" t="s">
        <v>61</v>
      </c>
      <c r="C300">
        <v>3</v>
      </c>
    </row>
    <row r="301" spans="1:3" x14ac:dyDescent="0.25">
      <c r="A301" t="s">
        <v>65</v>
      </c>
      <c r="B301" t="s">
        <v>64</v>
      </c>
      <c r="C301">
        <v>3</v>
      </c>
    </row>
    <row r="302" spans="1:3" x14ac:dyDescent="0.25">
      <c r="A302" t="s">
        <v>102</v>
      </c>
      <c r="B302" t="s">
        <v>101</v>
      </c>
      <c r="C302">
        <v>3</v>
      </c>
    </row>
    <row r="303" spans="1:3" x14ac:dyDescent="0.25">
      <c r="A303" t="s">
        <v>117</v>
      </c>
      <c r="B303" t="s">
        <v>116</v>
      </c>
      <c r="C303">
        <v>3</v>
      </c>
    </row>
    <row r="304" spans="1:3" x14ac:dyDescent="0.25">
      <c r="A304" t="s">
        <v>234</v>
      </c>
      <c r="B304" t="s">
        <v>233</v>
      </c>
      <c r="C304">
        <v>3</v>
      </c>
    </row>
    <row r="305" spans="1:3" x14ac:dyDescent="0.25">
      <c r="A305" t="s">
        <v>249</v>
      </c>
      <c r="B305" t="s">
        <v>248</v>
      </c>
      <c r="C305">
        <v>3</v>
      </c>
    </row>
    <row r="306" spans="1:3" x14ac:dyDescent="0.25">
      <c r="A306" t="s">
        <v>322</v>
      </c>
      <c r="B306" t="s">
        <v>321</v>
      </c>
      <c r="C306">
        <v>3</v>
      </c>
    </row>
    <row r="307" spans="1:3" x14ac:dyDescent="0.25">
      <c r="A307" t="s">
        <v>354</v>
      </c>
      <c r="B307" t="s">
        <v>3605</v>
      </c>
      <c r="C307">
        <v>3</v>
      </c>
    </row>
    <row r="308" spans="1:3" x14ac:dyDescent="0.25">
      <c r="A308" t="s">
        <v>364</v>
      </c>
      <c r="B308" t="s">
        <v>3606</v>
      </c>
      <c r="C308">
        <v>3</v>
      </c>
    </row>
    <row r="309" spans="1:3" x14ac:dyDescent="0.25">
      <c r="A309" t="s">
        <v>371</v>
      </c>
      <c r="B309" t="s">
        <v>3607</v>
      </c>
      <c r="C309">
        <v>3</v>
      </c>
    </row>
    <row r="310" spans="1:3" x14ac:dyDescent="0.25">
      <c r="A310" t="s">
        <v>420</v>
      </c>
      <c r="B310" t="s">
        <v>419</v>
      </c>
      <c r="C310">
        <v>3</v>
      </c>
    </row>
    <row r="311" spans="1:3" x14ac:dyDescent="0.25">
      <c r="A311" t="s">
        <v>447</v>
      </c>
      <c r="B311" t="s">
        <v>446</v>
      </c>
      <c r="C311">
        <v>3</v>
      </c>
    </row>
    <row r="312" spans="1:3" x14ac:dyDescent="0.25">
      <c r="A312" t="s">
        <v>476</v>
      </c>
      <c r="B312" t="s">
        <v>475</v>
      </c>
      <c r="C312">
        <v>3</v>
      </c>
    </row>
    <row r="313" spans="1:3" x14ac:dyDescent="0.25">
      <c r="A313" t="s">
        <v>482</v>
      </c>
      <c r="B313" t="s">
        <v>481</v>
      </c>
      <c r="C313">
        <v>3</v>
      </c>
    </row>
    <row r="314" spans="1:3" x14ac:dyDescent="0.25">
      <c r="A314" t="s">
        <v>642</v>
      </c>
      <c r="B314" t="s">
        <v>3608</v>
      </c>
      <c r="C314">
        <v>3</v>
      </c>
    </row>
    <row r="315" spans="1:3" x14ac:dyDescent="0.25">
      <c r="A315" t="s">
        <v>744</v>
      </c>
      <c r="B315" t="s">
        <v>3609</v>
      </c>
      <c r="C315">
        <v>3</v>
      </c>
    </row>
    <row r="316" spans="1:3" x14ac:dyDescent="0.25">
      <c r="A316" t="s">
        <v>747</v>
      </c>
      <c r="B316" t="s">
        <v>746</v>
      </c>
      <c r="C316">
        <v>3</v>
      </c>
    </row>
    <row r="317" spans="1:3" x14ac:dyDescent="0.25">
      <c r="A317" t="s">
        <v>853</v>
      </c>
      <c r="B317" t="s">
        <v>852</v>
      </c>
      <c r="C317">
        <v>3</v>
      </c>
    </row>
    <row r="318" spans="1:3" x14ac:dyDescent="0.25">
      <c r="A318" t="s">
        <v>904</v>
      </c>
      <c r="B318" t="s">
        <v>3610</v>
      </c>
      <c r="C318">
        <v>3</v>
      </c>
    </row>
    <row r="319" spans="1:3" x14ac:dyDescent="0.25">
      <c r="A319" t="s">
        <v>1010</v>
      </c>
      <c r="B319" t="s">
        <v>1009</v>
      </c>
      <c r="C319">
        <v>3</v>
      </c>
    </row>
    <row r="320" spans="1:3" x14ac:dyDescent="0.25">
      <c r="A320" t="s">
        <v>1216</v>
      </c>
      <c r="B320" t="s">
        <v>1215</v>
      </c>
      <c r="C320">
        <v>3</v>
      </c>
    </row>
    <row r="321" spans="1:3" x14ac:dyDescent="0.25">
      <c r="A321" t="s">
        <v>1231</v>
      </c>
      <c r="B321" t="s">
        <v>1230</v>
      </c>
      <c r="C321">
        <v>3</v>
      </c>
    </row>
    <row r="322" spans="1:3" x14ac:dyDescent="0.25">
      <c r="A322" t="s">
        <v>1234</v>
      </c>
      <c r="B322" t="s">
        <v>1233</v>
      </c>
      <c r="C322">
        <v>3</v>
      </c>
    </row>
    <row r="323" spans="1:3" x14ac:dyDescent="0.25">
      <c r="A323" t="s">
        <v>1250</v>
      </c>
      <c r="B323" t="s">
        <v>3611</v>
      </c>
      <c r="C323">
        <v>3</v>
      </c>
    </row>
    <row r="324" spans="1:3" x14ac:dyDescent="0.25">
      <c r="A324" t="s">
        <v>1268</v>
      </c>
      <c r="B324" t="s">
        <v>1267</v>
      </c>
      <c r="C324">
        <v>3</v>
      </c>
    </row>
    <row r="325" spans="1:3" x14ac:dyDescent="0.25">
      <c r="A325" t="s">
        <v>1295</v>
      </c>
      <c r="B325" t="s">
        <v>1294</v>
      </c>
      <c r="C325">
        <v>3</v>
      </c>
    </row>
    <row r="326" spans="1:3" x14ac:dyDescent="0.25">
      <c r="A326" t="s">
        <v>1310</v>
      </c>
      <c r="B326" t="s">
        <v>1309</v>
      </c>
      <c r="C326">
        <v>3</v>
      </c>
    </row>
    <row r="327" spans="1:3" x14ac:dyDescent="0.25">
      <c r="A327" t="s">
        <v>1370</v>
      </c>
      <c r="B327" t="s">
        <v>1369</v>
      </c>
      <c r="C327">
        <v>3</v>
      </c>
    </row>
    <row r="328" spans="1:3" x14ac:dyDescent="0.25">
      <c r="A328" t="s">
        <v>1393</v>
      </c>
      <c r="B328" t="s">
        <v>1392</v>
      </c>
      <c r="C328">
        <v>3</v>
      </c>
    </row>
    <row r="329" spans="1:3" x14ac:dyDescent="0.25">
      <c r="A329" t="s">
        <v>1534</v>
      </c>
      <c r="B329" t="s">
        <v>1533</v>
      </c>
      <c r="C329">
        <v>3</v>
      </c>
    </row>
    <row r="330" spans="1:3" x14ac:dyDescent="0.25">
      <c r="A330" t="s">
        <v>1543</v>
      </c>
      <c r="B330" t="s">
        <v>1542</v>
      </c>
      <c r="C330">
        <v>3</v>
      </c>
    </row>
    <row r="331" spans="1:3" x14ac:dyDescent="0.25">
      <c r="A331" t="s">
        <v>1555</v>
      </c>
      <c r="B331" t="s">
        <v>1554</v>
      </c>
      <c r="C331">
        <v>3</v>
      </c>
    </row>
    <row r="332" spans="1:3" x14ac:dyDescent="0.25">
      <c r="A332" t="s">
        <v>59</v>
      </c>
      <c r="B332" t="s">
        <v>58</v>
      </c>
      <c r="C332">
        <v>2</v>
      </c>
    </row>
    <row r="333" spans="1:3" x14ac:dyDescent="0.25">
      <c r="A333" t="s">
        <v>68</v>
      </c>
      <c r="B333" t="s">
        <v>67</v>
      </c>
      <c r="C333">
        <v>2</v>
      </c>
    </row>
    <row r="334" spans="1:3" x14ac:dyDescent="0.25">
      <c r="A334" t="s">
        <v>91</v>
      </c>
      <c r="B334" t="s">
        <v>3599</v>
      </c>
      <c r="C334">
        <v>2</v>
      </c>
    </row>
    <row r="335" spans="1:3" x14ac:dyDescent="0.25">
      <c r="A335" t="s">
        <v>215</v>
      </c>
      <c r="B335" t="s">
        <v>214</v>
      </c>
      <c r="C335">
        <v>2</v>
      </c>
    </row>
    <row r="336" spans="1:3" x14ac:dyDescent="0.25">
      <c r="A336" t="s">
        <v>326</v>
      </c>
      <c r="B336" t="s">
        <v>3605</v>
      </c>
      <c r="C336">
        <v>2</v>
      </c>
    </row>
    <row r="337" spans="1:3" x14ac:dyDescent="0.25">
      <c r="A337" t="s">
        <v>337</v>
      </c>
      <c r="B337" t="s">
        <v>336</v>
      </c>
      <c r="C337">
        <v>2</v>
      </c>
    </row>
    <row r="338" spans="1:3" x14ac:dyDescent="0.25">
      <c r="A338" t="s">
        <v>339</v>
      </c>
      <c r="B338" t="s">
        <v>3612</v>
      </c>
      <c r="C338">
        <v>2</v>
      </c>
    </row>
    <row r="339" spans="1:3" x14ac:dyDescent="0.25">
      <c r="A339" t="s">
        <v>346</v>
      </c>
      <c r="B339" t="s">
        <v>3613</v>
      </c>
      <c r="C339">
        <v>2</v>
      </c>
    </row>
    <row r="340" spans="1:3" x14ac:dyDescent="0.25">
      <c r="A340" t="s">
        <v>352</v>
      </c>
      <c r="B340" t="s">
        <v>3614</v>
      </c>
      <c r="C340">
        <v>2</v>
      </c>
    </row>
    <row r="341" spans="1:3" x14ac:dyDescent="0.25">
      <c r="A341" t="s">
        <v>362</v>
      </c>
      <c r="B341" t="s">
        <v>3615</v>
      </c>
      <c r="C341">
        <v>2</v>
      </c>
    </row>
    <row r="342" spans="1:3" x14ac:dyDescent="0.25">
      <c r="A342" t="s">
        <v>374</v>
      </c>
      <c r="B342" t="s">
        <v>373</v>
      </c>
      <c r="C342">
        <v>2</v>
      </c>
    </row>
    <row r="343" spans="1:3" x14ac:dyDescent="0.25">
      <c r="A343" t="s">
        <v>426</v>
      </c>
      <c r="B343" t="s">
        <v>425</v>
      </c>
      <c r="C343">
        <v>2</v>
      </c>
    </row>
    <row r="344" spans="1:3" x14ac:dyDescent="0.25">
      <c r="A344" t="s">
        <v>458</v>
      </c>
      <c r="B344" t="s">
        <v>457</v>
      </c>
      <c r="C344">
        <v>2</v>
      </c>
    </row>
    <row r="345" spans="1:3" x14ac:dyDescent="0.25">
      <c r="A345" t="s">
        <v>473</v>
      </c>
      <c r="B345" t="s">
        <v>472</v>
      </c>
      <c r="C345">
        <v>2</v>
      </c>
    </row>
    <row r="346" spans="1:3" x14ac:dyDescent="0.25">
      <c r="A346" t="s">
        <v>479</v>
      </c>
      <c r="B346" t="s">
        <v>478</v>
      </c>
      <c r="C346">
        <v>2</v>
      </c>
    </row>
    <row r="347" spans="1:3" x14ac:dyDescent="0.25">
      <c r="A347" t="s">
        <v>500</v>
      </c>
      <c r="B347" t="s">
        <v>499</v>
      </c>
      <c r="C347">
        <v>2</v>
      </c>
    </row>
    <row r="348" spans="1:3" x14ac:dyDescent="0.25">
      <c r="A348" t="s">
        <v>528</v>
      </c>
      <c r="B348" t="s">
        <v>527</v>
      </c>
      <c r="C348">
        <v>2</v>
      </c>
    </row>
    <row r="349" spans="1:3" x14ac:dyDescent="0.25">
      <c r="A349" t="s">
        <v>554</v>
      </c>
      <c r="B349" t="s">
        <v>553</v>
      </c>
      <c r="C349">
        <v>2</v>
      </c>
    </row>
    <row r="350" spans="1:3" x14ac:dyDescent="0.25">
      <c r="A350" t="s">
        <v>557</v>
      </c>
      <c r="B350" t="s">
        <v>556</v>
      </c>
      <c r="C350">
        <v>2</v>
      </c>
    </row>
    <row r="351" spans="1:3" x14ac:dyDescent="0.25">
      <c r="A351" t="s">
        <v>645</v>
      </c>
      <c r="B351" t="s">
        <v>644</v>
      </c>
      <c r="C351">
        <v>2</v>
      </c>
    </row>
    <row r="352" spans="1:3" x14ac:dyDescent="0.25">
      <c r="A352" t="s">
        <v>648</v>
      </c>
      <c r="B352" t="s">
        <v>647</v>
      </c>
      <c r="C352">
        <v>2</v>
      </c>
    </row>
    <row r="353" spans="1:3" x14ac:dyDescent="0.25">
      <c r="A353" t="s">
        <v>725</v>
      </c>
      <c r="B353" t="s">
        <v>724</v>
      </c>
      <c r="C353">
        <v>2</v>
      </c>
    </row>
    <row r="354" spans="1:3" x14ac:dyDescent="0.25">
      <c r="A354" t="s">
        <v>866</v>
      </c>
      <c r="B354" t="s">
        <v>865</v>
      </c>
      <c r="C354">
        <v>2</v>
      </c>
    </row>
    <row r="355" spans="1:3" x14ac:dyDescent="0.25">
      <c r="A355" t="s">
        <v>899</v>
      </c>
      <c r="B355" t="s">
        <v>898</v>
      </c>
      <c r="C355">
        <v>2</v>
      </c>
    </row>
    <row r="356" spans="1:3" x14ac:dyDescent="0.25">
      <c r="A356" t="s">
        <v>902</v>
      </c>
      <c r="B356" t="s">
        <v>901</v>
      </c>
      <c r="C356">
        <v>2</v>
      </c>
    </row>
    <row r="357" spans="1:3" x14ac:dyDescent="0.25">
      <c r="A357" t="s">
        <v>925</v>
      </c>
      <c r="B357" t="s">
        <v>924</v>
      </c>
      <c r="C357">
        <v>2</v>
      </c>
    </row>
    <row r="358" spans="1:3" x14ac:dyDescent="0.25">
      <c r="A358" t="s">
        <v>965</v>
      </c>
      <c r="B358" t="s">
        <v>964</v>
      </c>
      <c r="C358">
        <v>2</v>
      </c>
    </row>
    <row r="359" spans="1:3" x14ac:dyDescent="0.25">
      <c r="A359" t="s">
        <v>1056</v>
      </c>
      <c r="B359" t="s">
        <v>1055</v>
      </c>
      <c r="C359">
        <v>2</v>
      </c>
    </row>
    <row r="360" spans="1:3" x14ac:dyDescent="0.25">
      <c r="A360" t="s">
        <v>1074</v>
      </c>
      <c r="B360" t="s">
        <v>1073</v>
      </c>
      <c r="C360">
        <v>2</v>
      </c>
    </row>
    <row r="361" spans="1:3" x14ac:dyDescent="0.25">
      <c r="A361" t="s">
        <v>1080</v>
      </c>
      <c r="B361" t="s">
        <v>1079</v>
      </c>
      <c r="C361">
        <v>2</v>
      </c>
    </row>
    <row r="362" spans="1:3" x14ac:dyDescent="0.25">
      <c r="A362" t="s">
        <v>1102</v>
      </c>
      <c r="B362" t="s">
        <v>1101</v>
      </c>
      <c r="C362">
        <v>2</v>
      </c>
    </row>
    <row r="363" spans="1:3" x14ac:dyDescent="0.25">
      <c r="A363" t="s">
        <v>1158</v>
      </c>
      <c r="B363" t="s">
        <v>1157</v>
      </c>
      <c r="C363">
        <v>2</v>
      </c>
    </row>
    <row r="364" spans="1:3" x14ac:dyDescent="0.25">
      <c r="A364" t="s">
        <v>1178</v>
      </c>
      <c r="B364" t="s">
        <v>3616</v>
      </c>
      <c r="C364">
        <v>2</v>
      </c>
    </row>
    <row r="365" spans="1:3" x14ac:dyDescent="0.25">
      <c r="A365" t="s">
        <v>1193</v>
      </c>
      <c r="B365" t="s">
        <v>1192</v>
      </c>
      <c r="C365">
        <v>2</v>
      </c>
    </row>
    <row r="366" spans="1:3" x14ac:dyDescent="0.25">
      <c r="A366" t="s">
        <v>1208</v>
      </c>
      <c r="B366" t="s">
        <v>1207</v>
      </c>
      <c r="C366">
        <v>2</v>
      </c>
    </row>
    <row r="367" spans="1:3" x14ac:dyDescent="0.25">
      <c r="A367" t="s">
        <v>1225</v>
      </c>
      <c r="B367" t="s">
        <v>1224</v>
      </c>
      <c r="C367">
        <v>2</v>
      </c>
    </row>
    <row r="368" spans="1:3" x14ac:dyDescent="0.25">
      <c r="A368" t="s">
        <v>1248</v>
      </c>
      <c r="B368" t="s">
        <v>1247</v>
      </c>
      <c r="C368">
        <v>2</v>
      </c>
    </row>
    <row r="369" spans="1:3" x14ac:dyDescent="0.25">
      <c r="A369" t="s">
        <v>1256</v>
      </c>
      <c r="B369" t="s">
        <v>1255</v>
      </c>
      <c r="C369">
        <v>2</v>
      </c>
    </row>
    <row r="370" spans="1:3" x14ac:dyDescent="0.25">
      <c r="A370" t="s">
        <v>1277</v>
      </c>
      <c r="B370" t="s">
        <v>1276</v>
      </c>
      <c r="C370">
        <v>2</v>
      </c>
    </row>
    <row r="371" spans="1:3" x14ac:dyDescent="0.25">
      <c r="A371" t="s">
        <v>1301</v>
      </c>
      <c r="B371" t="s">
        <v>1300</v>
      </c>
      <c r="C371">
        <v>2</v>
      </c>
    </row>
    <row r="372" spans="1:3" x14ac:dyDescent="0.25">
      <c r="A372" t="s">
        <v>1398</v>
      </c>
      <c r="B372" t="s">
        <v>3595</v>
      </c>
      <c r="C372">
        <v>2</v>
      </c>
    </row>
    <row r="373" spans="1:3" x14ac:dyDescent="0.25">
      <c r="A373" t="s">
        <v>1563</v>
      </c>
      <c r="B373" t="s">
        <v>1562</v>
      </c>
      <c r="C373">
        <v>2</v>
      </c>
    </row>
    <row r="374" spans="1:3" x14ac:dyDescent="0.25">
      <c r="A374" t="s">
        <v>1568</v>
      </c>
      <c r="B374" t="s">
        <v>1567</v>
      </c>
      <c r="C374">
        <v>2</v>
      </c>
    </row>
    <row r="375" spans="1:3" x14ac:dyDescent="0.25">
      <c r="A375" t="s">
        <v>1615</v>
      </c>
      <c r="B375" t="s">
        <v>1614</v>
      </c>
      <c r="C375">
        <v>2</v>
      </c>
    </row>
    <row r="376" spans="1:3" x14ac:dyDescent="0.25">
      <c r="A376" t="s">
        <v>1639</v>
      </c>
      <c r="B376" t="s">
        <v>1638</v>
      </c>
      <c r="C376">
        <v>2</v>
      </c>
    </row>
    <row r="377" spans="1:3" x14ac:dyDescent="0.25">
      <c r="A377" t="s">
        <v>1654</v>
      </c>
      <c r="B377" t="s">
        <v>1653</v>
      </c>
      <c r="C377">
        <v>2</v>
      </c>
    </row>
    <row r="378" spans="1:3" x14ac:dyDescent="0.25">
      <c r="A378" t="s">
        <v>28</v>
      </c>
      <c r="B378" t="s">
        <v>3617</v>
      </c>
      <c r="C378">
        <v>1</v>
      </c>
    </row>
    <row r="379" spans="1:3" x14ac:dyDescent="0.25">
      <c r="A379" t="s">
        <v>30</v>
      </c>
      <c r="B379" t="s">
        <v>3618</v>
      </c>
      <c r="C379">
        <v>1</v>
      </c>
    </row>
    <row r="380" spans="1:3" x14ac:dyDescent="0.25">
      <c r="A380" t="s">
        <v>40</v>
      </c>
      <c r="B380" t="s">
        <v>39</v>
      </c>
      <c r="C380">
        <v>1</v>
      </c>
    </row>
    <row r="381" spans="1:3" x14ac:dyDescent="0.25">
      <c r="A381" t="s">
        <v>44</v>
      </c>
      <c r="B381" t="s">
        <v>43</v>
      </c>
      <c r="C381">
        <v>1</v>
      </c>
    </row>
    <row r="382" spans="1:3" x14ac:dyDescent="0.25">
      <c r="A382" t="s">
        <v>50</v>
      </c>
      <c r="B382" t="s">
        <v>49</v>
      </c>
      <c r="C382">
        <v>1</v>
      </c>
    </row>
    <row r="383" spans="1:3" x14ac:dyDescent="0.25">
      <c r="A383" t="s">
        <v>56</v>
      </c>
      <c r="B383" t="s">
        <v>55</v>
      </c>
      <c r="C383">
        <v>1</v>
      </c>
    </row>
    <row r="384" spans="1:3" x14ac:dyDescent="0.25">
      <c r="A384" t="s">
        <v>127</v>
      </c>
      <c r="B384" t="s">
        <v>126</v>
      </c>
      <c r="C384">
        <v>1</v>
      </c>
    </row>
    <row r="385" spans="1:3" x14ac:dyDescent="0.25">
      <c r="A385" t="s">
        <v>139</v>
      </c>
      <c r="B385" t="s">
        <v>138</v>
      </c>
      <c r="C385">
        <v>1</v>
      </c>
    </row>
    <row r="386" spans="1:3" x14ac:dyDescent="0.25">
      <c r="A386" t="s">
        <v>182</v>
      </c>
      <c r="B386" t="s">
        <v>181</v>
      </c>
      <c r="C386">
        <v>1</v>
      </c>
    </row>
    <row r="387" spans="1:3" x14ac:dyDescent="0.25">
      <c r="A387" t="s">
        <v>185</v>
      </c>
      <c r="B387" t="s">
        <v>184</v>
      </c>
      <c r="C387">
        <v>1</v>
      </c>
    </row>
    <row r="388" spans="1:3" x14ac:dyDescent="0.25">
      <c r="A388" t="s">
        <v>190</v>
      </c>
      <c r="B388" t="s">
        <v>3619</v>
      </c>
      <c r="C388">
        <v>1</v>
      </c>
    </row>
    <row r="389" spans="1:3" x14ac:dyDescent="0.25">
      <c r="A389" t="s">
        <v>200</v>
      </c>
      <c r="B389" t="s">
        <v>199</v>
      </c>
      <c r="C389">
        <v>1</v>
      </c>
    </row>
    <row r="390" spans="1:3" x14ac:dyDescent="0.25">
      <c r="A390" t="s">
        <v>206</v>
      </c>
      <c r="B390" t="s">
        <v>205</v>
      </c>
      <c r="C390">
        <v>1</v>
      </c>
    </row>
    <row r="391" spans="1:3" x14ac:dyDescent="0.25">
      <c r="A391" t="s">
        <v>252</v>
      </c>
      <c r="B391" t="s">
        <v>251</v>
      </c>
      <c r="C391">
        <v>1</v>
      </c>
    </row>
    <row r="392" spans="1:3" x14ac:dyDescent="0.25">
      <c r="A392" t="s">
        <v>255</v>
      </c>
      <c r="B392" t="s">
        <v>254</v>
      </c>
      <c r="C392">
        <v>1</v>
      </c>
    </row>
    <row r="393" spans="1:3" x14ac:dyDescent="0.25">
      <c r="A393" t="s">
        <v>324</v>
      </c>
      <c r="B393" t="s">
        <v>160</v>
      </c>
      <c r="C393">
        <v>1</v>
      </c>
    </row>
    <row r="394" spans="1:3" x14ac:dyDescent="0.25">
      <c r="A394" t="s">
        <v>341</v>
      </c>
      <c r="B394" t="s">
        <v>3620</v>
      </c>
      <c r="C394">
        <v>1</v>
      </c>
    </row>
    <row r="395" spans="1:3" x14ac:dyDescent="0.25">
      <c r="A395" t="s">
        <v>348</v>
      </c>
      <c r="B395" t="s">
        <v>3621</v>
      </c>
      <c r="C395">
        <v>1</v>
      </c>
    </row>
    <row r="396" spans="1:3" x14ac:dyDescent="0.25">
      <c r="A396" t="s">
        <v>366</v>
      </c>
      <c r="B396" t="s">
        <v>3622</v>
      </c>
      <c r="C396">
        <v>1</v>
      </c>
    </row>
    <row r="397" spans="1:3" x14ac:dyDescent="0.25">
      <c r="A397" t="s">
        <v>391</v>
      </c>
      <c r="B397" t="s">
        <v>3623</v>
      </c>
      <c r="C397">
        <v>1</v>
      </c>
    </row>
    <row r="398" spans="1:3" x14ac:dyDescent="0.25">
      <c r="A398" t="s">
        <v>400</v>
      </c>
      <c r="B398" t="s">
        <v>399</v>
      </c>
      <c r="C398">
        <v>1</v>
      </c>
    </row>
    <row r="399" spans="1:3" x14ac:dyDescent="0.25">
      <c r="A399" t="s">
        <v>455</v>
      </c>
      <c r="B399" t="s">
        <v>454</v>
      </c>
      <c r="C399">
        <v>1</v>
      </c>
    </row>
    <row r="400" spans="1:3" x14ac:dyDescent="0.25">
      <c r="A400" t="s">
        <v>470</v>
      </c>
      <c r="B400" t="s">
        <v>469</v>
      </c>
      <c r="C400">
        <v>1</v>
      </c>
    </row>
    <row r="401" spans="1:3" x14ac:dyDescent="0.25">
      <c r="A401" t="s">
        <v>505</v>
      </c>
      <c r="B401" t="s">
        <v>3624</v>
      </c>
      <c r="C401">
        <v>1</v>
      </c>
    </row>
    <row r="402" spans="1:3" x14ac:dyDescent="0.25">
      <c r="A402" t="s">
        <v>512</v>
      </c>
      <c r="B402" t="s">
        <v>511</v>
      </c>
      <c r="C402">
        <v>1</v>
      </c>
    </row>
    <row r="403" spans="1:3" x14ac:dyDescent="0.25">
      <c r="A403" t="s">
        <v>515</v>
      </c>
      <c r="B403" t="s">
        <v>514</v>
      </c>
      <c r="C403">
        <v>1</v>
      </c>
    </row>
    <row r="404" spans="1:3" x14ac:dyDescent="0.25">
      <c r="A404" t="s">
        <v>520</v>
      </c>
      <c r="B404" t="s">
        <v>3593</v>
      </c>
      <c r="C404">
        <v>1</v>
      </c>
    </row>
    <row r="405" spans="1:3" x14ac:dyDescent="0.25">
      <c r="A405" t="s">
        <v>596</v>
      </c>
      <c r="B405" t="s">
        <v>595</v>
      </c>
      <c r="C405">
        <v>1</v>
      </c>
    </row>
    <row r="406" spans="1:3" x14ac:dyDescent="0.25">
      <c r="A406" t="s">
        <v>640</v>
      </c>
      <c r="B406" t="s">
        <v>639</v>
      </c>
      <c r="C406">
        <v>1</v>
      </c>
    </row>
    <row r="407" spans="1:3" x14ac:dyDescent="0.25">
      <c r="A407" t="s">
        <v>651</v>
      </c>
      <c r="B407" t="s">
        <v>650</v>
      </c>
      <c r="C407">
        <v>1</v>
      </c>
    </row>
    <row r="408" spans="1:3" x14ac:dyDescent="0.25">
      <c r="A408" t="s">
        <v>672</v>
      </c>
      <c r="B408" t="s">
        <v>3625</v>
      </c>
      <c r="C408">
        <v>1</v>
      </c>
    </row>
    <row r="409" spans="1:3" x14ac:dyDescent="0.25">
      <c r="A409" t="s">
        <v>676</v>
      </c>
      <c r="B409" t="s">
        <v>3626</v>
      </c>
      <c r="C409">
        <v>1</v>
      </c>
    </row>
    <row r="410" spans="1:3" x14ac:dyDescent="0.25">
      <c r="A410" t="s">
        <v>678</v>
      </c>
      <c r="B410" t="s">
        <v>3603</v>
      </c>
      <c r="C410">
        <v>1</v>
      </c>
    </row>
    <row r="411" spans="1:3" x14ac:dyDescent="0.25">
      <c r="A411" t="s">
        <v>710</v>
      </c>
      <c r="B411" t="s">
        <v>709</v>
      </c>
      <c r="C411">
        <v>1</v>
      </c>
    </row>
    <row r="412" spans="1:3" x14ac:dyDescent="0.25">
      <c r="A412" t="s">
        <v>742</v>
      </c>
      <c r="B412" t="s">
        <v>741</v>
      </c>
      <c r="C412">
        <v>1</v>
      </c>
    </row>
    <row r="413" spans="1:3" x14ac:dyDescent="0.25">
      <c r="A413" t="s">
        <v>777</v>
      </c>
      <c r="B413" t="s">
        <v>776</v>
      </c>
      <c r="C413">
        <v>1</v>
      </c>
    </row>
    <row r="414" spans="1:3" x14ac:dyDescent="0.25">
      <c r="A414" t="s">
        <v>817</v>
      </c>
      <c r="B414" t="s">
        <v>816</v>
      </c>
      <c r="C414">
        <v>1</v>
      </c>
    </row>
    <row r="415" spans="1:3" x14ac:dyDescent="0.25">
      <c r="A415" t="s">
        <v>820</v>
      </c>
      <c r="B415" t="s">
        <v>819</v>
      </c>
      <c r="C415">
        <v>1</v>
      </c>
    </row>
    <row r="416" spans="1:3" x14ac:dyDescent="0.25">
      <c r="A416" t="s">
        <v>828</v>
      </c>
      <c r="B416" t="s">
        <v>827</v>
      </c>
      <c r="C416">
        <v>1</v>
      </c>
    </row>
    <row r="417" spans="1:3" x14ac:dyDescent="0.25">
      <c r="A417" t="s">
        <v>831</v>
      </c>
      <c r="B417" t="s">
        <v>830</v>
      </c>
      <c r="C417">
        <v>1</v>
      </c>
    </row>
    <row r="418" spans="1:3" x14ac:dyDescent="0.25">
      <c r="A418" t="s">
        <v>834</v>
      </c>
      <c r="B418" t="s">
        <v>833</v>
      </c>
      <c r="C418">
        <v>1</v>
      </c>
    </row>
    <row r="419" spans="1:3" x14ac:dyDescent="0.25">
      <c r="A419" t="s">
        <v>837</v>
      </c>
      <c r="B419" t="s">
        <v>836</v>
      </c>
      <c r="C419">
        <v>1</v>
      </c>
    </row>
    <row r="420" spans="1:3" x14ac:dyDescent="0.25">
      <c r="A420" t="s">
        <v>875</v>
      </c>
      <c r="B420" t="s">
        <v>874</v>
      </c>
      <c r="C420">
        <v>1</v>
      </c>
    </row>
    <row r="421" spans="1:3" x14ac:dyDescent="0.25">
      <c r="A421" t="s">
        <v>916</v>
      </c>
      <c r="B421" t="s">
        <v>915</v>
      </c>
      <c r="C421">
        <v>1</v>
      </c>
    </row>
    <row r="422" spans="1:3" x14ac:dyDescent="0.25">
      <c r="A422" t="s">
        <v>919</v>
      </c>
      <c r="B422" t="s">
        <v>918</v>
      </c>
      <c r="C422">
        <v>1</v>
      </c>
    </row>
    <row r="423" spans="1:3" x14ac:dyDescent="0.25">
      <c r="A423" t="s">
        <v>950</v>
      </c>
      <c r="B423" t="s">
        <v>949</v>
      </c>
      <c r="C423">
        <v>1</v>
      </c>
    </row>
    <row r="424" spans="1:3" x14ac:dyDescent="0.25">
      <c r="A424" t="s">
        <v>962</v>
      </c>
      <c r="B424" t="s">
        <v>961</v>
      </c>
      <c r="C424">
        <v>1</v>
      </c>
    </row>
    <row r="425" spans="1:3" x14ac:dyDescent="0.25">
      <c r="A425" t="s">
        <v>970</v>
      </c>
      <c r="B425" t="s">
        <v>3627</v>
      </c>
      <c r="C425">
        <v>1</v>
      </c>
    </row>
    <row r="426" spans="1:3" x14ac:dyDescent="0.25">
      <c r="A426" t="s">
        <v>981</v>
      </c>
      <c r="B426" t="s">
        <v>980</v>
      </c>
      <c r="C426">
        <v>1</v>
      </c>
    </row>
    <row r="427" spans="1:3" x14ac:dyDescent="0.25">
      <c r="A427" t="s">
        <v>1007</v>
      </c>
      <c r="B427" t="s">
        <v>1004</v>
      </c>
      <c r="C427">
        <v>1</v>
      </c>
    </row>
    <row r="428" spans="1:3" x14ac:dyDescent="0.25">
      <c r="A428" t="s">
        <v>1015</v>
      </c>
      <c r="B428" t="s">
        <v>1009</v>
      </c>
      <c r="C428">
        <v>1</v>
      </c>
    </row>
    <row r="429" spans="1:3" x14ac:dyDescent="0.25">
      <c r="A429" t="s">
        <v>1068</v>
      </c>
      <c r="B429" t="s">
        <v>1067</v>
      </c>
      <c r="C429">
        <v>1</v>
      </c>
    </row>
    <row r="430" spans="1:3" x14ac:dyDescent="0.25">
      <c r="A430" t="s">
        <v>1088</v>
      </c>
      <c r="B430" t="s">
        <v>3577</v>
      </c>
      <c r="C430">
        <v>1</v>
      </c>
    </row>
    <row r="431" spans="1:3" x14ac:dyDescent="0.25">
      <c r="A431" t="s">
        <v>1090</v>
      </c>
      <c r="B431" t="s">
        <v>3588</v>
      </c>
      <c r="C431">
        <v>1</v>
      </c>
    </row>
    <row r="432" spans="1:3" x14ac:dyDescent="0.25">
      <c r="A432" t="s">
        <v>1113</v>
      </c>
      <c r="B432" t="s">
        <v>1112</v>
      </c>
      <c r="C432">
        <v>1</v>
      </c>
    </row>
    <row r="433" spans="1:3" x14ac:dyDescent="0.25">
      <c r="A433" t="s">
        <v>1162</v>
      </c>
      <c r="B433" t="s">
        <v>3628</v>
      </c>
      <c r="C433">
        <v>1</v>
      </c>
    </row>
    <row r="434" spans="1:3" x14ac:dyDescent="0.25">
      <c r="A434" t="s">
        <v>1173</v>
      </c>
      <c r="B434" t="s">
        <v>3629</v>
      </c>
      <c r="C434">
        <v>1</v>
      </c>
    </row>
    <row r="435" spans="1:3" x14ac:dyDescent="0.25">
      <c r="A435" t="s">
        <v>1196</v>
      </c>
      <c r="B435" t="s">
        <v>1195</v>
      </c>
      <c r="C435">
        <v>1</v>
      </c>
    </row>
    <row r="436" spans="1:3" x14ac:dyDescent="0.25">
      <c r="A436" t="s">
        <v>1242</v>
      </c>
      <c r="B436" t="s">
        <v>1241</v>
      </c>
      <c r="C436">
        <v>1</v>
      </c>
    </row>
    <row r="437" spans="1:3" x14ac:dyDescent="0.25">
      <c r="A437" t="s">
        <v>1245</v>
      </c>
      <c r="B437" t="s">
        <v>1244</v>
      </c>
      <c r="C437">
        <v>1</v>
      </c>
    </row>
    <row r="438" spans="1:3" x14ac:dyDescent="0.25">
      <c r="A438" t="s">
        <v>1271</v>
      </c>
      <c r="B438" t="s">
        <v>1270</v>
      </c>
      <c r="C438">
        <v>1</v>
      </c>
    </row>
    <row r="439" spans="1:3" x14ac:dyDescent="0.25">
      <c r="A439" t="s">
        <v>1280</v>
      </c>
      <c r="B439" t="s">
        <v>1279</v>
      </c>
      <c r="C439">
        <v>1</v>
      </c>
    </row>
    <row r="440" spans="1:3" x14ac:dyDescent="0.25">
      <c r="A440" t="s">
        <v>1316</v>
      </c>
      <c r="B440" t="s">
        <v>1315</v>
      </c>
      <c r="C440">
        <v>1</v>
      </c>
    </row>
    <row r="441" spans="1:3" x14ac:dyDescent="0.25">
      <c r="A441" t="s">
        <v>1322</v>
      </c>
      <c r="B441" t="s">
        <v>1321</v>
      </c>
      <c r="C441">
        <v>1</v>
      </c>
    </row>
    <row r="442" spans="1:3" x14ac:dyDescent="0.25">
      <c r="A442" t="s">
        <v>1334</v>
      </c>
      <c r="B442" t="s">
        <v>1333</v>
      </c>
      <c r="C442">
        <v>1</v>
      </c>
    </row>
    <row r="443" spans="1:3" x14ac:dyDescent="0.25">
      <c r="A443" t="s">
        <v>1340</v>
      </c>
      <c r="B443" t="s">
        <v>1339</v>
      </c>
      <c r="C443">
        <v>1</v>
      </c>
    </row>
    <row r="444" spans="1:3" x14ac:dyDescent="0.25">
      <c r="A444" t="s">
        <v>1343</v>
      </c>
      <c r="B444" t="s">
        <v>1342</v>
      </c>
      <c r="C444">
        <v>1</v>
      </c>
    </row>
    <row r="445" spans="1:3" x14ac:dyDescent="0.25">
      <c r="A445" t="s">
        <v>1346</v>
      </c>
      <c r="B445" t="s">
        <v>1345</v>
      </c>
      <c r="C445">
        <v>1</v>
      </c>
    </row>
    <row r="446" spans="1:3" x14ac:dyDescent="0.25">
      <c r="A446" t="s">
        <v>1355</v>
      </c>
      <c r="B446" t="s">
        <v>1354</v>
      </c>
      <c r="C446">
        <v>1</v>
      </c>
    </row>
    <row r="447" spans="1:3" x14ac:dyDescent="0.25">
      <c r="A447" t="s">
        <v>1358</v>
      </c>
      <c r="B447" t="s">
        <v>1357</v>
      </c>
      <c r="C447">
        <v>1</v>
      </c>
    </row>
    <row r="448" spans="1:3" x14ac:dyDescent="0.25">
      <c r="A448" t="s">
        <v>1361</v>
      </c>
      <c r="B448" t="s">
        <v>1360</v>
      </c>
      <c r="C448">
        <v>1</v>
      </c>
    </row>
    <row r="449" spans="1:3" x14ac:dyDescent="0.25">
      <c r="A449" t="s">
        <v>1373</v>
      </c>
      <c r="B449" t="s">
        <v>1372</v>
      </c>
      <c r="C449">
        <v>1</v>
      </c>
    </row>
    <row r="450" spans="1:3" x14ac:dyDescent="0.25">
      <c r="A450" t="s">
        <v>1606</v>
      </c>
      <c r="B450" t="s">
        <v>1605</v>
      </c>
      <c r="C450">
        <v>1</v>
      </c>
    </row>
    <row r="451" spans="1:3" x14ac:dyDescent="0.25">
      <c r="A451" t="s">
        <v>5</v>
      </c>
      <c r="B451" t="s">
        <v>4</v>
      </c>
      <c r="C451">
        <v>0</v>
      </c>
    </row>
    <row r="452" spans="1:3" x14ac:dyDescent="0.25">
      <c r="A452" t="s">
        <v>16</v>
      </c>
      <c r="B452" t="s">
        <v>15</v>
      </c>
      <c r="C452">
        <v>0</v>
      </c>
    </row>
    <row r="453" spans="1:3" x14ac:dyDescent="0.25">
      <c r="A453" t="s">
        <v>23</v>
      </c>
      <c r="B453" t="s">
        <v>3634</v>
      </c>
      <c r="C453">
        <v>0</v>
      </c>
    </row>
    <row r="454" spans="1:3" x14ac:dyDescent="0.25">
      <c r="A454" t="s">
        <v>26</v>
      </c>
      <c r="B454" t="s">
        <v>3617</v>
      </c>
      <c r="C454">
        <v>0</v>
      </c>
    </row>
    <row r="455" spans="1:3" x14ac:dyDescent="0.25">
      <c r="A455" t="s">
        <v>33</v>
      </c>
      <c r="B455" t="s">
        <v>32</v>
      </c>
      <c r="C455">
        <v>0</v>
      </c>
    </row>
    <row r="456" spans="1:3" x14ac:dyDescent="0.25">
      <c r="A456" t="s">
        <v>53</v>
      </c>
      <c r="B456" t="s">
        <v>52</v>
      </c>
      <c r="C456">
        <v>0</v>
      </c>
    </row>
    <row r="457" spans="1:3" x14ac:dyDescent="0.25">
      <c r="A457" t="s">
        <v>74</v>
      </c>
      <c r="B457" t="s">
        <v>73</v>
      </c>
      <c r="C457">
        <v>0</v>
      </c>
    </row>
    <row r="458" spans="1:3" x14ac:dyDescent="0.25">
      <c r="A458" t="s">
        <v>77</v>
      </c>
      <c r="B458" t="s">
        <v>76</v>
      </c>
      <c r="C458">
        <v>0</v>
      </c>
    </row>
    <row r="459" spans="1:3" x14ac:dyDescent="0.25">
      <c r="A459" t="s">
        <v>87</v>
      </c>
      <c r="B459" t="s">
        <v>86</v>
      </c>
      <c r="C459">
        <v>0</v>
      </c>
    </row>
    <row r="460" spans="1:3" x14ac:dyDescent="0.25">
      <c r="A460" t="s">
        <v>106</v>
      </c>
      <c r="B460" t="s">
        <v>105</v>
      </c>
      <c r="C460">
        <v>0</v>
      </c>
    </row>
    <row r="461" spans="1:3" x14ac:dyDescent="0.25">
      <c r="A461" t="s">
        <v>142</v>
      </c>
      <c r="B461" t="s">
        <v>141</v>
      </c>
      <c r="C461">
        <v>0</v>
      </c>
    </row>
    <row r="462" spans="1:3" x14ac:dyDescent="0.25">
      <c r="A462" t="s">
        <v>150</v>
      </c>
      <c r="B462" t="s">
        <v>3615</v>
      </c>
      <c r="C462">
        <v>0</v>
      </c>
    </row>
    <row r="463" spans="1:3" x14ac:dyDescent="0.25">
      <c r="A463" t="s">
        <v>161</v>
      </c>
      <c r="B463" t="s">
        <v>160</v>
      </c>
      <c r="C463">
        <v>0</v>
      </c>
    </row>
    <row r="464" spans="1:3" x14ac:dyDescent="0.25">
      <c r="A464" t="s">
        <v>170</v>
      </c>
      <c r="B464" t="s">
        <v>169</v>
      </c>
      <c r="C464">
        <v>0</v>
      </c>
    </row>
    <row r="465" spans="1:3" x14ac:dyDescent="0.25">
      <c r="A465" t="s">
        <v>173</v>
      </c>
      <c r="B465" t="s">
        <v>172</v>
      </c>
      <c r="C465">
        <v>0</v>
      </c>
    </row>
    <row r="466" spans="1:3" x14ac:dyDescent="0.25">
      <c r="A466" t="s">
        <v>179</v>
      </c>
      <c r="B466" t="s">
        <v>178</v>
      </c>
      <c r="C466">
        <v>0</v>
      </c>
    </row>
    <row r="467" spans="1:3" x14ac:dyDescent="0.25">
      <c r="A467" t="s">
        <v>194</v>
      </c>
      <c r="B467" t="s">
        <v>3591</v>
      </c>
      <c r="C467">
        <v>0</v>
      </c>
    </row>
    <row r="468" spans="1:3" x14ac:dyDescent="0.25">
      <c r="A468" t="s">
        <v>197</v>
      </c>
      <c r="B468" t="s">
        <v>196</v>
      </c>
      <c r="C468">
        <v>0</v>
      </c>
    </row>
    <row r="469" spans="1:3" x14ac:dyDescent="0.25">
      <c r="A469" t="s">
        <v>203</v>
      </c>
      <c r="B469" t="s">
        <v>202</v>
      </c>
      <c r="C469">
        <v>0</v>
      </c>
    </row>
    <row r="470" spans="1:3" x14ac:dyDescent="0.25">
      <c r="A470" t="s">
        <v>228</v>
      </c>
      <c r="B470" t="s">
        <v>227</v>
      </c>
      <c r="C470">
        <v>0</v>
      </c>
    </row>
    <row r="471" spans="1:3" x14ac:dyDescent="0.25">
      <c r="A471" t="s">
        <v>231</v>
      </c>
      <c r="B471" t="s">
        <v>230</v>
      </c>
      <c r="C471">
        <v>0</v>
      </c>
    </row>
    <row r="472" spans="1:3" x14ac:dyDescent="0.25">
      <c r="A472" t="s">
        <v>258</v>
      </c>
      <c r="B472" t="s">
        <v>257</v>
      </c>
      <c r="C472">
        <v>0</v>
      </c>
    </row>
    <row r="473" spans="1:3" x14ac:dyDescent="0.25">
      <c r="A473" t="s">
        <v>267</v>
      </c>
      <c r="B473" t="s">
        <v>266</v>
      </c>
      <c r="C473">
        <v>0</v>
      </c>
    </row>
    <row r="474" spans="1:3" x14ac:dyDescent="0.25">
      <c r="A474" t="s">
        <v>273</v>
      </c>
      <c r="B474" t="s">
        <v>272</v>
      </c>
      <c r="C474">
        <v>0</v>
      </c>
    </row>
    <row r="475" spans="1:3" x14ac:dyDescent="0.25">
      <c r="A475" t="s">
        <v>276</v>
      </c>
      <c r="B475" t="s">
        <v>275</v>
      </c>
      <c r="C475">
        <v>0</v>
      </c>
    </row>
    <row r="476" spans="1:3" x14ac:dyDescent="0.25">
      <c r="A476" t="s">
        <v>282</v>
      </c>
      <c r="B476" t="s">
        <v>281</v>
      </c>
      <c r="C476">
        <v>0</v>
      </c>
    </row>
    <row r="477" spans="1:3" x14ac:dyDescent="0.25">
      <c r="A477" t="s">
        <v>285</v>
      </c>
      <c r="B477" t="s">
        <v>284</v>
      </c>
      <c r="C477">
        <v>0</v>
      </c>
    </row>
    <row r="478" spans="1:3" x14ac:dyDescent="0.25">
      <c r="A478" t="s">
        <v>292</v>
      </c>
      <c r="B478" t="s">
        <v>291</v>
      </c>
      <c r="C478">
        <v>0</v>
      </c>
    </row>
    <row r="479" spans="1:3" x14ac:dyDescent="0.25">
      <c r="A479" t="s">
        <v>298</v>
      </c>
      <c r="B479" t="s">
        <v>297</v>
      </c>
      <c r="C479">
        <v>0</v>
      </c>
    </row>
    <row r="480" spans="1:3" x14ac:dyDescent="0.25">
      <c r="A480" t="s">
        <v>304</v>
      </c>
      <c r="B480" t="s">
        <v>303</v>
      </c>
      <c r="C480">
        <v>0</v>
      </c>
    </row>
    <row r="481" spans="1:3" x14ac:dyDescent="0.25">
      <c r="A481" t="s">
        <v>356</v>
      </c>
      <c r="B481" t="s">
        <v>3635</v>
      </c>
      <c r="C481">
        <v>0</v>
      </c>
    </row>
    <row r="482" spans="1:3" x14ac:dyDescent="0.25">
      <c r="A482" t="s">
        <v>358</v>
      </c>
      <c r="B482" t="s">
        <v>3626</v>
      </c>
      <c r="C482">
        <v>0</v>
      </c>
    </row>
    <row r="483" spans="1:3" x14ac:dyDescent="0.25">
      <c r="A483" t="s">
        <v>369</v>
      </c>
      <c r="B483" t="s">
        <v>368</v>
      </c>
      <c r="C483">
        <v>0</v>
      </c>
    </row>
    <row r="484" spans="1:3" x14ac:dyDescent="0.25">
      <c r="A484" t="s">
        <v>377</v>
      </c>
      <c r="B484" t="s">
        <v>376</v>
      </c>
      <c r="C484">
        <v>0</v>
      </c>
    </row>
    <row r="485" spans="1:3" x14ac:dyDescent="0.25">
      <c r="A485" t="s">
        <v>397</v>
      </c>
      <c r="B485" t="s">
        <v>396</v>
      </c>
      <c r="C485">
        <v>0</v>
      </c>
    </row>
    <row r="486" spans="1:3" x14ac:dyDescent="0.25">
      <c r="A486" t="s">
        <v>403</v>
      </c>
      <c r="B486" t="s">
        <v>402</v>
      </c>
      <c r="C486">
        <v>0</v>
      </c>
    </row>
    <row r="487" spans="1:3" x14ac:dyDescent="0.25">
      <c r="A487" t="s">
        <v>406</v>
      </c>
      <c r="B487" t="s">
        <v>405</v>
      </c>
      <c r="C487">
        <v>0</v>
      </c>
    </row>
    <row r="488" spans="1:3" x14ac:dyDescent="0.25">
      <c r="A488" t="s">
        <v>423</v>
      </c>
      <c r="B488" t="s">
        <v>422</v>
      </c>
      <c r="C488">
        <v>0</v>
      </c>
    </row>
    <row r="489" spans="1:3" x14ac:dyDescent="0.25">
      <c r="A489" t="s">
        <v>429</v>
      </c>
      <c r="B489" t="s">
        <v>428</v>
      </c>
      <c r="C489">
        <v>0</v>
      </c>
    </row>
    <row r="490" spans="1:3" x14ac:dyDescent="0.25">
      <c r="A490" t="s">
        <v>441</v>
      </c>
      <c r="B490" t="s">
        <v>440</v>
      </c>
      <c r="C490">
        <v>0</v>
      </c>
    </row>
    <row r="491" spans="1:3" x14ac:dyDescent="0.25">
      <c r="A491" t="s">
        <v>449</v>
      </c>
      <c r="B491" t="s">
        <v>3636</v>
      </c>
      <c r="C491">
        <v>0</v>
      </c>
    </row>
    <row r="492" spans="1:3" x14ac:dyDescent="0.25">
      <c r="A492" t="s">
        <v>452</v>
      </c>
      <c r="B492" t="s">
        <v>451</v>
      </c>
      <c r="C492">
        <v>0</v>
      </c>
    </row>
    <row r="493" spans="1:3" x14ac:dyDescent="0.25">
      <c r="A493" t="s">
        <v>464</v>
      </c>
      <c r="B493" t="s">
        <v>463</v>
      </c>
      <c r="C493">
        <v>0</v>
      </c>
    </row>
    <row r="494" spans="1:3" x14ac:dyDescent="0.25">
      <c r="A494" t="s">
        <v>503</v>
      </c>
      <c r="B494" t="s">
        <v>502</v>
      </c>
      <c r="C494">
        <v>0</v>
      </c>
    </row>
    <row r="495" spans="1:3" x14ac:dyDescent="0.25">
      <c r="A495" t="s">
        <v>507</v>
      </c>
      <c r="B495" t="s">
        <v>3593</v>
      </c>
      <c r="C495">
        <v>0</v>
      </c>
    </row>
    <row r="496" spans="1:3" x14ac:dyDescent="0.25">
      <c r="A496" t="s">
        <v>1968</v>
      </c>
      <c r="B496" t="s">
        <v>1967</v>
      </c>
      <c r="C496">
        <v>0</v>
      </c>
    </row>
    <row r="497" spans="1:3" x14ac:dyDescent="0.25">
      <c r="A497" t="s">
        <v>563</v>
      </c>
      <c r="B497" t="s">
        <v>562</v>
      </c>
      <c r="C497">
        <v>0</v>
      </c>
    </row>
    <row r="498" spans="1:3" x14ac:dyDescent="0.25">
      <c r="A498" t="s">
        <v>566</v>
      </c>
      <c r="B498" t="s">
        <v>565</v>
      </c>
      <c r="C498">
        <v>0</v>
      </c>
    </row>
    <row r="499" spans="1:3" x14ac:dyDescent="0.25">
      <c r="A499" t="s">
        <v>569</v>
      </c>
      <c r="B499" t="s">
        <v>568</v>
      </c>
      <c r="C499">
        <v>0</v>
      </c>
    </row>
    <row r="500" spans="1:3" x14ac:dyDescent="0.25">
      <c r="A500" t="s">
        <v>572</v>
      </c>
      <c r="B500" t="s">
        <v>571</v>
      </c>
      <c r="C500">
        <v>0</v>
      </c>
    </row>
    <row r="501" spans="1:3" x14ac:dyDescent="0.25">
      <c r="A501" t="s">
        <v>608</v>
      </c>
      <c r="B501" t="s">
        <v>607</v>
      </c>
      <c r="C501">
        <v>0</v>
      </c>
    </row>
    <row r="502" spans="1:3" x14ac:dyDescent="0.25">
      <c r="A502" t="s">
        <v>613</v>
      </c>
      <c r="B502" t="s">
        <v>3595</v>
      </c>
      <c r="C502">
        <v>0</v>
      </c>
    </row>
    <row r="503" spans="1:3" x14ac:dyDescent="0.25">
      <c r="A503" t="s">
        <v>615</v>
      </c>
      <c r="B503" t="s">
        <v>3637</v>
      </c>
      <c r="C503">
        <v>0</v>
      </c>
    </row>
    <row r="504" spans="1:3" x14ac:dyDescent="0.25">
      <c r="A504" t="s">
        <v>618</v>
      </c>
      <c r="B504" t="s">
        <v>617</v>
      </c>
      <c r="C504">
        <v>0</v>
      </c>
    </row>
    <row r="505" spans="1:3" x14ac:dyDescent="0.25">
      <c r="A505" t="s">
        <v>635</v>
      </c>
      <c r="B505" t="s">
        <v>634</v>
      </c>
      <c r="C505">
        <v>0</v>
      </c>
    </row>
    <row r="506" spans="1:3" x14ac:dyDescent="0.25">
      <c r="A506" t="s">
        <v>654</v>
      </c>
      <c r="B506" t="s">
        <v>653</v>
      </c>
      <c r="C506">
        <v>0</v>
      </c>
    </row>
    <row r="507" spans="1:3" x14ac:dyDescent="0.25">
      <c r="A507" t="s">
        <v>660</v>
      </c>
      <c r="B507" t="s">
        <v>659</v>
      </c>
      <c r="C507">
        <v>0</v>
      </c>
    </row>
    <row r="508" spans="1:3" x14ac:dyDescent="0.25">
      <c r="A508" t="s">
        <v>667</v>
      </c>
      <c r="B508" t="s">
        <v>666</v>
      </c>
      <c r="C508">
        <v>0</v>
      </c>
    </row>
    <row r="509" spans="1:3" x14ac:dyDescent="0.25">
      <c r="A509" t="s">
        <v>674</v>
      </c>
      <c r="B509" t="s">
        <v>3626</v>
      </c>
      <c r="C509">
        <v>0</v>
      </c>
    </row>
    <row r="510" spans="1:3" x14ac:dyDescent="0.25">
      <c r="A510" t="s">
        <v>681</v>
      </c>
      <c r="B510" t="s">
        <v>680</v>
      </c>
      <c r="C510">
        <v>0</v>
      </c>
    </row>
    <row r="511" spans="1:3" x14ac:dyDescent="0.25">
      <c r="A511" t="s">
        <v>690</v>
      </c>
      <c r="B511" t="s">
        <v>689</v>
      </c>
      <c r="C511">
        <v>0</v>
      </c>
    </row>
    <row r="512" spans="1:3" x14ac:dyDescent="0.25">
      <c r="A512" t="s">
        <v>707</v>
      </c>
      <c r="B512" t="s">
        <v>3580</v>
      </c>
      <c r="C512">
        <v>0</v>
      </c>
    </row>
    <row r="513" spans="1:3" x14ac:dyDescent="0.25">
      <c r="A513" t="s">
        <v>713</v>
      </c>
      <c r="B513" t="s">
        <v>712</v>
      </c>
      <c r="C513">
        <v>0</v>
      </c>
    </row>
    <row r="514" spans="1:3" x14ac:dyDescent="0.25">
      <c r="A514" t="s">
        <v>716</v>
      </c>
      <c r="B514" t="s">
        <v>715</v>
      </c>
      <c r="C514">
        <v>0</v>
      </c>
    </row>
    <row r="515" spans="1:3" x14ac:dyDescent="0.25">
      <c r="A515" t="s">
        <v>718</v>
      </c>
      <c r="B515" t="s">
        <v>3586</v>
      </c>
      <c r="C515">
        <v>0</v>
      </c>
    </row>
    <row r="516" spans="1:3" x14ac:dyDescent="0.25">
      <c r="A516" t="s">
        <v>721</v>
      </c>
      <c r="B516" t="s">
        <v>720</v>
      </c>
      <c r="C516">
        <v>0</v>
      </c>
    </row>
    <row r="517" spans="1:3" x14ac:dyDescent="0.25">
      <c r="A517" t="s">
        <v>729</v>
      </c>
      <c r="B517" t="s">
        <v>3602</v>
      </c>
      <c r="C517">
        <v>0</v>
      </c>
    </row>
    <row r="518" spans="1:3" x14ac:dyDescent="0.25">
      <c r="A518" t="s">
        <v>736</v>
      </c>
      <c r="B518" t="s">
        <v>3638</v>
      </c>
      <c r="C518">
        <v>0</v>
      </c>
    </row>
    <row r="519" spans="1:3" x14ac:dyDescent="0.25">
      <c r="A519" t="s">
        <v>750</v>
      </c>
      <c r="B519" t="s">
        <v>749</v>
      </c>
      <c r="C519">
        <v>0</v>
      </c>
    </row>
    <row r="520" spans="1:3" x14ac:dyDescent="0.25">
      <c r="A520" t="s">
        <v>756</v>
      </c>
      <c r="B520" t="s">
        <v>755</v>
      </c>
      <c r="C520">
        <v>0</v>
      </c>
    </row>
    <row r="521" spans="1:3" x14ac:dyDescent="0.25">
      <c r="A521" t="s">
        <v>759</v>
      </c>
      <c r="B521" t="s">
        <v>758</v>
      </c>
      <c r="C521">
        <v>0</v>
      </c>
    </row>
    <row r="522" spans="1:3" x14ac:dyDescent="0.25">
      <c r="A522" t="s">
        <v>774</v>
      </c>
      <c r="B522" t="s">
        <v>773</v>
      </c>
      <c r="C522">
        <v>0</v>
      </c>
    </row>
    <row r="523" spans="1:3" x14ac:dyDescent="0.25">
      <c r="A523" t="s">
        <v>789</v>
      </c>
      <c r="B523" t="s">
        <v>788</v>
      </c>
      <c r="C523">
        <v>0</v>
      </c>
    </row>
    <row r="524" spans="1:3" x14ac:dyDescent="0.25">
      <c r="A524" t="s">
        <v>795</v>
      </c>
      <c r="B524" t="s">
        <v>794</v>
      </c>
      <c r="C524">
        <v>0</v>
      </c>
    </row>
    <row r="525" spans="1:3" x14ac:dyDescent="0.25">
      <c r="A525" t="s">
        <v>810</v>
      </c>
      <c r="B525" t="s">
        <v>809</v>
      </c>
      <c r="C525">
        <v>0</v>
      </c>
    </row>
    <row r="526" spans="1:3" x14ac:dyDescent="0.25">
      <c r="A526" t="s">
        <v>814</v>
      </c>
      <c r="B526" t="s">
        <v>3580</v>
      </c>
      <c r="C526">
        <v>0</v>
      </c>
    </row>
    <row r="527" spans="1:3" x14ac:dyDescent="0.25">
      <c r="A527" t="s">
        <v>822</v>
      </c>
      <c r="B527" t="s">
        <v>3639</v>
      </c>
      <c r="C527">
        <v>0</v>
      </c>
    </row>
    <row r="528" spans="1:3" x14ac:dyDescent="0.25">
      <c r="A528" t="s">
        <v>846</v>
      </c>
      <c r="B528" t="s">
        <v>845</v>
      </c>
      <c r="C528">
        <v>0</v>
      </c>
    </row>
    <row r="529" spans="1:3" x14ac:dyDescent="0.25">
      <c r="A529" t="s">
        <v>848</v>
      </c>
      <c r="B529" t="s">
        <v>3579</v>
      </c>
      <c r="C529">
        <v>0</v>
      </c>
    </row>
    <row r="530" spans="1:3" x14ac:dyDescent="0.25">
      <c r="A530" t="s">
        <v>855</v>
      </c>
      <c r="B530" t="s">
        <v>3624</v>
      </c>
      <c r="C530">
        <v>0</v>
      </c>
    </row>
    <row r="531" spans="1:3" x14ac:dyDescent="0.25">
      <c r="A531" t="s">
        <v>869</v>
      </c>
      <c r="B531" t="s">
        <v>868</v>
      </c>
      <c r="C531">
        <v>0</v>
      </c>
    </row>
    <row r="532" spans="1:3" x14ac:dyDescent="0.25">
      <c r="A532" t="s">
        <v>878</v>
      </c>
      <c r="B532" t="s">
        <v>877</v>
      </c>
      <c r="C532">
        <v>0</v>
      </c>
    </row>
    <row r="533" spans="1:3" x14ac:dyDescent="0.25">
      <c r="A533" t="s">
        <v>887</v>
      </c>
      <c r="B533" t="s">
        <v>886</v>
      </c>
      <c r="C533">
        <v>0</v>
      </c>
    </row>
    <row r="534" spans="1:3" x14ac:dyDescent="0.25">
      <c r="A534" t="s">
        <v>893</v>
      </c>
      <c r="B534" t="s">
        <v>892</v>
      </c>
      <c r="C534">
        <v>0</v>
      </c>
    </row>
    <row r="535" spans="1:3" x14ac:dyDescent="0.25">
      <c r="A535" t="s">
        <v>940</v>
      </c>
      <c r="B535" t="s">
        <v>939</v>
      </c>
      <c r="C535">
        <v>0</v>
      </c>
    </row>
    <row r="536" spans="1:3" x14ac:dyDescent="0.25">
      <c r="A536" t="s">
        <v>942</v>
      </c>
      <c r="B536" t="s">
        <v>3640</v>
      </c>
      <c r="C536">
        <v>0</v>
      </c>
    </row>
    <row r="537" spans="1:3" x14ac:dyDescent="0.25">
      <c r="A537" t="s">
        <v>953</v>
      </c>
      <c r="B537" t="s">
        <v>952</v>
      </c>
      <c r="C537">
        <v>0</v>
      </c>
    </row>
    <row r="538" spans="1:3" x14ac:dyDescent="0.25">
      <c r="A538" t="s">
        <v>959</v>
      </c>
      <c r="B538" t="s">
        <v>958</v>
      </c>
      <c r="C538">
        <v>0</v>
      </c>
    </row>
    <row r="539" spans="1:3" x14ac:dyDescent="0.25">
      <c r="A539" t="s">
        <v>987</v>
      </c>
      <c r="B539" t="s">
        <v>986</v>
      </c>
      <c r="C539">
        <v>0</v>
      </c>
    </row>
    <row r="540" spans="1:3" x14ac:dyDescent="0.25">
      <c r="A540" t="s">
        <v>999</v>
      </c>
      <c r="B540" t="s">
        <v>998</v>
      </c>
      <c r="C540">
        <v>0</v>
      </c>
    </row>
    <row r="541" spans="1:3" x14ac:dyDescent="0.25">
      <c r="A541" t="s">
        <v>1017</v>
      </c>
      <c r="B541" t="s">
        <v>1009</v>
      </c>
      <c r="C541">
        <v>0</v>
      </c>
    </row>
    <row r="542" spans="1:3" x14ac:dyDescent="0.25">
      <c r="A542" t="s">
        <v>1021</v>
      </c>
      <c r="B542" t="s">
        <v>1009</v>
      </c>
      <c r="C542">
        <v>0</v>
      </c>
    </row>
    <row r="543" spans="1:3" x14ac:dyDescent="0.25">
      <c r="A543" t="s">
        <v>1027</v>
      </c>
      <c r="B543" t="s">
        <v>3641</v>
      </c>
      <c r="C543">
        <v>0</v>
      </c>
    </row>
    <row r="544" spans="1:3" x14ac:dyDescent="0.25">
      <c r="A544" t="s">
        <v>1031</v>
      </c>
      <c r="B544" t="s">
        <v>3587</v>
      </c>
      <c r="C544">
        <v>0</v>
      </c>
    </row>
    <row r="545" spans="1:3" x14ac:dyDescent="0.25">
      <c r="A545" t="s">
        <v>1033</v>
      </c>
      <c r="B545" t="s">
        <v>3642</v>
      </c>
      <c r="C545">
        <v>0</v>
      </c>
    </row>
    <row r="546" spans="1:3" x14ac:dyDescent="0.25">
      <c r="A546" t="s">
        <v>1036</v>
      </c>
      <c r="B546" t="s">
        <v>1035</v>
      </c>
      <c r="C546">
        <v>0</v>
      </c>
    </row>
    <row r="547" spans="1:3" x14ac:dyDescent="0.25">
      <c r="A547" t="s">
        <v>1044</v>
      </c>
      <c r="B547" t="s">
        <v>1043</v>
      </c>
      <c r="C547">
        <v>0</v>
      </c>
    </row>
    <row r="548" spans="1:3" x14ac:dyDescent="0.25">
      <c r="A548" t="s">
        <v>1086</v>
      </c>
      <c r="B548" t="s">
        <v>1085</v>
      </c>
      <c r="C548">
        <v>0</v>
      </c>
    </row>
    <row r="549" spans="1:3" x14ac:dyDescent="0.25">
      <c r="A549" t="s">
        <v>1104</v>
      </c>
      <c r="B549" t="s">
        <v>3590</v>
      </c>
      <c r="C549">
        <v>0</v>
      </c>
    </row>
    <row r="550" spans="1:3" x14ac:dyDescent="0.25">
      <c r="A550" t="s">
        <v>1108</v>
      </c>
      <c r="B550" t="s">
        <v>3590</v>
      </c>
      <c r="C550">
        <v>0</v>
      </c>
    </row>
    <row r="551" spans="1:3" x14ac:dyDescent="0.25">
      <c r="A551" t="s">
        <v>1116</v>
      </c>
      <c r="B551" t="s">
        <v>1115</v>
      </c>
      <c r="C551">
        <v>0</v>
      </c>
    </row>
    <row r="552" spans="1:3" x14ac:dyDescent="0.25">
      <c r="A552" t="s">
        <v>1122</v>
      </c>
      <c r="B552" t="s">
        <v>1121</v>
      </c>
      <c r="C552">
        <v>0</v>
      </c>
    </row>
    <row r="553" spans="1:3" x14ac:dyDescent="0.25">
      <c r="A553" t="s">
        <v>1128</v>
      </c>
      <c r="B553" t="s">
        <v>1127</v>
      </c>
      <c r="C553">
        <v>0</v>
      </c>
    </row>
    <row r="554" spans="1:3" x14ac:dyDescent="0.25">
      <c r="A554" t="s">
        <v>1165</v>
      </c>
      <c r="B554" t="s">
        <v>1164</v>
      </c>
      <c r="C554">
        <v>0</v>
      </c>
    </row>
    <row r="555" spans="1:3" x14ac:dyDescent="0.25">
      <c r="A555" t="s">
        <v>1171</v>
      </c>
      <c r="B555" t="s">
        <v>1170</v>
      </c>
      <c r="C555">
        <v>0</v>
      </c>
    </row>
    <row r="556" spans="1:3" x14ac:dyDescent="0.25">
      <c r="A556" t="s">
        <v>1187</v>
      </c>
      <c r="B556" t="s">
        <v>1186</v>
      </c>
      <c r="C556">
        <v>0</v>
      </c>
    </row>
    <row r="557" spans="1:3" x14ac:dyDescent="0.25">
      <c r="A557" t="s">
        <v>1190</v>
      </c>
      <c r="B557" t="s">
        <v>1189</v>
      </c>
      <c r="C557">
        <v>0</v>
      </c>
    </row>
    <row r="558" spans="1:3" x14ac:dyDescent="0.25">
      <c r="A558" t="s">
        <v>1199</v>
      </c>
      <c r="B558" t="s">
        <v>1198</v>
      </c>
      <c r="C558">
        <v>0</v>
      </c>
    </row>
    <row r="559" spans="1:3" x14ac:dyDescent="0.25">
      <c r="A559" t="s">
        <v>1205</v>
      </c>
      <c r="B559" t="s">
        <v>1204</v>
      </c>
      <c r="C559">
        <v>0</v>
      </c>
    </row>
    <row r="560" spans="1:3" x14ac:dyDescent="0.25">
      <c r="A560" t="s">
        <v>1262</v>
      </c>
      <c r="B560" t="s">
        <v>1261</v>
      </c>
      <c r="C560">
        <v>0</v>
      </c>
    </row>
    <row r="561" spans="1:3" x14ac:dyDescent="0.25">
      <c r="A561" t="s">
        <v>1265</v>
      </c>
      <c r="B561" t="s">
        <v>1264</v>
      </c>
      <c r="C561">
        <v>0</v>
      </c>
    </row>
    <row r="562" spans="1:3" x14ac:dyDescent="0.25">
      <c r="A562" t="s">
        <v>1289</v>
      </c>
      <c r="B562" t="s">
        <v>1288</v>
      </c>
      <c r="C562">
        <v>0</v>
      </c>
    </row>
    <row r="563" spans="1:3" x14ac:dyDescent="0.25">
      <c r="A563" t="s">
        <v>1292</v>
      </c>
      <c r="B563" t="s">
        <v>1291</v>
      </c>
      <c r="C563">
        <v>0</v>
      </c>
    </row>
    <row r="564" spans="1:3" x14ac:dyDescent="0.25">
      <c r="A564" t="s">
        <v>1298</v>
      </c>
      <c r="B564" t="s">
        <v>1297</v>
      </c>
      <c r="C564">
        <v>0</v>
      </c>
    </row>
    <row r="565" spans="1:3" x14ac:dyDescent="0.25">
      <c r="A565" t="s">
        <v>1304</v>
      </c>
      <c r="B565" t="s">
        <v>1303</v>
      </c>
      <c r="C565">
        <v>0</v>
      </c>
    </row>
    <row r="566" spans="1:3" x14ac:dyDescent="0.25">
      <c r="A566" t="s">
        <v>1313</v>
      </c>
      <c r="B566" t="s">
        <v>1312</v>
      </c>
      <c r="C566">
        <v>0</v>
      </c>
    </row>
    <row r="567" spans="1:3" x14ac:dyDescent="0.25">
      <c r="A567" t="s">
        <v>1319</v>
      </c>
      <c r="B567" t="s">
        <v>1318</v>
      </c>
      <c r="C567">
        <v>0</v>
      </c>
    </row>
    <row r="568" spans="1:3" x14ac:dyDescent="0.25">
      <c r="A568" t="s">
        <v>1337</v>
      </c>
      <c r="B568" t="s">
        <v>1336</v>
      </c>
      <c r="C568">
        <v>0</v>
      </c>
    </row>
    <row r="569" spans="1:3" x14ac:dyDescent="0.25">
      <c r="A569" t="s">
        <v>1364</v>
      </c>
      <c r="B569" t="s">
        <v>1363</v>
      </c>
      <c r="C569">
        <v>0</v>
      </c>
    </row>
    <row r="570" spans="1:3" x14ac:dyDescent="0.25">
      <c r="A570" t="s">
        <v>1376</v>
      </c>
      <c r="B570" t="s">
        <v>1375</v>
      </c>
      <c r="C570">
        <v>0</v>
      </c>
    </row>
    <row r="571" spans="1:3" x14ac:dyDescent="0.25">
      <c r="A571" t="s">
        <v>1382</v>
      </c>
      <c r="B571" t="s">
        <v>1381</v>
      </c>
      <c r="C571">
        <v>0</v>
      </c>
    </row>
    <row r="572" spans="1:3" x14ac:dyDescent="0.25">
      <c r="A572" t="s">
        <v>1385</v>
      </c>
      <c r="B572" t="s">
        <v>1384</v>
      </c>
      <c r="C572">
        <v>0</v>
      </c>
    </row>
    <row r="573" spans="1:3" x14ac:dyDescent="0.25">
      <c r="A573" t="s">
        <v>1388</v>
      </c>
      <c r="B573" t="s">
        <v>1387</v>
      </c>
      <c r="C573">
        <v>0</v>
      </c>
    </row>
    <row r="574" spans="1:3" x14ac:dyDescent="0.25">
      <c r="A574" t="s">
        <v>1396</v>
      </c>
      <c r="B574" t="s">
        <v>1395</v>
      </c>
      <c r="C574">
        <v>0</v>
      </c>
    </row>
    <row r="575" spans="1:3" x14ac:dyDescent="0.25">
      <c r="A575" t="s">
        <v>1431</v>
      </c>
      <c r="B575" t="s">
        <v>1430</v>
      </c>
      <c r="C575">
        <v>0</v>
      </c>
    </row>
    <row r="576" spans="1:3" x14ac:dyDescent="0.25">
      <c r="A576" t="s">
        <v>1440</v>
      </c>
      <c r="B576" t="s">
        <v>1439</v>
      </c>
      <c r="C576">
        <v>0</v>
      </c>
    </row>
    <row r="577" spans="1:3" x14ac:dyDescent="0.25">
      <c r="A577" t="s">
        <v>1472</v>
      </c>
      <c r="B577" t="s">
        <v>1471</v>
      </c>
      <c r="C577">
        <v>0</v>
      </c>
    </row>
    <row r="578" spans="1:3" x14ac:dyDescent="0.25">
      <c r="A578" t="s">
        <v>1498</v>
      </c>
      <c r="B578" t="s">
        <v>1497</v>
      </c>
      <c r="C578">
        <v>0</v>
      </c>
    </row>
    <row r="579" spans="1:3" x14ac:dyDescent="0.25">
      <c r="A579" t="s">
        <v>1501</v>
      </c>
      <c r="B579" t="s">
        <v>1500</v>
      </c>
      <c r="C579">
        <v>0</v>
      </c>
    </row>
    <row r="580" spans="1:3" x14ac:dyDescent="0.25">
      <c r="A580" t="s">
        <v>1504</v>
      </c>
      <c r="B580" t="s">
        <v>1503</v>
      </c>
      <c r="C580">
        <v>0</v>
      </c>
    </row>
    <row r="581" spans="1:3" x14ac:dyDescent="0.25">
      <c r="A581" t="s">
        <v>1507</v>
      </c>
      <c r="B581" t="s">
        <v>1506</v>
      </c>
      <c r="C581">
        <v>0</v>
      </c>
    </row>
    <row r="582" spans="1:3" x14ac:dyDescent="0.25">
      <c r="A582" t="s">
        <v>1510</v>
      </c>
      <c r="B582" t="s">
        <v>1509</v>
      </c>
      <c r="C582">
        <v>0</v>
      </c>
    </row>
    <row r="583" spans="1:3" x14ac:dyDescent="0.25">
      <c r="A583" t="s">
        <v>1513</v>
      </c>
      <c r="B583" t="s">
        <v>1512</v>
      </c>
      <c r="C583">
        <v>0</v>
      </c>
    </row>
    <row r="584" spans="1:3" x14ac:dyDescent="0.25">
      <c r="A584" t="s">
        <v>1516</v>
      </c>
      <c r="B584" t="s">
        <v>1515</v>
      </c>
      <c r="C584">
        <v>0</v>
      </c>
    </row>
    <row r="585" spans="1:3" x14ac:dyDescent="0.25">
      <c r="A585" t="s">
        <v>1519</v>
      </c>
      <c r="B585" t="s">
        <v>1518</v>
      </c>
      <c r="C585">
        <v>0</v>
      </c>
    </row>
    <row r="586" spans="1:3" x14ac:dyDescent="0.25">
      <c r="A586" t="s">
        <v>1522</v>
      </c>
      <c r="B586" t="s">
        <v>1521</v>
      </c>
      <c r="C586">
        <v>0</v>
      </c>
    </row>
    <row r="587" spans="1:3" x14ac:dyDescent="0.25">
      <c r="A587" t="s">
        <v>1525</v>
      </c>
      <c r="B587" t="s">
        <v>1524</v>
      </c>
      <c r="C587">
        <v>0</v>
      </c>
    </row>
    <row r="588" spans="1:3" x14ac:dyDescent="0.25">
      <c r="A588" t="s">
        <v>1546</v>
      </c>
      <c r="B588" t="s">
        <v>1545</v>
      </c>
      <c r="C588">
        <v>0</v>
      </c>
    </row>
    <row r="589" spans="1:3" x14ac:dyDescent="0.25">
      <c r="A589" t="s">
        <v>1549</v>
      </c>
      <c r="B589" t="s">
        <v>1548</v>
      </c>
      <c r="C589">
        <v>0</v>
      </c>
    </row>
    <row r="590" spans="1:3" x14ac:dyDescent="0.25">
      <c r="A590" t="s">
        <v>1579</v>
      </c>
      <c r="B590" t="s">
        <v>1578</v>
      </c>
      <c r="C590">
        <v>0</v>
      </c>
    </row>
    <row r="591" spans="1:3" x14ac:dyDescent="0.25">
      <c r="A591" t="s">
        <v>1591</v>
      </c>
      <c r="B591" t="s">
        <v>1590</v>
      </c>
      <c r="C591">
        <v>0</v>
      </c>
    </row>
    <row r="592" spans="1:3" x14ac:dyDescent="0.25">
      <c r="A592" t="s">
        <v>1594</v>
      </c>
      <c r="B592" t="s">
        <v>1593</v>
      </c>
      <c r="C592">
        <v>0</v>
      </c>
    </row>
    <row r="593" spans="1:3" x14ac:dyDescent="0.25">
      <c r="A593" t="s">
        <v>1597</v>
      </c>
      <c r="B593" t="s">
        <v>1596</v>
      </c>
      <c r="C593">
        <v>0</v>
      </c>
    </row>
    <row r="594" spans="1:3" x14ac:dyDescent="0.25">
      <c r="A594" t="s">
        <v>1609</v>
      </c>
      <c r="B594" t="s">
        <v>1608</v>
      </c>
      <c r="C594">
        <v>0</v>
      </c>
    </row>
    <row r="595" spans="1:3" x14ac:dyDescent="0.25">
      <c r="A595" t="s">
        <v>1618</v>
      </c>
      <c r="B595" t="s">
        <v>1617</v>
      </c>
      <c r="C595">
        <v>0</v>
      </c>
    </row>
    <row r="596" spans="1:3" x14ac:dyDescent="0.25">
      <c r="A596" t="s">
        <v>1630</v>
      </c>
      <c r="B596" t="s">
        <v>1629</v>
      </c>
      <c r="C596">
        <v>0</v>
      </c>
    </row>
    <row r="597" spans="1:3" x14ac:dyDescent="0.25">
      <c r="A597" t="s">
        <v>1645</v>
      </c>
      <c r="B597" t="s">
        <v>1644</v>
      </c>
      <c r="C597">
        <v>0</v>
      </c>
    </row>
    <row r="598" spans="1:3" x14ac:dyDescent="0.25">
      <c r="A598" t="s">
        <v>1651</v>
      </c>
      <c r="B598" t="s">
        <v>1650</v>
      </c>
      <c r="C598">
        <v>0</v>
      </c>
    </row>
    <row r="599" spans="1:3" x14ac:dyDescent="0.25">
      <c r="A599" t="s">
        <v>1660</v>
      </c>
      <c r="B599" t="s">
        <v>1659</v>
      </c>
      <c r="C599">
        <v>0</v>
      </c>
    </row>
    <row r="600" spans="1:3" x14ac:dyDescent="0.25">
      <c r="A600" t="s">
        <v>1669</v>
      </c>
      <c r="B600" t="s">
        <v>1668</v>
      </c>
      <c r="C600">
        <v>0</v>
      </c>
    </row>
    <row r="601" spans="1:3" x14ac:dyDescent="0.25">
      <c r="A601" t="s">
        <v>1684</v>
      </c>
      <c r="B601" t="s">
        <v>1683</v>
      </c>
      <c r="C601">
        <v>0</v>
      </c>
    </row>
    <row r="602" spans="1:3" x14ac:dyDescent="0.25">
      <c r="A602" t="s">
        <v>1705</v>
      </c>
      <c r="B602" t="s">
        <v>1704</v>
      </c>
      <c r="C602">
        <v>0</v>
      </c>
    </row>
    <row r="603" spans="1:3" x14ac:dyDescent="0.25">
      <c r="A603" t="s">
        <v>1719</v>
      </c>
      <c r="B603" t="s">
        <v>1718</v>
      </c>
      <c r="C60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5A36-F6D1-44AF-8879-AD3EED7EDCE2}">
  <dimension ref="A1:P159"/>
  <sheetViews>
    <sheetView topLeftCell="F1" workbookViewId="0">
      <pane ySplit="1" topLeftCell="A71" activePane="bottomLeft" state="frozen"/>
      <selection pane="bottomLeft" activeCell="A81" sqref="A81"/>
    </sheetView>
  </sheetViews>
  <sheetFormatPr defaultRowHeight="15" x14ac:dyDescent="0.25"/>
  <cols>
    <col min="1" max="1" width="49.28515625" customWidth="1"/>
    <col min="2" max="2" width="24.28515625" customWidth="1"/>
    <col min="3" max="3" width="41.140625" bestFit="1" customWidth="1"/>
    <col min="4" max="4" width="9.28515625" customWidth="1"/>
    <col min="5" max="5" width="11" bestFit="1" customWidth="1"/>
    <col min="6" max="6" width="13.7109375" customWidth="1"/>
    <col min="7" max="7" width="17.5703125" customWidth="1"/>
    <col min="8" max="8" width="179.140625" bestFit="1" customWidth="1"/>
    <col min="9" max="9" width="8.140625" bestFit="1" customWidth="1"/>
    <col min="10" max="10" width="5" bestFit="1" customWidth="1"/>
  </cols>
  <sheetData>
    <row r="1" spans="1:16" ht="30" x14ac:dyDescent="0.25">
      <c r="A1" s="29" t="s">
        <v>2593</v>
      </c>
      <c r="B1" s="29" t="s">
        <v>2594</v>
      </c>
      <c r="C1" s="29" t="s">
        <v>2595</v>
      </c>
      <c r="D1" s="29" t="s">
        <v>2596</v>
      </c>
      <c r="E1" s="29" t="s">
        <v>2597</v>
      </c>
      <c r="F1" s="29" t="s">
        <v>2598</v>
      </c>
      <c r="G1" s="29" t="s">
        <v>2599</v>
      </c>
      <c r="H1" s="30" t="s">
        <v>2600</v>
      </c>
      <c r="I1" s="31"/>
      <c r="J1" s="31"/>
      <c r="K1" s="31"/>
      <c r="L1" s="31"/>
      <c r="M1" s="31"/>
      <c r="N1" s="31"/>
      <c r="O1" s="31"/>
      <c r="P1" s="31"/>
    </row>
    <row r="2" spans="1:16" x14ac:dyDescent="0.25">
      <c r="A2" s="32" t="s">
        <v>881</v>
      </c>
      <c r="B2" s="32" t="s">
        <v>1183</v>
      </c>
      <c r="C2" s="32" t="s">
        <v>2601</v>
      </c>
      <c r="D2" s="32" t="s">
        <v>1721</v>
      </c>
      <c r="E2" s="32" t="s">
        <v>1721</v>
      </c>
      <c r="F2" s="32" t="s">
        <v>1721</v>
      </c>
      <c r="G2" s="32" t="s">
        <v>2602</v>
      </c>
      <c r="H2" s="35" t="s">
        <v>2603</v>
      </c>
      <c r="I2" s="31"/>
      <c r="J2" s="31"/>
      <c r="K2" s="31"/>
      <c r="L2" s="31"/>
      <c r="M2" s="31"/>
      <c r="N2" s="31"/>
      <c r="O2" s="31"/>
      <c r="P2" s="31"/>
    </row>
    <row r="3" spans="1:16" x14ac:dyDescent="0.25">
      <c r="A3" s="32" t="s">
        <v>881</v>
      </c>
      <c r="B3" s="32" t="s">
        <v>1183</v>
      </c>
      <c r="C3" s="32" t="s">
        <v>2604</v>
      </c>
      <c r="D3" s="32" t="s">
        <v>1721</v>
      </c>
      <c r="E3" s="32" t="s">
        <v>1721</v>
      </c>
      <c r="F3" s="32" t="s">
        <v>1721</v>
      </c>
      <c r="G3" s="32" t="s">
        <v>2602</v>
      </c>
      <c r="H3" s="35"/>
      <c r="I3" s="31"/>
      <c r="J3" s="31"/>
      <c r="K3" s="31"/>
      <c r="L3" s="31"/>
      <c r="M3" s="31"/>
      <c r="N3" s="31"/>
      <c r="O3" s="31"/>
      <c r="P3" s="31"/>
    </row>
    <row r="4" spans="1:16" x14ac:dyDescent="0.25">
      <c r="A4" s="32" t="s">
        <v>881</v>
      </c>
      <c r="B4" s="32" t="s">
        <v>1183</v>
      </c>
      <c r="C4" s="32" t="s">
        <v>2605</v>
      </c>
      <c r="D4" s="32" t="s">
        <v>1721</v>
      </c>
      <c r="E4" s="32" t="s">
        <v>1721</v>
      </c>
      <c r="F4" s="32" t="s">
        <v>1721</v>
      </c>
      <c r="G4" s="32" t="s">
        <v>2602</v>
      </c>
      <c r="H4" s="35"/>
      <c r="I4" s="31"/>
      <c r="J4" s="31"/>
      <c r="K4" s="31"/>
      <c r="L4" s="31"/>
      <c r="M4" s="31"/>
      <c r="N4" s="31"/>
      <c r="O4" s="31"/>
      <c r="P4" s="31"/>
    </row>
    <row r="5" spans="1:16" x14ac:dyDescent="0.25">
      <c r="A5" s="32" t="s">
        <v>881</v>
      </c>
      <c r="B5" s="32" t="s">
        <v>1183</v>
      </c>
      <c r="C5" s="32" t="s">
        <v>2606</v>
      </c>
      <c r="D5" s="32" t="s">
        <v>1721</v>
      </c>
      <c r="E5" s="32" t="s">
        <v>1721</v>
      </c>
      <c r="F5" s="32" t="s">
        <v>1721</v>
      </c>
      <c r="G5" s="32" t="s">
        <v>2602</v>
      </c>
      <c r="H5" s="35"/>
      <c r="I5" s="31"/>
      <c r="J5" s="31"/>
      <c r="K5" s="31"/>
      <c r="L5" s="31"/>
      <c r="M5" s="31"/>
      <c r="N5" s="31"/>
      <c r="O5" s="31"/>
      <c r="P5" s="31"/>
    </row>
    <row r="6" spans="1:16" x14ac:dyDescent="0.25">
      <c r="A6" s="32" t="s">
        <v>881</v>
      </c>
      <c r="B6" s="32" t="s">
        <v>1183</v>
      </c>
      <c r="C6" s="32" t="s">
        <v>2607</v>
      </c>
      <c r="D6" s="32" t="s">
        <v>1721</v>
      </c>
      <c r="E6" s="32" t="s">
        <v>1721</v>
      </c>
      <c r="F6" s="32" t="s">
        <v>1721</v>
      </c>
      <c r="G6" s="32" t="s">
        <v>2602</v>
      </c>
      <c r="H6" s="35"/>
      <c r="I6" s="31"/>
      <c r="J6" s="31"/>
      <c r="K6" s="31"/>
      <c r="L6" s="31"/>
      <c r="M6" s="31"/>
      <c r="N6" s="31"/>
      <c r="O6" s="31"/>
      <c r="P6" s="31"/>
    </row>
    <row r="7" spans="1:16" x14ac:dyDescent="0.25">
      <c r="A7" s="32" t="s">
        <v>881</v>
      </c>
      <c r="B7" s="32" t="s">
        <v>1183</v>
      </c>
      <c r="C7" s="32" t="s">
        <v>2608</v>
      </c>
      <c r="D7" s="32" t="s">
        <v>1721</v>
      </c>
      <c r="E7" s="32" t="s">
        <v>1721</v>
      </c>
      <c r="F7" s="32" t="s">
        <v>1721</v>
      </c>
      <c r="G7" s="32" t="s">
        <v>2602</v>
      </c>
      <c r="H7" s="35" t="s">
        <v>2609</v>
      </c>
      <c r="I7" s="31"/>
      <c r="J7" s="31"/>
      <c r="K7" s="31"/>
      <c r="L7" s="31"/>
      <c r="M7" s="31"/>
      <c r="N7" s="31"/>
      <c r="O7" s="31"/>
      <c r="P7" s="31"/>
    </row>
    <row r="8" spans="1:16" x14ac:dyDescent="0.25">
      <c r="A8" s="32" t="s">
        <v>881</v>
      </c>
      <c r="B8" s="32" t="s">
        <v>1183</v>
      </c>
      <c r="C8" s="32" t="s">
        <v>2610</v>
      </c>
      <c r="D8" s="32" t="s">
        <v>1721</v>
      </c>
      <c r="E8" s="32" t="s">
        <v>1721</v>
      </c>
      <c r="F8" s="32" t="s">
        <v>1721</v>
      </c>
      <c r="G8" s="32" t="s">
        <v>2602</v>
      </c>
      <c r="H8" s="36"/>
      <c r="I8" s="31"/>
      <c r="J8" s="31"/>
      <c r="K8" s="31"/>
      <c r="L8" s="31"/>
      <c r="M8" s="31"/>
      <c r="N8" s="31"/>
      <c r="O8" s="31"/>
      <c r="P8" s="31"/>
    </row>
    <row r="9" spans="1:16" x14ac:dyDescent="0.25">
      <c r="A9" s="32" t="s">
        <v>881</v>
      </c>
      <c r="B9" s="32" t="s">
        <v>1183</v>
      </c>
      <c r="C9" s="32" t="s">
        <v>2611</v>
      </c>
      <c r="D9" s="32" t="s">
        <v>1721</v>
      </c>
      <c r="E9" s="32" t="s">
        <v>1721</v>
      </c>
      <c r="F9" s="32" t="s">
        <v>1721</v>
      </c>
      <c r="G9" s="32" t="s">
        <v>2602</v>
      </c>
      <c r="H9" s="35"/>
      <c r="I9" s="31"/>
      <c r="J9" s="31"/>
      <c r="K9" s="31"/>
      <c r="L9" s="31"/>
      <c r="M9" s="31"/>
      <c r="N9" s="31"/>
      <c r="O9" s="31"/>
      <c r="P9" s="31"/>
    </row>
    <row r="10" spans="1:16" x14ac:dyDescent="0.25">
      <c r="A10" s="32" t="s">
        <v>881</v>
      </c>
      <c r="B10" s="32" t="s">
        <v>1183</v>
      </c>
      <c r="C10" s="32" t="s">
        <v>2612</v>
      </c>
      <c r="D10" s="32" t="s">
        <v>1721</v>
      </c>
      <c r="E10" s="32" t="s">
        <v>1721</v>
      </c>
      <c r="F10" s="32" t="s">
        <v>1721</v>
      </c>
      <c r="G10" s="32" t="s">
        <v>2602</v>
      </c>
      <c r="H10" s="35"/>
      <c r="I10" s="31"/>
      <c r="J10" s="31"/>
      <c r="K10" s="31"/>
      <c r="L10" s="31"/>
      <c r="M10" s="31"/>
      <c r="N10" s="31"/>
      <c r="O10" s="31"/>
      <c r="P10" s="31"/>
    </row>
    <row r="11" spans="1:16" x14ac:dyDescent="0.25">
      <c r="A11" s="32" t="s">
        <v>881</v>
      </c>
      <c r="B11" s="32" t="s">
        <v>1183</v>
      </c>
      <c r="C11" s="32" t="s">
        <v>2613</v>
      </c>
      <c r="D11" s="32" t="s">
        <v>1721</v>
      </c>
      <c r="E11" s="32" t="s">
        <v>1721</v>
      </c>
      <c r="F11" s="32" t="s">
        <v>1721</v>
      </c>
      <c r="G11" s="32" t="s">
        <v>2602</v>
      </c>
      <c r="H11" s="35" t="s">
        <v>2614</v>
      </c>
      <c r="I11" s="31"/>
      <c r="J11" s="31"/>
      <c r="K11" s="31"/>
      <c r="L11" s="31"/>
      <c r="M11" s="31"/>
      <c r="N11" s="31"/>
      <c r="O11" s="31"/>
      <c r="P11" s="31"/>
    </row>
    <row r="12" spans="1:16" x14ac:dyDescent="0.25">
      <c r="A12" s="32"/>
      <c r="B12" s="32"/>
      <c r="C12" s="32" t="s">
        <v>2615</v>
      </c>
      <c r="D12" s="32" t="s">
        <v>1721</v>
      </c>
      <c r="E12" s="32" t="s">
        <v>1727</v>
      </c>
      <c r="F12" s="32" t="s">
        <v>1727</v>
      </c>
      <c r="G12" s="32" t="s">
        <v>2602</v>
      </c>
      <c r="H12" s="35" t="s">
        <v>2616</v>
      </c>
      <c r="I12" s="31"/>
      <c r="J12" s="31"/>
      <c r="K12" s="31"/>
      <c r="L12" s="31"/>
      <c r="M12" s="31"/>
      <c r="N12" s="31"/>
      <c r="O12" s="31"/>
      <c r="P12" s="31"/>
    </row>
    <row r="13" spans="1:16" x14ac:dyDescent="0.25">
      <c r="A13" s="32"/>
      <c r="B13" s="32"/>
      <c r="C13" s="32" t="s">
        <v>2617</v>
      </c>
      <c r="D13" s="32" t="s">
        <v>1721</v>
      </c>
      <c r="E13" s="32" t="s">
        <v>1727</v>
      </c>
      <c r="F13" s="32" t="s">
        <v>2618</v>
      </c>
      <c r="G13" s="32" t="s">
        <v>1727</v>
      </c>
      <c r="H13" s="35" t="s">
        <v>2619</v>
      </c>
      <c r="I13" s="31"/>
      <c r="J13" s="31"/>
      <c r="K13" s="31"/>
      <c r="L13" s="31"/>
      <c r="M13" s="31"/>
      <c r="N13" s="31"/>
      <c r="O13" s="31"/>
      <c r="P13" s="31"/>
    </row>
    <row r="14" spans="1:16" x14ac:dyDescent="0.25">
      <c r="A14" s="32"/>
      <c r="B14" s="32"/>
      <c r="C14" s="32"/>
      <c r="D14" s="32"/>
      <c r="E14" s="32"/>
      <c r="F14" s="32"/>
      <c r="G14" s="32"/>
      <c r="H14" s="35"/>
      <c r="I14" s="31"/>
      <c r="J14" s="31"/>
      <c r="K14" s="31"/>
      <c r="L14" s="31"/>
      <c r="M14" s="31"/>
      <c r="N14" s="31"/>
      <c r="O14" s="31"/>
      <c r="P14" s="31"/>
    </row>
    <row r="15" spans="1:16" x14ac:dyDescent="0.25">
      <c r="A15" s="32" t="s">
        <v>1469</v>
      </c>
      <c r="B15" s="32" t="s">
        <v>2620</v>
      </c>
      <c r="C15" s="32" t="s">
        <v>2621</v>
      </c>
      <c r="D15" s="32" t="s">
        <v>1721</v>
      </c>
      <c r="E15" s="32" t="s">
        <v>1721</v>
      </c>
      <c r="F15" s="32" t="s">
        <v>1721</v>
      </c>
      <c r="G15" s="32" t="s">
        <v>1721</v>
      </c>
      <c r="H15" s="35"/>
      <c r="I15" s="31"/>
      <c r="J15" s="31"/>
      <c r="K15" s="31"/>
      <c r="L15" s="31"/>
      <c r="M15" s="31"/>
      <c r="N15" s="31"/>
      <c r="O15" s="31"/>
      <c r="P15" s="31"/>
    </row>
    <row r="16" spans="1:16" x14ac:dyDescent="0.25">
      <c r="A16" s="32" t="s">
        <v>1469</v>
      </c>
      <c r="B16" s="32" t="s">
        <v>2620</v>
      </c>
      <c r="C16" s="32" t="s">
        <v>2622</v>
      </c>
      <c r="D16" s="32" t="s">
        <v>1721</v>
      </c>
      <c r="E16" s="32" t="s">
        <v>1721</v>
      </c>
      <c r="F16" s="32" t="s">
        <v>1721</v>
      </c>
      <c r="G16" s="32" t="s">
        <v>1721</v>
      </c>
      <c r="H16" s="35"/>
      <c r="I16" s="31"/>
      <c r="J16" s="31"/>
      <c r="K16" s="31"/>
      <c r="L16" s="31"/>
      <c r="M16" s="31"/>
      <c r="N16" s="31"/>
      <c r="O16" s="31"/>
      <c r="P16" s="31"/>
    </row>
    <row r="17" spans="1:16" x14ac:dyDescent="0.25">
      <c r="A17" s="32" t="s">
        <v>1469</v>
      </c>
      <c r="B17" s="32" t="s">
        <v>2620</v>
      </c>
      <c r="C17" s="32" t="s">
        <v>2623</v>
      </c>
      <c r="D17" s="32" t="s">
        <v>1721</v>
      </c>
      <c r="E17" s="32" t="s">
        <v>1721</v>
      </c>
      <c r="F17" s="32" t="s">
        <v>1721</v>
      </c>
      <c r="G17" s="32" t="s">
        <v>1721</v>
      </c>
      <c r="H17" s="35"/>
      <c r="I17" s="31"/>
      <c r="J17" s="31"/>
      <c r="K17" s="31"/>
      <c r="L17" s="31"/>
      <c r="M17" s="31"/>
      <c r="N17" s="31"/>
      <c r="O17" s="31"/>
      <c r="P17" s="31"/>
    </row>
    <row r="18" spans="1:16" x14ac:dyDescent="0.25">
      <c r="A18" s="32" t="s">
        <v>1469</v>
      </c>
      <c r="B18" s="32" t="s">
        <v>2620</v>
      </c>
      <c r="C18" s="32" t="s">
        <v>2624</v>
      </c>
      <c r="D18" s="32" t="s">
        <v>1721</v>
      </c>
      <c r="E18" s="32" t="s">
        <v>1721</v>
      </c>
      <c r="F18" s="32" t="s">
        <v>1721</v>
      </c>
      <c r="G18" s="32" t="s">
        <v>1721</v>
      </c>
      <c r="H18" s="35"/>
      <c r="I18" s="31"/>
      <c r="J18" s="31"/>
      <c r="K18" s="31"/>
      <c r="L18" s="31"/>
      <c r="M18" s="31"/>
      <c r="N18" s="31"/>
      <c r="O18" s="31"/>
      <c r="P18" s="31"/>
    </row>
    <row r="19" spans="1:16" x14ac:dyDescent="0.25">
      <c r="A19" s="32" t="s">
        <v>1469</v>
      </c>
      <c r="B19" s="32" t="s">
        <v>2620</v>
      </c>
      <c r="C19" s="32" t="s">
        <v>2625</v>
      </c>
      <c r="D19" s="32" t="s">
        <v>1721</v>
      </c>
      <c r="E19" s="32" t="s">
        <v>1721</v>
      </c>
      <c r="F19" s="32" t="s">
        <v>1721</v>
      </c>
      <c r="G19" s="32" t="s">
        <v>1721</v>
      </c>
      <c r="H19" s="35"/>
      <c r="I19" s="31"/>
      <c r="J19" s="31"/>
      <c r="K19" s="31"/>
      <c r="L19" s="31"/>
      <c r="M19" s="31"/>
      <c r="N19" s="31"/>
      <c r="O19" s="31"/>
      <c r="P19" s="31"/>
    </row>
    <row r="20" spans="1:16" x14ac:dyDescent="0.25">
      <c r="A20" s="32" t="s">
        <v>1469</v>
      </c>
      <c r="B20" s="32" t="s">
        <v>2620</v>
      </c>
      <c r="C20" s="32" t="s">
        <v>2626</v>
      </c>
      <c r="D20" s="32" t="s">
        <v>1721</v>
      </c>
      <c r="E20" s="32" t="s">
        <v>1721</v>
      </c>
      <c r="F20" s="32" t="s">
        <v>1721</v>
      </c>
      <c r="G20" s="32" t="s">
        <v>1721</v>
      </c>
      <c r="H20" s="35"/>
      <c r="I20" s="31"/>
      <c r="J20" s="31"/>
      <c r="K20" s="31"/>
      <c r="L20" s="31"/>
      <c r="M20" s="31"/>
      <c r="N20" s="31"/>
      <c r="O20" s="31"/>
      <c r="P20" s="31"/>
    </row>
    <row r="21" spans="1:16" x14ac:dyDescent="0.25">
      <c r="A21" s="32" t="s">
        <v>1469</v>
      </c>
      <c r="B21" s="32" t="s">
        <v>2620</v>
      </c>
      <c r="C21" s="32" t="s">
        <v>2627</v>
      </c>
      <c r="D21" s="32" t="s">
        <v>1721</v>
      </c>
      <c r="E21" s="32" t="s">
        <v>1721</v>
      </c>
      <c r="F21" s="32" t="s">
        <v>1721</v>
      </c>
      <c r="G21" s="32" t="s">
        <v>1721</v>
      </c>
      <c r="H21" s="35"/>
      <c r="I21" s="31"/>
      <c r="J21" s="31"/>
      <c r="K21" s="31"/>
      <c r="L21" s="31"/>
      <c r="M21" s="31"/>
      <c r="N21" s="31"/>
      <c r="O21" s="31"/>
      <c r="P21" s="31"/>
    </row>
    <row r="22" spans="1:16" x14ac:dyDescent="0.25">
      <c r="A22" s="32"/>
      <c r="B22" s="32"/>
      <c r="C22" s="32"/>
      <c r="D22" s="32"/>
      <c r="E22" s="32"/>
      <c r="F22" s="32"/>
      <c r="G22" s="32"/>
      <c r="H22" s="35"/>
      <c r="I22" s="31"/>
      <c r="J22" s="31"/>
      <c r="K22" s="31"/>
      <c r="L22" s="31"/>
      <c r="M22" s="31"/>
      <c r="N22" s="31"/>
      <c r="O22" s="31"/>
      <c r="P22" s="31"/>
    </row>
    <row r="23" spans="1:16" x14ac:dyDescent="0.25">
      <c r="A23" s="33" t="s">
        <v>1410</v>
      </c>
      <c r="B23" s="32" t="s">
        <v>2628</v>
      </c>
      <c r="C23" s="32" t="s">
        <v>2629</v>
      </c>
      <c r="D23" s="32" t="s">
        <v>1721</v>
      </c>
      <c r="E23" s="32" t="s">
        <v>1721</v>
      </c>
      <c r="F23" s="32" t="s">
        <v>1721</v>
      </c>
      <c r="G23" s="32" t="s">
        <v>1721</v>
      </c>
      <c r="H23" s="35" t="s">
        <v>2630</v>
      </c>
      <c r="I23" s="31"/>
      <c r="J23" s="31"/>
      <c r="K23" s="31"/>
      <c r="L23" s="31"/>
      <c r="M23" s="31"/>
      <c r="N23" s="31"/>
      <c r="O23" s="31"/>
      <c r="P23" s="31"/>
    </row>
    <row r="24" spans="1:16" x14ac:dyDescent="0.25">
      <c r="A24" s="33" t="s">
        <v>1410</v>
      </c>
      <c r="B24" s="32" t="s">
        <v>2628</v>
      </c>
      <c r="C24" s="32" t="s">
        <v>2631</v>
      </c>
      <c r="D24" s="32" t="s">
        <v>1721</v>
      </c>
      <c r="E24" s="32" t="s">
        <v>1721</v>
      </c>
      <c r="F24" s="32" t="s">
        <v>1721</v>
      </c>
      <c r="G24" s="32" t="s">
        <v>1721</v>
      </c>
      <c r="H24" s="35"/>
      <c r="I24" s="31"/>
      <c r="J24" s="31"/>
      <c r="K24" s="31"/>
      <c r="L24" s="31"/>
      <c r="M24" s="31"/>
      <c r="N24" s="31"/>
      <c r="O24" s="31"/>
      <c r="P24" s="31"/>
    </row>
    <row r="25" spans="1:16" x14ac:dyDescent="0.25">
      <c r="A25" s="33" t="s">
        <v>1410</v>
      </c>
      <c r="B25" s="32" t="s">
        <v>2628</v>
      </c>
      <c r="C25" s="32" t="s">
        <v>2632</v>
      </c>
      <c r="D25" s="32" t="s">
        <v>1721</v>
      </c>
      <c r="E25" s="32" t="s">
        <v>1721</v>
      </c>
      <c r="F25" s="32" t="s">
        <v>1721</v>
      </c>
      <c r="G25" s="32" t="s">
        <v>1721</v>
      </c>
      <c r="H25" s="35" t="s">
        <v>2633</v>
      </c>
      <c r="I25" s="31"/>
      <c r="J25" s="31"/>
      <c r="K25" s="31"/>
      <c r="L25" s="31"/>
      <c r="M25" s="31"/>
      <c r="N25" s="31"/>
      <c r="O25" s="31"/>
      <c r="P25" s="31"/>
    </row>
    <row r="26" spans="1:16" x14ac:dyDescent="0.25">
      <c r="A26" s="33" t="s">
        <v>1410</v>
      </c>
      <c r="B26" s="32" t="s">
        <v>2628</v>
      </c>
      <c r="C26" s="32" t="s">
        <v>2634</v>
      </c>
      <c r="D26" s="32" t="s">
        <v>1721</v>
      </c>
      <c r="E26" s="32" t="s">
        <v>1721</v>
      </c>
      <c r="F26" s="32" t="s">
        <v>1721</v>
      </c>
      <c r="G26" s="32" t="s">
        <v>1721</v>
      </c>
      <c r="H26" s="35"/>
      <c r="I26" s="31"/>
      <c r="J26" s="31"/>
      <c r="K26" s="31"/>
      <c r="L26" s="31"/>
      <c r="M26" s="31"/>
      <c r="N26" s="31"/>
      <c r="O26" s="31"/>
      <c r="P26" s="31"/>
    </row>
    <row r="27" spans="1:16" x14ac:dyDescent="0.25">
      <c r="A27" s="33" t="s">
        <v>1410</v>
      </c>
      <c r="B27" s="32" t="s">
        <v>2628</v>
      </c>
      <c r="C27" s="32" t="s">
        <v>2635</v>
      </c>
      <c r="D27" s="32" t="s">
        <v>1721</v>
      </c>
      <c r="E27" s="32" t="s">
        <v>1721</v>
      </c>
      <c r="F27" s="32" t="s">
        <v>1721</v>
      </c>
      <c r="G27" s="32" t="s">
        <v>1721</v>
      </c>
      <c r="H27" s="35"/>
      <c r="I27" s="31"/>
      <c r="J27" s="31"/>
      <c r="K27" s="31"/>
      <c r="L27" s="31"/>
      <c r="M27" s="31"/>
      <c r="N27" s="31"/>
      <c r="O27" s="31"/>
      <c r="P27" s="31"/>
    </row>
    <row r="28" spans="1:16" x14ac:dyDescent="0.25">
      <c r="A28" s="33" t="s">
        <v>1410</v>
      </c>
      <c r="B28" s="32" t="s">
        <v>2628</v>
      </c>
      <c r="C28" s="32" t="s">
        <v>2636</v>
      </c>
      <c r="D28" s="32" t="s">
        <v>1721</v>
      </c>
      <c r="E28" s="32" t="s">
        <v>1721</v>
      </c>
      <c r="F28" s="32" t="s">
        <v>1721</v>
      </c>
      <c r="G28" s="32" t="s">
        <v>1721</v>
      </c>
      <c r="H28" s="35"/>
      <c r="I28" s="31"/>
      <c r="J28" s="31"/>
      <c r="K28" s="31"/>
      <c r="L28" s="31"/>
      <c r="M28" s="31"/>
      <c r="N28" s="31"/>
      <c r="O28" s="31"/>
      <c r="P28" s="31"/>
    </row>
    <row r="29" spans="1:16" x14ac:dyDescent="0.25">
      <c r="A29" s="33" t="s">
        <v>1410</v>
      </c>
      <c r="B29" s="32" t="s">
        <v>2628</v>
      </c>
      <c r="C29" s="32" t="s">
        <v>2637</v>
      </c>
      <c r="D29" s="32" t="s">
        <v>1721</v>
      </c>
      <c r="E29" s="32" t="s">
        <v>1721</v>
      </c>
      <c r="F29" s="32" t="s">
        <v>1721</v>
      </c>
      <c r="G29" s="32" t="s">
        <v>1721</v>
      </c>
      <c r="H29" s="35"/>
      <c r="I29" s="31"/>
      <c r="J29" s="31"/>
      <c r="K29" s="31"/>
      <c r="L29" s="31"/>
      <c r="M29" s="31"/>
      <c r="N29" s="31"/>
      <c r="O29" s="31"/>
      <c r="P29" s="31"/>
    </row>
    <row r="30" spans="1:16" x14ac:dyDescent="0.25">
      <c r="A30" s="33" t="s">
        <v>1410</v>
      </c>
      <c r="B30" s="32" t="s">
        <v>2628</v>
      </c>
      <c r="C30" s="32" t="s">
        <v>2638</v>
      </c>
      <c r="D30" s="32" t="s">
        <v>1721</v>
      </c>
      <c r="E30" s="32" t="s">
        <v>1721</v>
      </c>
      <c r="F30" s="32" t="s">
        <v>1721</v>
      </c>
      <c r="G30" s="32" t="s">
        <v>1721</v>
      </c>
      <c r="H30" s="35"/>
      <c r="I30" s="31"/>
      <c r="J30" s="31"/>
      <c r="K30" s="31"/>
      <c r="L30" s="31"/>
      <c r="M30" s="31"/>
      <c r="N30" s="31"/>
      <c r="O30" s="31"/>
      <c r="P30" s="31"/>
    </row>
    <row r="31" spans="1:16" x14ac:dyDescent="0.25">
      <c r="A31" s="33" t="s">
        <v>1410</v>
      </c>
      <c r="B31" s="32" t="s">
        <v>2628</v>
      </c>
      <c r="C31" s="32" t="s">
        <v>2639</v>
      </c>
      <c r="D31" s="32" t="s">
        <v>1721</v>
      </c>
      <c r="E31" s="32" t="s">
        <v>1721</v>
      </c>
      <c r="F31" s="32" t="s">
        <v>1721</v>
      </c>
      <c r="G31" s="32" t="s">
        <v>1721</v>
      </c>
      <c r="H31" s="35"/>
      <c r="I31" s="31"/>
      <c r="J31" s="31"/>
      <c r="K31" s="31"/>
      <c r="L31" s="31"/>
      <c r="M31" s="31"/>
      <c r="N31" s="31"/>
      <c r="O31" s="31"/>
      <c r="P31" s="31"/>
    </row>
    <row r="32" spans="1:16" x14ac:dyDescent="0.25">
      <c r="A32" s="33" t="s">
        <v>1410</v>
      </c>
      <c r="B32" s="32" t="s">
        <v>2628</v>
      </c>
      <c r="C32" s="32" t="s">
        <v>2640</v>
      </c>
      <c r="D32" s="32" t="s">
        <v>1721</v>
      </c>
      <c r="E32" s="32" t="s">
        <v>1721</v>
      </c>
      <c r="F32" s="32" t="s">
        <v>1721</v>
      </c>
      <c r="G32" s="32" t="s">
        <v>1721</v>
      </c>
      <c r="H32" s="35"/>
      <c r="I32" s="31"/>
      <c r="J32" s="31"/>
      <c r="K32" s="31"/>
      <c r="L32" s="31"/>
      <c r="M32" s="31"/>
      <c r="N32" s="31"/>
      <c r="O32" s="31"/>
      <c r="P32" s="31"/>
    </row>
    <row r="33" spans="1:16" x14ac:dyDescent="0.25">
      <c r="A33" s="33" t="s">
        <v>1410</v>
      </c>
      <c r="B33" s="32" t="s">
        <v>2628</v>
      </c>
      <c r="C33" s="32" t="s">
        <v>2641</v>
      </c>
      <c r="D33" s="32" t="s">
        <v>1721</v>
      </c>
      <c r="E33" s="32" t="s">
        <v>2602</v>
      </c>
      <c r="F33" s="32" t="s">
        <v>1721</v>
      </c>
      <c r="G33" s="32" t="s">
        <v>1721</v>
      </c>
      <c r="H33" s="35" t="s">
        <v>2642</v>
      </c>
      <c r="I33" s="31"/>
      <c r="J33" s="31"/>
      <c r="K33" s="31"/>
      <c r="L33" s="31"/>
      <c r="M33" s="31"/>
      <c r="N33" s="31"/>
      <c r="O33" s="31"/>
      <c r="P33" s="31"/>
    </row>
    <row r="34" spans="1:16" x14ac:dyDescent="0.25">
      <c r="A34" s="33"/>
      <c r="B34" s="32"/>
      <c r="C34" s="32" t="s">
        <v>2643</v>
      </c>
      <c r="D34" s="32" t="s">
        <v>1721</v>
      </c>
      <c r="E34" s="32" t="s">
        <v>2644</v>
      </c>
      <c r="F34" s="32" t="s">
        <v>1721</v>
      </c>
      <c r="G34" s="32"/>
      <c r="H34" s="35" t="s">
        <v>2645</v>
      </c>
      <c r="I34" s="31"/>
      <c r="J34" s="31"/>
      <c r="K34" s="31"/>
      <c r="L34" s="31"/>
      <c r="M34" s="31"/>
      <c r="N34" s="31"/>
      <c r="O34" s="31"/>
      <c r="P34" s="31"/>
    </row>
    <row r="35" spans="1:16" x14ac:dyDescent="0.25">
      <c r="A35" s="32"/>
      <c r="B35" s="32"/>
      <c r="C35" s="32"/>
      <c r="D35" s="32"/>
      <c r="E35" s="32"/>
      <c r="F35" s="32"/>
      <c r="G35" s="32"/>
      <c r="H35" s="35"/>
      <c r="I35" s="31"/>
      <c r="J35" s="31"/>
      <c r="K35" s="31"/>
      <c r="L35" s="31"/>
      <c r="M35" s="31"/>
      <c r="N35" s="31"/>
      <c r="O35" s="31"/>
      <c r="P35" s="31"/>
    </row>
    <row r="36" spans="1:16" x14ac:dyDescent="0.25">
      <c r="A36" s="32" t="s">
        <v>2646</v>
      </c>
      <c r="B36" s="32" t="s">
        <v>824</v>
      </c>
      <c r="C36" s="32" t="s">
        <v>2647</v>
      </c>
      <c r="D36" s="32"/>
      <c r="E36" s="32"/>
      <c r="F36" s="32"/>
      <c r="G36" s="32"/>
      <c r="H36" s="35"/>
      <c r="I36" s="31"/>
      <c r="J36" s="31"/>
      <c r="K36" s="31"/>
      <c r="L36" s="31"/>
      <c r="M36" s="31"/>
      <c r="N36" s="31"/>
      <c r="O36" s="31"/>
      <c r="P36" s="31"/>
    </row>
    <row r="37" spans="1:16" x14ac:dyDescent="0.25">
      <c r="A37" s="32" t="s">
        <v>2646</v>
      </c>
      <c r="B37" s="32" t="s">
        <v>824</v>
      </c>
      <c r="C37" s="32" t="s">
        <v>2648</v>
      </c>
      <c r="D37" s="32"/>
      <c r="E37" s="32"/>
      <c r="F37" s="32"/>
      <c r="G37" s="32"/>
      <c r="H37" s="35" t="s">
        <v>2649</v>
      </c>
      <c r="I37" s="31"/>
      <c r="J37" s="31"/>
      <c r="K37" s="31"/>
      <c r="L37" s="31"/>
      <c r="M37" s="31"/>
      <c r="N37" s="31"/>
      <c r="O37" s="31"/>
      <c r="P37" s="31"/>
    </row>
    <row r="38" spans="1:16" x14ac:dyDescent="0.25">
      <c r="A38" s="32" t="s">
        <v>2646</v>
      </c>
      <c r="B38" s="32" t="s">
        <v>824</v>
      </c>
      <c r="C38" s="32" t="s">
        <v>2650</v>
      </c>
      <c r="D38" s="32"/>
      <c r="E38" s="32"/>
      <c r="F38" s="32"/>
      <c r="G38" s="32" t="s">
        <v>1727</v>
      </c>
      <c r="H38" s="35" t="s">
        <v>2651</v>
      </c>
      <c r="I38" s="31"/>
      <c r="J38" s="31"/>
      <c r="K38" s="31"/>
      <c r="L38" s="31"/>
      <c r="M38" s="31"/>
      <c r="N38" s="31"/>
      <c r="O38" s="31"/>
      <c r="P38" s="31"/>
    </row>
    <row r="39" spans="1:16" x14ac:dyDescent="0.25">
      <c r="A39" s="32" t="s">
        <v>2646</v>
      </c>
      <c r="B39" s="32" t="s">
        <v>824</v>
      </c>
      <c r="C39" s="32" t="s">
        <v>2652</v>
      </c>
      <c r="D39" s="32"/>
      <c r="E39" s="32"/>
      <c r="F39" s="32"/>
      <c r="G39" s="32"/>
      <c r="H39" s="35" t="s">
        <v>2653</v>
      </c>
      <c r="I39" s="31"/>
      <c r="J39" s="31"/>
      <c r="K39" s="31"/>
      <c r="L39" s="31"/>
      <c r="M39" s="31"/>
      <c r="N39" s="31"/>
      <c r="O39" s="31"/>
      <c r="P39" s="31"/>
    </row>
    <row r="40" spans="1:16" x14ac:dyDescent="0.25">
      <c r="A40" s="32"/>
      <c r="B40" s="32"/>
      <c r="C40" s="32"/>
      <c r="D40" s="32"/>
      <c r="E40" s="32"/>
      <c r="F40" s="32"/>
      <c r="G40" s="32"/>
      <c r="H40" s="35"/>
      <c r="I40" s="31"/>
      <c r="J40" s="31"/>
      <c r="K40" s="31"/>
      <c r="L40" s="31"/>
      <c r="M40" s="31"/>
      <c r="N40" s="31"/>
      <c r="O40" s="31"/>
      <c r="P40" s="31"/>
    </row>
    <row r="41" spans="1:16" x14ac:dyDescent="0.25">
      <c r="A41" s="32" t="s">
        <v>2654</v>
      </c>
      <c r="B41" s="32" t="s">
        <v>2655</v>
      </c>
      <c r="C41" s="32" t="s">
        <v>2656</v>
      </c>
      <c r="D41" s="32" t="s">
        <v>1721</v>
      </c>
      <c r="E41" s="32"/>
      <c r="F41" s="32"/>
      <c r="G41" s="32" t="s">
        <v>1721</v>
      </c>
      <c r="H41" s="35" t="s">
        <v>2657</v>
      </c>
      <c r="I41" s="31"/>
      <c r="J41" s="31"/>
      <c r="K41" s="31"/>
      <c r="L41" s="31"/>
      <c r="M41" s="31"/>
      <c r="N41" s="31"/>
      <c r="O41" s="31"/>
      <c r="P41" s="31"/>
    </row>
    <row r="42" spans="1:16" x14ac:dyDescent="0.25">
      <c r="A42" s="32" t="s">
        <v>2654</v>
      </c>
      <c r="B42" s="32" t="s">
        <v>2655</v>
      </c>
      <c r="C42" s="32" t="s">
        <v>2658</v>
      </c>
      <c r="D42" s="32" t="s">
        <v>1721</v>
      </c>
      <c r="E42" s="32"/>
      <c r="F42" s="32"/>
      <c r="G42" s="32" t="s">
        <v>1721</v>
      </c>
      <c r="H42" s="35"/>
      <c r="I42" s="31"/>
      <c r="J42" s="31"/>
      <c r="K42" s="31"/>
      <c r="L42" s="31"/>
      <c r="M42" s="31"/>
      <c r="N42" s="31"/>
      <c r="O42" s="31"/>
      <c r="P42" s="31"/>
    </row>
    <row r="43" spans="1:16" x14ac:dyDescent="0.25">
      <c r="A43" s="32" t="s">
        <v>2659</v>
      </c>
      <c r="B43" s="32" t="s">
        <v>2660</v>
      </c>
      <c r="C43" s="32" t="s">
        <v>2656</v>
      </c>
      <c r="D43" s="32" t="s">
        <v>1721</v>
      </c>
      <c r="E43" s="32"/>
      <c r="F43" s="32"/>
      <c r="G43" s="32" t="s">
        <v>1721</v>
      </c>
      <c r="H43" s="35"/>
      <c r="I43" s="31"/>
      <c r="J43" s="31"/>
      <c r="K43" s="31"/>
      <c r="L43" s="31"/>
      <c r="M43" s="31"/>
      <c r="N43" s="31"/>
      <c r="O43" s="31"/>
      <c r="P43" s="31"/>
    </row>
    <row r="44" spans="1:16" x14ac:dyDescent="0.25">
      <c r="A44" s="32" t="s">
        <v>2661</v>
      </c>
      <c r="B44" s="32" t="s">
        <v>2660</v>
      </c>
      <c r="C44" s="32" t="s">
        <v>2658</v>
      </c>
      <c r="D44" s="32" t="s">
        <v>1721</v>
      </c>
      <c r="E44" s="32"/>
      <c r="F44" s="32"/>
      <c r="G44" s="32" t="s">
        <v>1721</v>
      </c>
      <c r="H44" s="35" t="s">
        <v>2657</v>
      </c>
      <c r="I44" s="31"/>
      <c r="J44" s="31"/>
      <c r="K44" s="31"/>
      <c r="L44" s="31"/>
      <c r="M44" s="31"/>
      <c r="N44" s="31"/>
      <c r="O44" s="31"/>
      <c r="P44" s="31"/>
    </row>
    <row r="45" spans="1:16" x14ac:dyDescent="0.25">
      <c r="A45" s="32"/>
      <c r="B45" s="32"/>
      <c r="C45" s="32" t="s">
        <v>2662</v>
      </c>
      <c r="D45" s="32" t="s">
        <v>1721</v>
      </c>
      <c r="E45" s="32"/>
      <c r="F45" s="32"/>
      <c r="G45" s="32" t="s">
        <v>1721</v>
      </c>
      <c r="H45" s="35" t="s">
        <v>2663</v>
      </c>
      <c r="I45" s="31"/>
      <c r="J45" s="31"/>
      <c r="K45" s="31"/>
      <c r="L45" s="31"/>
      <c r="M45" s="31"/>
      <c r="N45" s="31"/>
      <c r="O45" s="31"/>
      <c r="P45" s="31"/>
    </row>
    <row r="46" spans="1:16" x14ac:dyDescent="0.25">
      <c r="A46" s="32"/>
      <c r="B46" s="32"/>
      <c r="C46" s="32"/>
      <c r="D46" s="32"/>
      <c r="E46" s="32"/>
      <c r="F46" s="32"/>
      <c r="G46" s="32"/>
      <c r="H46" s="35"/>
      <c r="I46" s="31"/>
      <c r="J46" s="31"/>
      <c r="K46" s="31"/>
      <c r="L46" s="31"/>
      <c r="M46" s="31"/>
      <c r="N46" s="31"/>
      <c r="O46" s="31"/>
      <c r="P46" s="31"/>
    </row>
    <row r="47" spans="1:16" x14ac:dyDescent="0.25">
      <c r="A47" s="32" t="s">
        <v>2664</v>
      </c>
      <c r="B47" s="32" t="s">
        <v>2665</v>
      </c>
      <c r="C47" s="32" t="s">
        <v>2666</v>
      </c>
      <c r="D47" s="32" t="s">
        <v>1721</v>
      </c>
      <c r="E47" s="32" t="s">
        <v>1721</v>
      </c>
      <c r="F47" s="32" t="s">
        <v>1721</v>
      </c>
      <c r="G47" s="32" t="s">
        <v>1721</v>
      </c>
      <c r="H47" s="35"/>
      <c r="I47" s="31"/>
      <c r="J47" s="31"/>
      <c r="K47" s="31"/>
      <c r="L47" s="31"/>
      <c r="M47" s="31"/>
      <c r="N47" s="31"/>
      <c r="O47" s="31"/>
      <c r="P47" s="31"/>
    </row>
    <row r="48" spans="1:16" x14ac:dyDescent="0.25">
      <c r="A48" s="32" t="s">
        <v>2667</v>
      </c>
      <c r="B48" s="32" t="s">
        <v>2665</v>
      </c>
      <c r="C48" s="32" t="s">
        <v>2668</v>
      </c>
      <c r="D48" s="32" t="s">
        <v>1721</v>
      </c>
      <c r="E48" s="32" t="s">
        <v>1721</v>
      </c>
      <c r="F48" s="32" t="s">
        <v>1721</v>
      </c>
      <c r="G48" s="32" t="s">
        <v>1721</v>
      </c>
      <c r="H48" s="35"/>
      <c r="I48" s="31"/>
      <c r="J48" s="31"/>
      <c r="K48" s="31"/>
      <c r="L48" s="31"/>
      <c r="M48" s="31"/>
      <c r="N48" s="31"/>
      <c r="O48" s="31"/>
      <c r="P48" s="31"/>
    </row>
    <row r="49" spans="1:16" x14ac:dyDescent="0.25">
      <c r="A49" s="32" t="s">
        <v>2669</v>
      </c>
      <c r="B49" s="32" t="s">
        <v>2665</v>
      </c>
      <c r="C49" s="32" t="s">
        <v>2670</v>
      </c>
      <c r="D49" s="32" t="s">
        <v>1721</v>
      </c>
      <c r="E49" s="32" t="s">
        <v>1721</v>
      </c>
      <c r="F49" s="32" t="s">
        <v>1721</v>
      </c>
      <c r="G49" s="32" t="s">
        <v>1721</v>
      </c>
      <c r="H49" s="35"/>
      <c r="I49" s="31"/>
      <c r="J49" s="31"/>
      <c r="K49" s="31"/>
      <c r="L49" s="31"/>
      <c r="M49" s="31"/>
      <c r="N49" s="31"/>
      <c r="O49" s="31"/>
      <c r="P49" s="31"/>
    </row>
    <row r="50" spans="1:16" x14ac:dyDescent="0.25">
      <c r="A50" s="32" t="s">
        <v>2671</v>
      </c>
      <c r="B50" s="32" t="s">
        <v>2665</v>
      </c>
      <c r="C50" s="32" t="s">
        <v>2672</v>
      </c>
      <c r="D50" s="32" t="s">
        <v>1721</v>
      </c>
      <c r="E50" s="32" t="s">
        <v>1721</v>
      </c>
      <c r="F50" s="32" t="s">
        <v>1721</v>
      </c>
      <c r="G50" s="32" t="s">
        <v>1721</v>
      </c>
      <c r="H50" s="35" t="s">
        <v>2673</v>
      </c>
      <c r="I50" s="31"/>
      <c r="J50" s="31"/>
      <c r="K50" s="31"/>
      <c r="L50" s="31"/>
      <c r="M50" s="31"/>
      <c r="N50" s="31"/>
      <c r="O50" s="31"/>
      <c r="P50" s="31"/>
    </row>
    <row r="51" spans="1:16" x14ac:dyDescent="0.25">
      <c r="A51" s="32" t="s">
        <v>2674</v>
      </c>
      <c r="B51" s="32" t="s">
        <v>2665</v>
      </c>
      <c r="C51" s="32" t="s">
        <v>2675</v>
      </c>
      <c r="D51" s="32" t="s">
        <v>1721</v>
      </c>
      <c r="E51" s="32" t="s">
        <v>1721</v>
      </c>
      <c r="F51" s="32" t="s">
        <v>1721</v>
      </c>
      <c r="G51" s="32" t="s">
        <v>1721</v>
      </c>
      <c r="H51" s="35"/>
      <c r="I51" s="31"/>
      <c r="J51" s="31"/>
      <c r="K51" s="31"/>
      <c r="L51" s="31"/>
      <c r="M51" s="31"/>
      <c r="N51" s="31"/>
      <c r="O51" s="31"/>
      <c r="P51" s="31"/>
    </row>
    <row r="52" spans="1:16" x14ac:dyDescent="0.25">
      <c r="A52" s="32" t="s">
        <v>2676</v>
      </c>
      <c r="B52" s="32" t="s">
        <v>2665</v>
      </c>
      <c r="C52" s="32" t="s">
        <v>2677</v>
      </c>
      <c r="D52" s="32" t="s">
        <v>1721</v>
      </c>
      <c r="E52" s="32" t="s">
        <v>1721</v>
      </c>
      <c r="F52" s="32" t="s">
        <v>1721</v>
      </c>
      <c r="G52" s="32" t="s">
        <v>1721</v>
      </c>
      <c r="H52" s="35"/>
      <c r="I52" s="31"/>
      <c r="J52" s="31"/>
      <c r="K52" s="31"/>
      <c r="L52" s="31"/>
      <c r="M52" s="31"/>
      <c r="N52" s="31"/>
      <c r="O52" s="31"/>
      <c r="P52" s="31"/>
    </row>
    <row r="53" spans="1:16" x14ac:dyDescent="0.25">
      <c r="A53" s="32" t="s">
        <v>2678</v>
      </c>
      <c r="B53" s="32" t="s">
        <v>2665</v>
      </c>
      <c r="C53" s="32" t="s">
        <v>2679</v>
      </c>
      <c r="D53" s="32" t="s">
        <v>1721</v>
      </c>
      <c r="E53" s="32" t="s">
        <v>1721</v>
      </c>
      <c r="F53" s="32" t="s">
        <v>1721</v>
      </c>
      <c r="G53" s="32" t="s">
        <v>1721</v>
      </c>
      <c r="H53" s="35"/>
      <c r="I53" s="31"/>
      <c r="J53" s="31"/>
      <c r="K53" s="31"/>
      <c r="L53" s="31"/>
      <c r="M53" s="31"/>
      <c r="N53" s="31"/>
      <c r="O53" s="31"/>
      <c r="P53" s="31"/>
    </row>
    <row r="54" spans="1:16" x14ac:dyDescent="0.25">
      <c r="A54" s="32" t="s">
        <v>2680</v>
      </c>
      <c r="B54" s="32" t="s">
        <v>2665</v>
      </c>
      <c r="C54" s="32" t="s">
        <v>2681</v>
      </c>
      <c r="D54" s="32" t="s">
        <v>1721</v>
      </c>
      <c r="E54" s="32" t="s">
        <v>1721</v>
      </c>
      <c r="F54" s="32" t="s">
        <v>1721</v>
      </c>
      <c r="G54" s="32" t="s">
        <v>1721</v>
      </c>
      <c r="H54" s="35"/>
      <c r="I54" s="31"/>
      <c r="J54" s="31"/>
      <c r="K54" s="31"/>
      <c r="L54" s="31"/>
      <c r="M54" s="31"/>
      <c r="N54" s="31"/>
      <c r="O54" s="31"/>
      <c r="P54" s="31"/>
    </row>
    <row r="55" spans="1:16" x14ac:dyDescent="0.25">
      <c r="A55" s="32" t="s">
        <v>2682</v>
      </c>
      <c r="B55" s="32" t="s">
        <v>2665</v>
      </c>
      <c r="C55" s="32" t="s">
        <v>2683</v>
      </c>
      <c r="D55" s="32" t="s">
        <v>1721</v>
      </c>
      <c r="E55" s="32" t="s">
        <v>1721</v>
      </c>
      <c r="F55" s="32" t="s">
        <v>1721</v>
      </c>
      <c r="G55" s="32" t="s">
        <v>1721</v>
      </c>
      <c r="H55" s="35"/>
      <c r="I55" s="31"/>
      <c r="J55" s="31"/>
      <c r="K55" s="31"/>
      <c r="L55" s="31"/>
      <c r="M55" s="31"/>
      <c r="N55" s="31"/>
      <c r="O55" s="31"/>
      <c r="P55" s="31"/>
    </row>
    <row r="56" spans="1:16" x14ac:dyDescent="0.25">
      <c r="A56" s="32" t="s">
        <v>2684</v>
      </c>
      <c r="B56" s="32" t="s">
        <v>2665</v>
      </c>
      <c r="C56" s="32" t="s">
        <v>2685</v>
      </c>
      <c r="D56" s="32" t="s">
        <v>1721</v>
      </c>
      <c r="E56" s="32" t="s">
        <v>1721</v>
      </c>
      <c r="F56" s="32" t="s">
        <v>1721</v>
      </c>
      <c r="G56" s="32" t="s">
        <v>1721</v>
      </c>
      <c r="H56" s="35"/>
      <c r="I56" s="31"/>
      <c r="J56" s="31"/>
      <c r="K56" s="31"/>
      <c r="L56" s="31"/>
      <c r="M56" s="31"/>
      <c r="N56" s="31"/>
      <c r="O56" s="31"/>
      <c r="P56" s="31"/>
    </row>
    <row r="57" spans="1:16" x14ac:dyDescent="0.25">
      <c r="A57" s="32" t="s">
        <v>2686</v>
      </c>
      <c r="B57" s="32" t="s">
        <v>2665</v>
      </c>
      <c r="C57" s="32" t="s">
        <v>2687</v>
      </c>
      <c r="D57" s="32" t="s">
        <v>1721</v>
      </c>
      <c r="E57" s="32" t="s">
        <v>1721</v>
      </c>
      <c r="F57" s="32" t="s">
        <v>1721</v>
      </c>
      <c r="G57" s="32" t="s">
        <v>1721</v>
      </c>
      <c r="H57" s="35" t="s">
        <v>2688</v>
      </c>
      <c r="I57" s="31"/>
      <c r="J57" s="31"/>
      <c r="K57" s="31"/>
      <c r="L57" s="31"/>
      <c r="M57" s="31"/>
      <c r="N57" s="31"/>
      <c r="O57" s="31"/>
      <c r="P57" s="31"/>
    </row>
    <row r="58" spans="1:16" x14ac:dyDescent="0.25">
      <c r="A58" s="32" t="s">
        <v>2689</v>
      </c>
      <c r="B58" s="32" t="s">
        <v>2665</v>
      </c>
      <c r="C58" s="32" t="s">
        <v>2690</v>
      </c>
      <c r="D58" s="32"/>
      <c r="E58" s="32"/>
      <c r="F58" s="32"/>
      <c r="G58" s="32"/>
      <c r="H58" s="35"/>
      <c r="I58" s="31"/>
      <c r="J58" s="31"/>
      <c r="K58" s="31"/>
      <c r="L58" s="31"/>
      <c r="M58" s="31"/>
      <c r="N58" s="31"/>
      <c r="O58" s="31"/>
      <c r="P58" s="31"/>
    </row>
    <row r="59" spans="1:16" x14ac:dyDescent="0.25">
      <c r="A59" s="32" t="s">
        <v>2691</v>
      </c>
      <c r="B59" s="32" t="s">
        <v>2665</v>
      </c>
      <c r="C59" s="32" t="s">
        <v>2692</v>
      </c>
      <c r="D59" s="32" t="s">
        <v>1727</v>
      </c>
      <c r="E59" s="32" t="s">
        <v>1727</v>
      </c>
      <c r="F59" s="32" t="s">
        <v>1727</v>
      </c>
      <c r="G59" s="32" t="s">
        <v>1727</v>
      </c>
      <c r="H59" s="35" t="s">
        <v>2693</v>
      </c>
      <c r="I59" s="31"/>
      <c r="J59" s="31"/>
      <c r="K59" s="31"/>
      <c r="L59" s="31"/>
      <c r="M59" s="31"/>
      <c r="N59" s="31"/>
      <c r="O59" s="31"/>
      <c r="P59" s="31"/>
    </row>
    <row r="60" spans="1:16" x14ac:dyDescent="0.25">
      <c r="A60" s="32" t="s">
        <v>2694</v>
      </c>
      <c r="B60" s="32" t="s">
        <v>2665</v>
      </c>
      <c r="C60" s="32" t="s">
        <v>2695</v>
      </c>
      <c r="D60" s="32" t="s">
        <v>1727</v>
      </c>
      <c r="E60" s="32" t="s">
        <v>1727</v>
      </c>
      <c r="F60" s="32" t="s">
        <v>1727</v>
      </c>
      <c r="G60" s="32" t="s">
        <v>1727</v>
      </c>
      <c r="H60" s="35" t="s">
        <v>2696</v>
      </c>
      <c r="I60" s="31"/>
      <c r="J60" s="31"/>
      <c r="K60" s="31"/>
      <c r="L60" s="31"/>
      <c r="M60" s="31"/>
      <c r="N60" s="31"/>
      <c r="O60" s="31"/>
      <c r="P60" s="31"/>
    </row>
    <row r="61" spans="1:16" x14ac:dyDescent="0.25">
      <c r="A61" s="32" t="s">
        <v>2697</v>
      </c>
      <c r="B61" s="32" t="s">
        <v>2665</v>
      </c>
      <c r="C61" s="32" t="s">
        <v>2698</v>
      </c>
      <c r="D61" s="32" t="s">
        <v>1721</v>
      </c>
      <c r="E61" s="32" t="s">
        <v>1721</v>
      </c>
      <c r="F61" s="32"/>
      <c r="G61" s="32" t="s">
        <v>1721</v>
      </c>
      <c r="H61" s="35"/>
      <c r="I61" s="31"/>
      <c r="J61" s="31"/>
      <c r="K61" s="31"/>
      <c r="L61" s="31"/>
      <c r="M61" s="31"/>
      <c r="N61" s="31"/>
      <c r="O61" s="31"/>
      <c r="P61" s="31"/>
    </row>
    <row r="62" spans="1:16" x14ac:dyDescent="0.25">
      <c r="A62" s="32" t="s">
        <v>2699</v>
      </c>
      <c r="B62" s="32" t="s">
        <v>2665</v>
      </c>
      <c r="C62" s="32" t="s">
        <v>2700</v>
      </c>
      <c r="D62" s="32" t="s">
        <v>1721</v>
      </c>
      <c r="E62" s="32" t="s">
        <v>1721</v>
      </c>
      <c r="F62" s="32" t="s">
        <v>1721</v>
      </c>
      <c r="G62" s="32" t="s">
        <v>1721</v>
      </c>
      <c r="H62" s="35"/>
      <c r="I62" s="32" t="s">
        <v>2701</v>
      </c>
      <c r="J62" s="31">
        <v>5432</v>
      </c>
      <c r="K62" s="31"/>
      <c r="L62" s="31"/>
      <c r="M62" s="31"/>
      <c r="N62" s="31"/>
      <c r="O62" s="31"/>
      <c r="P62" s="31"/>
    </row>
    <row r="63" spans="1:16" x14ac:dyDescent="0.25">
      <c r="A63" s="32" t="s">
        <v>2702</v>
      </c>
      <c r="B63" s="32" t="s">
        <v>2665</v>
      </c>
      <c r="C63" s="32" t="s">
        <v>2703</v>
      </c>
      <c r="D63" s="32" t="s">
        <v>2704</v>
      </c>
      <c r="E63" s="32" t="s">
        <v>2704</v>
      </c>
      <c r="F63" s="32" t="s">
        <v>2704</v>
      </c>
      <c r="G63" s="32" t="s">
        <v>2704</v>
      </c>
      <c r="H63" s="35"/>
      <c r="I63" s="34" t="s">
        <v>2705</v>
      </c>
      <c r="J63" s="31">
        <v>21</v>
      </c>
      <c r="K63" s="31"/>
      <c r="L63" s="31"/>
      <c r="M63" s="31"/>
      <c r="N63" s="31"/>
      <c r="O63" s="31"/>
      <c r="P63" s="31"/>
    </row>
    <row r="64" spans="1:16" x14ac:dyDescent="0.25">
      <c r="A64" s="32" t="s">
        <v>2706</v>
      </c>
      <c r="B64" s="32" t="s">
        <v>2665</v>
      </c>
      <c r="C64" s="32" t="s">
        <v>2707</v>
      </c>
      <c r="D64" s="32"/>
      <c r="E64" s="32"/>
      <c r="F64" s="32"/>
      <c r="G64" s="32"/>
      <c r="H64" s="35"/>
      <c r="I64" s="34" t="s">
        <v>2708</v>
      </c>
      <c r="J64" s="31">
        <v>56</v>
      </c>
      <c r="K64" s="31"/>
      <c r="L64" s="31"/>
      <c r="M64" s="31"/>
      <c r="N64" s="31"/>
      <c r="O64" s="31"/>
      <c r="P64" s="31"/>
    </row>
    <row r="65" spans="1:16" x14ac:dyDescent="0.25">
      <c r="A65" s="32"/>
      <c r="B65" s="32"/>
      <c r="C65" s="32"/>
      <c r="D65" s="32"/>
      <c r="E65" s="32"/>
      <c r="F65" s="32"/>
      <c r="G65" s="32"/>
      <c r="H65" s="35"/>
      <c r="I65" s="31"/>
      <c r="J65" s="31"/>
      <c r="K65" s="31"/>
      <c r="L65" s="31"/>
      <c r="M65" s="31"/>
      <c r="N65" s="31"/>
      <c r="O65" s="31"/>
      <c r="P65" s="31"/>
    </row>
    <row r="66" spans="1:16" x14ac:dyDescent="0.25">
      <c r="A66" s="32"/>
      <c r="B66" s="32" t="s">
        <v>2709</v>
      </c>
      <c r="C66" s="32" t="s">
        <v>2644</v>
      </c>
      <c r="D66" s="32" t="s">
        <v>1721</v>
      </c>
      <c r="E66" s="32" t="s">
        <v>1721</v>
      </c>
      <c r="F66" s="32" t="s">
        <v>1721</v>
      </c>
      <c r="G66" s="32" t="s">
        <v>1721</v>
      </c>
      <c r="H66" s="35" t="s">
        <v>2710</v>
      </c>
      <c r="I66" s="31"/>
      <c r="J66" s="31"/>
      <c r="K66" s="31"/>
      <c r="L66" s="31"/>
      <c r="M66" s="31"/>
      <c r="N66" s="31"/>
      <c r="O66" s="31"/>
      <c r="P66" s="31"/>
    </row>
    <row r="67" spans="1:16" x14ac:dyDescent="0.25">
      <c r="A67" s="32"/>
      <c r="B67" s="32"/>
      <c r="C67" s="32"/>
      <c r="D67" s="32"/>
      <c r="E67" s="32"/>
      <c r="F67" s="32"/>
      <c r="G67" s="32"/>
      <c r="H67" s="35"/>
      <c r="I67" s="31"/>
      <c r="J67" s="31"/>
      <c r="K67" s="31"/>
      <c r="L67" s="31"/>
      <c r="M67" s="31"/>
      <c r="N67" s="31"/>
      <c r="O67" s="31"/>
      <c r="P67" s="31"/>
    </row>
    <row r="68" spans="1:16" x14ac:dyDescent="0.25">
      <c r="A68" s="31" t="s">
        <v>1236</v>
      </c>
      <c r="B68" s="33" t="s">
        <v>1167</v>
      </c>
      <c r="C68" s="32" t="s">
        <v>2711</v>
      </c>
      <c r="D68" s="32" t="s">
        <v>1721</v>
      </c>
      <c r="E68" s="32" t="s">
        <v>1721</v>
      </c>
      <c r="F68" s="32" t="s">
        <v>1721</v>
      </c>
      <c r="G68" s="32" t="s">
        <v>2644</v>
      </c>
      <c r="H68" s="35"/>
      <c r="I68" s="31"/>
      <c r="J68" s="31"/>
      <c r="K68" s="31"/>
      <c r="L68" s="31"/>
      <c r="M68" s="31"/>
      <c r="N68" s="31"/>
      <c r="O68" s="31"/>
      <c r="P68" s="31"/>
    </row>
    <row r="69" spans="1:16" x14ac:dyDescent="0.25">
      <c r="A69" s="31" t="s">
        <v>1236</v>
      </c>
      <c r="B69" s="33" t="s">
        <v>1167</v>
      </c>
      <c r="C69" s="32" t="s">
        <v>2712</v>
      </c>
      <c r="D69" s="32" t="s">
        <v>1721</v>
      </c>
      <c r="E69" s="32" t="s">
        <v>1721</v>
      </c>
      <c r="F69" s="32" t="s">
        <v>1721</v>
      </c>
      <c r="G69" s="32" t="s">
        <v>2644</v>
      </c>
      <c r="H69" s="35"/>
      <c r="I69" s="31"/>
      <c r="J69" s="31"/>
      <c r="K69" s="31"/>
      <c r="L69" s="31"/>
      <c r="M69" s="31"/>
      <c r="N69" s="31"/>
      <c r="O69" s="31"/>
      <c r="P69" s="31"/>
    </row>
    <row r="70" spans="1:16" x14ac:dyDescent="0.25">
      <c r="A70" s="31" t="s">
        <v>1236</v>
      </c>
      <c r="B70" s="33" t="s">
        <v>1167</v>
      </c>
      <c r="C70" s="32" t="s">
        <v>2713</v>
      </c>
      <c r="D70" s="32" t="s">
        <v>1721</v>
      </c>
      <c r="E70" s="32" t="s">
        <v>1727</v>
      </c>
      <c r="F70" s="32" t="s">
        <v>1721</v>
      </c>
      <c r="G70" s="32" t="s">
        <v>2644</v>
      </c>
      <c r="H70" s="35"/>
      <c r="I70" s="31"/>
      <c r="J70" s="31"/>
      <c r="K70" s="31"/>
      <c r="L70" s="31"/>
      <c r="M70" s="31"/>
      <c r="N70" s="31"/>
      <c r="O70" s="31"/>
      <c r="P70" s="31"/>
    </row>
    <row r="71" spans="1:16" x14ac:dyDescent="0.25">
      <c r="A71" s="31" t="s">
        <v>1236</v>
      </c>
      <c r="B71" s="33" t="s">
        <v>1167</v>
      </c>
      <c r="C71" s="32" t="s">
        <v>2714</v>
      </c>
      <c r="D71" s="32" t="s">
        <v>1727</v>
      </c>
      <c r="E71" s="32" t="s">
        <v>1721</v>
      </c>
      <c r="F71" s="32" t="s">
        <v>1721</v>
      </c>
      <c r="G71" s="32" t="s">
        <v>2644</v>
      </c>
      <c r="H71" s="35"/>
      <c r="I71" s="31"/>
      <c r="J71" s="31"/>
      <c r="K71" s="31"/>
      <c r="L71" s="31"/>
      <c r="M71" s="31"/>
      <c r="N71" s="31"/>
      <c r="O71" s="31"/>
      <c r="P71" s="31"/>
    </row>
    <row r="72" spans="1:16" x14ac:dyDescent="0.25">
      <c r="A72" s="31" t="s">
        <v>1236</v>
      </c>
      <c r="B72" s="33" t="s">
        <v>1167</v>
      </c>
      <c r="C72" s="32" t="s">
        <v>2715</v>
      </c>
      <c r="D72" s="32" t="s">
        <v>1721</v>
      </c>
      <c r="E72" s="32" t="s">
        <v>1721</v>
      </c>
      <c r="F72" s="32" t="s">
        <v>1721</v>
      </c>
      <c r="G72" s="32" t="s">
        <v>2644</v>
      </c>
      <c r="H72" s="35"/>
      <c r="I72" s="31"/>
      <c r="J72" s="31"/>
      <c r="K72" s="31"/>
      <c r="L72" s="31"/>
      <c r="M72" s="31"/>
      <c r="N72" s="31"/>
      <c r="O72" s="31"/>
      <c r="P72" s="31"/>
    </row>
    <row r="73" spans="1:16" x14ac:dyDescent="0.25">
      <c r="A73" s="31" t="s">
        <v>1236</v>
      </c>
      <c r="B73" s="33" t="s">
        <v>1167</v>
      </c>
      <c r="C73" s="32" t="s">
        <v>2716</v>
      </c>
      <c r="D73" s="32" t="s">
        <v>1721</v>
      </c>
      <c r="E73" s="32" t="s">
        <v>1721</v>
      </c>
      <c r="F73" s="32" t="s">
        <v>1721</v>
      </c>
      <c r="G73" s="32" t="s">
        <v>2644</v>
      </c>
      <c r="H73" s="35"/>
      <c r="I73" s="31"/>
      <c r="J73" s="31"/>
      <c r="K73" s="31"/>
      <c r="L73" s="31"/>
      <c r="M73" s="31"/>
      <c r="N73" s="31"/>
      <c r="O73" s="31"/>
      <c r="P73" s="31"/>
    </row>
    <row r="74" spans="1:16" x14ac:dyDescent="0.25">
      <c r="A74" s="31" t="s">
        <v>1236</v>
      </c>
      <c r="B74" s="33" t="s">
        <v>1167</v>
      </c>
      <c r="C74" s="32" t="s">
        <v>2717</v>
      </c>
      <c r="D74" s="32" t="s">
        <v>1721</v>
      </c>
      <c r="E74" s="32" t="s">
        <v>1721</v>
      </c>
      <c r="F74" s="32" t="s">
        <v>1721</v>
      </c>
      <c r="G74" s="32" t="s">
        <v>2644</v>
      </c>
      <c r="H74" s="35"/>
      <c r="I74" s="31"/>
      <c r="J74" s="31"/>
      <c r="K74" s="31"/>
      <c r="L74" s="31"/>
      <c r="M74" s="31"/>
      <c r="N74" s="31"/>
      <c r="O74" s="31"/>
      <c r="P74" s="31"/>
    </row>
    <row r="75" spans="1:16" x14ac:dyDescent="0.25">
      <c r="A75" s="31" t="s">
        <v>1236</v>
      </c>
      <c r="B75" s="33" t="s">
        <v>1167</v>
      </c>
      <c r="C75" s="32" t="s">
        <v>2718</v>
      </c>
      <c r="D75" s="32" t="s">
        <v>1721</v>
      </c>
      <c r="E75" s="32" t="s">
        <v>1721</v>
      </c>
      <c r="F75" s="32" t="s">
        <v>1721</v>
      </c>
      <c r="G75" s="32" t="s">
        <v>2644</v>
      </c>
      <c r="H75" s="35"/>
      <c r="I75" s="31"/>
      <c r="J75" s="31"/>
      <c r="K75" s="31"/>
      <c r="L75" s="31"/>
      <c r="M75" s="31"/>
      <c r="N75" s="31"/>
      <c r="O75" s="31"/>
      <c r="P75" s="31"/>
    </row>
    <row r="76" spans="1:16" x14ac:dyDescent="0.25">
      <c r="A76" s="31" t="s">
        <v>1236</v>
      </c>
      <c r="B76" s="33" t="s">
        <v>1167</v>
      </c>
      <c r="C76" s="32" t="s">
        <v>2719</v>
      </c>
      <c r="D76" s="32" t="s">
        <v>1721</v>
      </c>
      <c r="E76" s="32" t="s">
        <v>1727</v>
      </c>
      <c r="F76" s="32" t="s">
        <v>1721</v>
      </c>
      <c r="G76" s="32" t="s">
        <v>2644</v>
      </c>
      <c r="H76" s="35"/>
      <c r="I76" s="31"/>
      <c r="J76" s="31"/>
      <c r="K76" s="31"/>
      <c r="L76" s="31"/>
      <c r="M76" s="31"/>
      <c r="N76" s="31"/>
      <c r="O76" s="31"/>
      <c r="P76" s="31"/>
    </row>
    <row r="77" spans="1:16" x14ac:dyDescent="0.25">
      <c r="A77" s="31" t="s">
        <v>1236</v>
      </c>
      <c r="B77" s="33" t="s">
        <v>1167</v>
      </c>
      <c r="C77" s="32" t="s">
        <v>2720</v>
      </c>
      <c r="D77" s="32" t="s">
        <v>1727</v>
      </c>
      <c r="E77" s="32" t="s">
        <v>1721</v>
      </c>
      <c r="F77" s="32" t="s">
        <v>1721</v>
      </c>
      <c r="G77" s="32" t="s">
        <v>2644</v>
      </c>
      <c r="H77" s="35"/>
      <c r="I77" s="31"/>
      <c r="J77" s="31"/>
      <c r="K77" s="31"/>
      <c r="L77" s="31"/>
      <c r="M77" s="31"/>
      <c r="N77" s="31"/>
      <c r="O77" s="31"/>
      <c r="P77" s="31"/>
    </row>
    <row r="78" spans="1:16" x14ac:dyDescent="0.25">
      <c r="A78" s="31" t="s">
        <v>1236</v>
      </c>
      <c r="B78" s="33" t="s">
        <v>1167</v>
      </c>
      <c r="C78" s="32" t="s">
        <v>2721</v>
      </c>
      <c r="D78" s="32" t="s">
        <v>1727</v>
      </c>
      <c r="E78" s="32" t="s">
        <v>1721</v>
      </c>
      <c r="F78" s="32" t="s">
        <v>1721</v>
      </c>
      <c r="G78" s="32" t="s">
        <v>2644</v>
      </c>
      <c r="H78" s="35"/>
      <c r="I78" s="31"/>
      <c r="J78" s="31"/>
      <c r="K78" s="31"/>
      <c r="L78" s="31"/>
      <c r="M78" s="31"/>
      <c r="N78" s="31"/>
      <c r="O78" s="31"/>
      <c r="P78" s="31"/>
    </row>
    <row r="79" spans="1:16" x14ac:dyDescent="0.25">
      <c r="A79" s="31" t="s">
        <v>1236</v>
      </c>
      <c r="B79" s="33" t="s">
        <v>1167</v>
      </c>
      <c r="C79" s="32" t="s">
        <v>2722</v>
      </c>
      <c r="D79" s="32" t="s">
        <v>1727</v>
      </c>
      <c r="E79" s="32" t="s">
        <v>1721</v>
      </c>
      <c r="F79" s="32" t="s">
        <v>1721</v>
      </c>
      <c r="G79" s="32" t="s">
        <v>2644</v>
      </c>
      <c r="H79" s="35"/>
      <c r="I79" s="31"/>
      <c r="J79" s="31"/>
      <c r="K79" s="31"/>
      <c r="L79" s="31"/>
      <c r="M79" s="31"/>
      <c r="N79" s="31"/>
      <c r="O79" s="31"/>
      <c r="P79" s="31"/>
    </row>
    <row r="80" spans="1:16" x14ac:dyDescent="0.25">
      <c r="A80" s="32"/>
      <c r="B80" s="32"/>
      <c r="C80" s="32"/>
      <c r="D80" s="32"/>
      <c r="E80" s="32"/>
      <c r="F80" s="32"/>
      <c r="G80" s="32"/>
      <c r="H80" s="35"/>
      <c r="I80" s="31"/>
      <c r="J80" s="31"/>
      <c r="K80" s="31"/>
      <c r="L80" s="31"/>
      <c r="M80" s="31"/>
      <c r="N80" s="31"/>
      <c r="O80" s="31"/>
      <c r="P80" s="31"/>
    </row>
    <row r="81" spans="1:16" x14ac:dyDescent="0.25">
      <c r="A81" s="31" t="s">
        <v>973</v>
      </c>
      <c r="B81" s="31" t="s">
        <v>972</v>
      </c>
      <c r="C81" s="32" t="s">
        <v>2723</v>
      </c>
      <c r="D81" s="32" t="s">
        <v>1727</v>
      </c>
      <c r="E81" s="32"/>
      <c r="F81" s="32"/>
      <c r="G81" s="32" t="s">
        <v>1721</v>
      </c>
      <c r="H81" s="35" t="s">
        <v>2767</v>
      </c>
      <c r="I81" s="31"/>
      <c r="J81" s="31"/>
      <c r="K81" s="31"/>
      <c r="L81" s="31"/>
      <c r="M81" s="31"/>
      <c r="N81" s="31"/>
      <c r="O81" s="31"/>
      <c r="P81" s="31"/>
    </row>
    <row r="82" spans="1:16" x14ac:dyDescent="0.25">
      <c r="A82" s="31" t="s">
        <v>2724</v>
      </c>
      <c r="B82" s="31" t="s">
        <v>972</v>
      </c>
      <c r="C82" s="32" t="s">
        <v>2725</v>
      </c>
      <c r="D82" s="32" t="s">
        <v>1727</v>
      </c>
      <c r="E82" s="32"/>
      <c r="F82" s="32"/>
      <c r="G82" s="32" t="s">
        <v>1721</v>
      </c>
      <c r="H82" s="35" t="s">
        <v>2768</v>
      </c>
      <c r="I82" s="31"/>
      <c r="J82" s="31"/>
      <c r="K82" s="31"/>
      <c r="L82" s="31"/>
      <c r="M82" s="31"/>
      <c r="N82" s="31"/>
      <c r="O82" s="31"/>
      <c r="P82" s="31"/>
    </row>
    <row r="83" spans="1:16" x14ac:dyDescent="0.25">
      <c r="A83" s="31" t="s">
        <v>2726</v>
      </c>
      <c r="B83" s="31" t="s">
        <v>972</v>
      </c>
      <c r="C83" s="32" t="s">
        <v>2727</v>
      </c>
      <c r="D83" s="32" t="s">
        <v>1721</v>
      </c>
      <c r="E83" s="32"/>
      <c r="F83" s="32" t="s">
        <v>1721</v>
      </c>
      <c r="G83" s="32" t="s">
        <v>1721</v>
      </c>
      <c r="H83" s="35"/>
      <c r="I83" s="31"/>
      <c r="J83" s="31"/>
      <c r="K83" s="31"/>
      <c r="L83" s="31"/>
      <c r="M83" s="31"/>
      <c r="N83" s="31"/>
      <c r="O83" s="31"/>
      <c r="P83" s="31"/>
    </row>
    <row r="84" spans="1:16" x14ac:dyDescent="0.25">
      <c r="A84" s="31" t="s">
        <v>2728</v>
      </c>
      <c r="B84" s="31" t="s">
        <v>972</v>
      </c>
      <c r="C84" s="32" t="s">
        <v>2729</v>
      </c>
      <c r="D84" s="32" t="s">
        <v>1721</v>
      </c>
      <c r="E84" s="32" t="s">
        <v>1727</v>
      </c>
      <c r="F84" s="32" t="s">
        <v>1721</v>
      </c>
      <c r="G84" s="32" t="s">
        <v>1721</v>
      </c>
      <c r="H84" s="35" t="s">
        <v>2763</v>
      </c>
      <c r="I84" s="31"/>
      <c r="J84" s="31"/>
      <c r="K84" s="31"/>
      <c r="L84" s="31"/>
      <c r="M84" s="31"/>
      <c r="N84" s="31"/>
      <c r="O84" s="31"/>
      <c r="P84" s="31"/>
    </row>
    <row r="85" spans="1:16" x14ac:dyDescent="0.25">
      <c r="A85" s="31" t="s">
        <v>2730</v>
      </c>
      <c r="B85" s="31" t="s">
        <v>972</v>
      </c>
      <c r="C85" s="32" t="s">
        <v>2731</v>
      </c>
      <c r="D85" s="32" t="s">
        <v>1721</v>
      </c>
      <c r="E85" s="32"/>
      <c r="F85" s="32" t="s">
        <v>1721</v>
      </c>
      <c r="G85" s="32" t="s">
        <v>1721</v>
      </c>
      <c r="H85" s="35"/>
      <c r="I85" s="31"/>
      <c r="J85" s="31"/>
      <c r="K85" s="31"/>
      <c r="L85" s="31"/>
      <c r="M85" s="31"/>
      <c r="N85" s="31"/>
      <c r="O85" s="31"/>
      <c r="P85" s="31"/>
    </row>
    <row r="86" spans="1:16" x14ac:dyDescent="0.25">
      <c r="A86" s="31" t="s">
        <v>2732</v>
      </c>
      <c r="B86" s="31" t="s">
        <v>972</v>
      </c>
      <c r="C86" s="32" t="s">
        <v>2733</v>
      </c>
      <c r="D86" s="32"/>
      <c r="E86" s="32" t="s">
        <v>1727</v>
      </c>
      <c r="F86" s="32" t="s">
        <v>1721</v>
      </c>
      <c r="G86" s="32" t="s">
        <v>1721</v>
      </c>
      <c r="H86" s="35" t="s">
        <v>2762</v>
      </c>
      <c r="I86" s="31"/>
      <c r="J86" s="31"/>
      <c r="K86" s="31"/>
      <c r="L86" s="31"/>
      <c r="M86" s="31"/>
      <c r="N86" s="31"/>
      <c r="O86" s="31"/>
      <c r="P86" s="31"/>
    </row>
    <row r="87" spans="1:16" x14ac:dyDescent="0.25">
      <c r="A87" s="31" t="s">
        <v>2734</v>
      </c>
      <c r="B87" s="31" t="s">
        <v>972</v>
      </c>
      <c r="C87" s="32" t="s">
        <v>2735</v>
      </c>
      <c r="D87" s="32" t="s">
        <v>2474</v>
      </c>
      <c r="E87" s="32"/>
      <c r="F87" s="32"/>
      <c r="G87" s="32" t="s">
        <v>1721</v>
      </c>
      <c r="H87" s="35"/>
      <c r="I87" s="31"/>
      <c r="J87" s="31"/>
      <c r="K87" s="31"/>
      <c r="L87" s="31"/>
      <c r="M87" s="31"/>
      <c r="N87" s="31"/>
      <c r="O87" s="31"/>
      <c r="P87" s="31"/>
    </row>
    <row r="88" spans="1:16" x14ac:dyDescent="0.25">
      <c r="A88" s="31" t="s">
        <v>2736</v>
      </c>
      <c r="B88" s="31" t="s">
        <v>972</v>
      </c>
      <c r="C88" s="32" t="s">
        <v>2737</v>
      </c>
      <c r="D88" s="32" t="s">
        <v>1721</v>
      </c>
      <c r="E88" s="32"/>
      <c r="F88" s="32" t="s">
        <v>1721</v>
      </c>
      <c r="G88" s="32" t="s">
        <v>1721</v>
      </c>
      <c r="H88" s="35"/>
      <c r="I88" s="31"/>
      <c r="J88" s="31"/>
      <c r="K88" s="31"/>
      <c r="L88" s="31"/>
      <c r="M88" s="31"/>
      <c r="N88" s="31"/>
      <c r="O88" s="31"/>
      <c r="P88" s="31"/>
    </row>
    <row r="89" spans="1:16" x14ac:dyDescent="0.25">
      <c r="A89" s="31" t="s">
        <v>2738</v>
      </c>
      <c r="B89" s="31" t="s">
        <v>972</v>
      </c>
      <c r="C89" s="32" t="s">
        <v>2739</v>
      </c>
      <c r="D89" s="32"/>
      <c r="E89" s="32"/>
      <c r="F89" s="32" t="s">
        <v>1727</v>
      </c>
      <c r="G89" s="32" t="s">
        <v>1721</v>
      </c>
      <c r="H89" s="35"/>
      <c r="I89" s="31"/>
      <c r="J89" s="31"/>
      <c r="K89" s="31"/>
      <c r="L89" s="31"/>
      <c r="M89" s="31"/>
      <c r="N89" s="31"/>
      <c r="O89" s="31"/>
      <c r="P89" s="31"/>
    </row>
    <row r="90" spans="1:16" x14ac:dyDescent="0.25">
      <c r="A90" s="31" t="s">
        <v>2740</v>
      </c>
      <c r="B90" s="31" t="s">
        <v>972</v>
      </c>
      <c r="C90" s="32" t="s">
        <v>2741</v>
      </c>
      <c r="D90" s="32"/>
      <c r="E90" s="32"/>
      <c r="F90" s="32" t="s">
        <v>1727</v>
      </c>
      <c r="G90" s="32" t="s">
        <v>1721</v>
      </c>
      <c r="H90" s="35" t="s">
        <v>2769</v>
      </c>
      <c r="I90" s="31"/>
      <c r="J90" s="31"/>
      <c r="K90" s="31"/>
      <c r="L90" s="31"/>
      <c r="M90" s="31"/>
      <c r="N90" s="31"/>
      <c r="O90" s="31"/>
      <c r="P90" s="31"/>
    </row>
    <row r="91" spans="1:16" x14ac:dyDescent="0.25">
      <c r="A91" s="31" t="s">
        <v>2742</v>
      </c>
      <c r="B91" s="31" t="s">
        <v>972</v>
      </c>
      <c r="C91" s="32" t="s">
        <v>2743</v>
      </c>
      <c r="D91" s="32"/>
      <c r="E91" s="32"/>
      <c r="F91" s="32" t="s">
        <v>1727</v>
      </c>
      <c r="G91" s="32" t="s">
        <v>1721</v>
      </c>
      <c r="H91" s="35"/>
      <c r="I91" s="31"/>
      <c r="J91" s="31"/>
      <c r="K91" s="31"/>
      <c r="L91" s="31"/>
      <c r="M91" s="31"/>
      <c r="N91" s="31"/>
      <c r="O91" s="31"/>
      <c r="P91" s="31"/>
    </row>
    <row r="92" spans="1:16" x14ac:dyDescent="0.25">
      <c r="A92" s="31" t="s">
        <v>2744</v>
      </c>
      <c r="B92" s="31" t="s">
        <v>972</v>
      </c>
      <c r="C92" s="32" t="s">
        <v>2745</v>
      </c>
      <c r="D92" s="32"/>
      <c r="E92" s="32"/>
      <c r="F92" s="32"/>
      <c r="G92" s="32" t="s">
        <v>1721</v>
      </c>
      <c r="H92" s="35"/>
      <c r="I92" s="31"/>
      <c r="J92" s="31"/>
      <c r="K92" s="31"/>
      <c r="L92" s="31"/>
      <c r="M92" s="31"/>
      <c r="N92" s="31"/>
      <c r="O92" s="31"/>
      <c r="P92" s="31"/>
    </row>
    <row r="93" spans="1:16" x14ac:dyDescent="0.25">
      <c r="A93" s="31" t="s">
        <v>2746</v>
      </c>
      <c r="B93" s="31" t="s">
        <v>972</v>
      </c>
      <c r="C93" s="32" t="s">
        <v>2747</v>
      </c>
      <c r="D93" s="32"/>
      <c r="E93" s="32"/>
      <c r="F93" s="32"/>
      <c r="G93" s="32" t="s">
        <v>1721</v>
      </c>
      <c r="H93" s="35"/>
      <c r="I93" s="31"/>
      <c r="J93" s="31"/>
      <c r="K93" s="31"/>
      <c r="L93" s="31"/>
      <c r="M93" s="31"/>
      <c r="N93" s="31"/>
      <c r="O93" s="31"/>
      <c r="P93" s="31"/>
    </row>
    <row r="94" spans="1:16" x14ac:dyDescent="0.25">
      <c r="A94" s="31" t="s">
        <v>2748</v>
      </c>
      <c r="B94" s="31" t="s">
        <v>972</v>
      </c>
      <c r="C94" s="32" t="s">
        <v>2749</v>
      </c>
      <c r="D94" s="32"/>
      <c r="E94" s="32"/>
      <c r="F94" s="32"/>
      <c r="G94" s="32" t="s">
        <v>2474</v>
      </c>
      <c r="H94" s="35" t="s">
        <v>2766</v>
      </c>
      <c r="I94" s="31"/>
      <c r="J94" s="31"/>
      <c r="K94" s="31"/>
      <c r="L94" s="31"/>
      <c r="M94" s="31"/>
      <c r="N94" s="31"/>
      <c r="O94" s="31"/>
      <c r="P94" s="31"/>
    </row>
    <row r="95" spans="1:16" x14ac:dyDescent="0.25">
      <c r="A95" s="31" t="s">
        <v>2750</v>
      </c>
      <c r="B95" s="31" t="s">
        <v>972</v>
      </c>
      <c r="C95" s="32" t="s">
        <v>2764</v>
      </c>
      <c r="D95" s="32"/>
      <c r="E95" s="32"/>
      <c r="F95" s="32" t="s">
        <v>1721</v>
      </c>
      <c r="G95" s="32"/>
      <c r="H95" s="35"/>
      <c r="I95" s="31"/>
      <c r="J95" s="31"/>
      <c r="K95" s="31"/>
      <c r="L95" s="31"/>
      <c r="M95" s="31"/>
      <c r="N95" s="31"/>
      <c r="O95" s="31"/>
      <c r="P95" s="31"/>
    </row>
    <row r="96" spans="1:16" x14ac:dyDescent="0.25">
      <c r="A96" s="31" t="s">
        <v>2751</v>
      </c>
      <c r="B96" s="31" t="s">
        <v>972</v>
      </c>
      <c r="C96" s="32" t="s">
        <v>2765</v>
      </c>
      <c r="D96" s="32"/>
      <c r="E96" s="32"/>
      <c r="F96" s="32" t="s">
        <v>1721</v>
      </c>
      <c r="G96" s="32"/>
      <c r="H96" s="35"/>
      <c r="I96" s="31"/>
      <c r="J96" s="31"/>
      <c r="K96" s="31"/>
      <c r="L96" s="31"/>
      <c r="M96" s="31"/>
      <c r="N96" s="31"/>
      <c r="O96" s="31"/>
      <c r="P96" s="31"/>
    </row>
    <row r="97" spans="1:16" x14ac:dyDescent="0.25">
      <c r="A97" s="31" t="s">
        <v>2752</v>
      </c>
      <c r="B97" s="31"/>
      <c r="C97" s="32"/>
      <c r="D97" s="32"/>
      <c r="E97" s="32"/>
      <c r="F97" s="32"/>
      <c r="G97" s="32"/>
      <c r="H97" s="35"/>
      <c r="I97" s="31"/>
      <c r="J97" s="31"/>
      <c r="K97" s="31"/>
      <c r="L97" s="31"/>
      <c r="M97" s="31"/>
      <c r="N97" s="31"/>
      <c r="O97" s="31"/>
      <c r="P97" s="31"/>
    </row>
    <row r="98" spans="1:16" x14ac:dyDescent="0.25">
      <c r="A98" s="31" t="s">
        <v>2753</v>
      </c>
      <c r="B98" s="31" t="s">
        <v>2770</v>
      </c>
      <c r="C98" s="32" t="s">
        <v>2668</v>
      </c>
      <c r="D98" s="32"/>
      <c r="E98" s="32"/>
      <c r="F98" s="32"/>
      <c r="G98" s="32"/>
      <c r="H98" s="35"/>
      <c r="I98" s="31"/>
      <c r="J98" s="31"/>
      <c r="K98" s="31"/>
      <c r="L98" s="31"/>
      <c r="M98" s="31"/>
      <c r="N98" s="31"/>
      <c r="O98" s="31"/>
      <c r="P98" s="31"/>
    </row>
    <row r="99" spans="1:16" x14ac:dyDescent="0.25">
      <c r="A99" s="31" t="s">
        <v>2754</v>
      </c>
      <c r="B99" s="31" t="s">
        <v>2770</v>
      </c>
      <c r="C99" s="32" t="s">
        <v>2670</v>
      </c>
      <c r="D99" s="32"/>
      <c r="E99" s="32"/>
      <c r="F99" s="32"/>
      <c r="G99" s="32"/>
      <c r="H99" s="35"/>
      <c r="I99" s="31"/>
      <c r="J99" s="31"/>
      <c r="K99" s="31"/>
      <c r="L99" s="31"/>
      <c r="M99" s="31"/>
      <c r="N99" s="31"/>
      <c r="O99" s="31"/>
      <c r="P99" s="31"/>
    </row>
    <row r="100" spans="1:16" x14ac:dyDescent="0.25">
      <c r="A100" s="31" t="s">
        <v>2755</v>
      </c>
      <c r="B100" s="31" t="s">
        <v>2770</v>
      </c>
      <c r="C100" s="32" t="s">
        <v>2672</v>
      </c>
      <c r="D100" s="32"/>
      <c r="E100" s="32"/>
      <c r="F100" s="32"/>
      <c r="G100" s="32"/>
      <c r="H100" s="35"/>
      <c r="I100" s="31"/>
      <c r="J100" s="31"/>
      <c r="K100" s="31"/>
      <c r="L100" s="31"/>
      <c r="M100" s="31"/>
      <c r="N100" s="31"/>
      <c r="O100" s="31"/>
      <c r="P100" s="31"/>
    </row>
    <row r="101" spans="1:16" x14ac:dyDescent="0.25">
      <c r="A101" s="31" t="s">
        <v>2756</v>
      </c>
      <c r="B101" s="31" t="s">
        <v>2770</v>
      </c>
      <c r="C101" s="32" t="s">
        <v>2675</v>
      </c>
      <c r="D101" s="32"/>
      <c r="E101" s="32"/>
      <c r="F101" s="32"/>
      <c r="G101" s="32"/>
      <c r="H101" s="35"/>
      <c r="I101" s="31"/>
      <c r="J101" s="31"/>
      <c r="K101" s="31"/>
      <c r="L101" s="31"/>
      <c r="M101" s="31"/>
      <c r="N101" s="31"/>
      <c r="O101" s="31"/>
      <c r="P101" s="31"/>
    </row>
    <row r="102" spans="1:16" x14ac:dyDescent="0.25">
      <c r="A102" s="31" t="s">
        <v>2757</v>
      </c>
      <c r="B102" s="31" t="s">
        <v>2770</v>
      </c>
      <c r="C102" s="32" t="s">
        <v>2677</v>
      </c>
      <c r="D102" s="32"/>
      <c r="E102" s="32"/>
      <c r="F102" s="32"/>
      <c r="G102" s="32"/>
      <c r="H102" s="35"/>
      <c r="I102" s="31"/>
      <c r="J102" s="31"/>
      <c r="K102" s="31"/>
      <c r="L102" s="31"/>
      <c r="M102" s="31"/>
      <c r="N102" s="31"/>
      <c r="O102" s="31"/>
      <c r="P102" s="31"/>
    </row>
    <row r="103" spans="1:16" x14ac:dyDescent="0.25">
      <c r="A103" s="31" t="s">
        <v>2758</v>
      </c>
      <c r="B103" s="31" t="s">
        <v>2770</v>
      </c>
      <c r="C103" s="32" t="s">
        <v>2679</v>
      </c>
      <c r="D103" s="32"/>
      <c r="E103" s="32"/>
      <c r="F103" s="32"/>
      <c r="G103" s="32"/>
      <c r="H103" s="35"/>
      <c r="I103" s="31"/>
      <c r="J103" s="31"/>
      <c r="K103" s="31"/>
      <c r="L103" s="31"/>
      <c r="M103" s="31"/>
      <c r="N103" s="31"/>
      <c r="O103" s="31"/>
      <c r="P103" s="31"/>
    </row>
    <row r="104" spans="1:16" x14ac:dyDescent="0.25">
      <c r="A104" s="31" t="s">
        <v>2759</v>
      </c>
      <c r="B104" s="31" t="s">
        <v>2770</v>
      </c>
      <c r="C104" s="32" t="s">
        <v>2681</v>
      </c>
      <c r="D104" s="32"/>
      <c r="E104" s="32"/>
      <c r="F104" s="32"/>
      <c r="G104" s="32"/>
      <c r="H104" s="35"/>
      <c r="I104" s="31"/>
      <c r="J104" s="31"/>
      <c r="K104" s="31"/>
      <c r="L104" s="31"/>
      <c r="M104" s="31"/>
      <c r="N104" s="31"/>
      <c r="O104" s="31"/>
      <c r="P104" s="31"/>
    </row>
    <row r="105" spans="1:16" x14ac:dyDescent="0.25">
      <c r="A105" s="31" t="s">
        <v>2760</v>
      </c>
      <c r="B105" s="31" t="s">
        <v>2770</v>
      </c>
      <c r="C105" s="32" t="s">
        <v>2683</v>
      </c>
      <c r="D105" s="32"/>
      <c r="E105" s="32"/>
      <c r="F105" s="32"/>
      <c r="G105" s="32"/>
      <c r="H105" s="35"/>
      <c r="I105" s="31"/>
      <c r="J105" s="31"/>
      <c r="K105" s="31"/>
      <c r="L105" s="31"/>
      <c r="M105" s="31"/>
      <c r="N105" s="31"/>
      <c r="O105" s="31"/>
      <c r="P105" s="31"/>
    </row>
    <row r="106" spans="1:16" x14ac:dyDescent="0.25">
      <c r="A106" s="31" t="s">
        <v>2761</v>
      </c>
      <c r="B106" s="31" t="s">
        <v>2770</v>
      </c>
      <c r="C106" s="32" t="s">
        <v>2685</v>
      </c>
      <c r="D106" s="32"/>
      <c r="E106" s="32"/>
      <c r="F106" s="32"/>
      <c r="G106" s="32"/>
      <c r="H106" s="35"/>
      <c r="I106" s="31"/>
      <c r="J106" s="31"/>
      <c r="K106" s="31"/>
      <c r="L106" s="31"/>
      <c r="M106" s="31"/>
      <c r="N106" s="31"/>
      <c r="O106" s="31"/>
      <c r="P106" s="31"/>
    </row>
    <row r="107" spans="1:16" x14ac:dyDescent="0.25">
      <c r="B107" s="31" t="s">
        <v>2770</v>
      </c>
      <c r="C107" s="32" t="s">
        <v>2687</v>
      </c>
      <c r="H107" s="37"/>
    </row>
    <row r="108" spans="1:16" x14ac:dyDescent="0.25">
      <c r="B108" s="31" t="s">
        <v>2770</v>
      </c>
      <c r="C108" s="32" t="s">
        <v>2690</v>
      </c>
      <c r="H108" s="37"/>
    </row>
    <row r="109" spans="1:16" x14ac:dyDescent="0.25">
      <c r="B109" s="31" t="s">
        <v>2770</v>
      </c>
      <c r="C109" s="32" t="s">
        <v>2692</v>
      </c>
      <c r="H109" s="37"/>
    </row>
    <row r="110" spans="1:16" x14ac:dyDescent="0.25">
      <c r="B110" s="31" t="s">
        <v>2770</v>
      </c>
      <c r="C110" s="32" t="s">
        <v>2698</v>
      </c>
      <c r="H110" s="37"/>
    </row>
    <row r="111" spans="1:16" x14ac:dyDescent="0.25">
      <c r="B111" s="31" t="s">
        <v>2770</v>
      </c>
      <c r="C111" s="32" t="s">
        <v>2700</v>
      </c>
      <c r="H111" s="37"/>
    </row>
    <row r="112" spans="1:16" x14ac:dyDescent="0.25">
      <c r="B112" s="31" t="s">
        <v>2770</v>
      </c>
      <c r="C112" s="32" t="s">
        <v>2703</v>
      </c>
      <c r="H112" s="37"/>
    </row>
    <row r="113" spans="3:8" x14ac:dyDescent="0.25">
      <c r="C113" s="32" t="s">
        <v>2707</v>
      </c>
      <c r="H113" s="37"/>
    </row>
    <row r="114" spans="3:8" x14ac:dyDescent="0.25">
      <c r="H114" s="37"/>
    </row>
    <row r="115" spans="3:8" x14ac:dyDescent="0.25">
      <c r="H115" s="37"/>
    </row>
    <row r="116" spans="3:8" x14ac:dyDescent="0.25">
      <c r="H116" s="37"/>
    </row>
    <row r="117" spans="3:8" x14ac:dyDescent="0.25">
      <c r="H117" s="37"/>
    </row>
    <row r="118" spans="3:8" x14ac:dyDescent="0.25">
      <c r="H118" s="37"/>
    </row>
    <row r="119" spans="3:8" x14ac:dyDescent="0.25">
      <c r="H119" s="37"/>
    </row>
    <row r="120" spans="3:8" x14ac:dyDescent="0.25">
      <c r="H120" s="37"/>
    </row>
    <row r="121" spans="3:8" x14ac:dyDescent="0.25">
      <c r="H121" s="37"/>
    </row>
    <row r="122" spans="3:8" x14ac:dyDescent="0.25">
      <c r="H122" s="37"/>
    </row>
    <row r="123" spans="3:8" x14ac:dyDescent="0.25">
      <c r="H123" s="37"/>
    </row>
    <row r="124" spans="3:8" x14ac:dyDescent="0.25">
      <c r="H124" s="37"/>
    </row>
    <row r="125" spans="3:8" x14ac:dyDescent="0.25">
      <c r="H125" s="37"/>
    </row>
    <row r="126" spans="3:8" x14ac:dyDescent="0.25">
      <c r="H126" s="37"/>
    </row>
    <row r="127" spans="3:8" x14ac:dyDescent="0.25">
      <c r="H127" s="37"/>
    </row>
    <row r="128" spans="3:8" x14ac:dyDescent="0.25">
      <c r="H128" s="37"/>
    </row>
    <row r="129" spans="8:8" x14ac:dyDescent="0.25">
      <c r="H129" s="37"/>
    </row>
    <row r="130" spans="8:8" x14ac:dyDescent="0.25">
      <c r="H130" s="37"/>
    </row>
    <row r="131" spans="8:8" x14ac:dyDescent="0.25">
      <c r="H131" s="37"/>
    </row>
    <row r="132" spans="8:8" x14ac:dyDescent="0.25">
      <c r="H132" s="37"/>
    </row>
    <row r="133" spans="8:8" x14ac:dyDescent="0.25">
      <c r="H133" s="37"/>
    </row>
    <row r="134" spans="8:8" x14ac:dyDescent="0.25">
      <c r="H134" s="37"/>
    </row>
    <row r="135" spans="8:8" x14ac:dyDescent="0.25">
      <c r="H135" s="37"/>
    </row>
    <row r="136" spans="8:8" x14ac:dyDescent="0.25">
      <c r="H136" s="37"/>
    </row>
    <row r="137" spans="8:8" x14ac:dyDescent="0.25">
      <c r="H137" s="37"/>
    </row>
    <row r="138" spans="8:8" x14ac:dyDescent="0.25">
      <c r="H138" s="37"/>
    </row>
    <row r="139" spans="8:8" x14ac:dyDescent="0.25">
      <c r="H139" s="37"/>
    </row>
    <row r="140" spans="8:8" x14ac:dyDescent="0.25">
      <c r="H140" s="37"/>
    </row>
    <row r="141" spans="8:8" x14ac:dyDescent="0.25">
      <c r="H141" s="37"/>
    </row>
    <row r="142" spans="8:8" x14ac:dyDescent="0.25">
      <c r="H142" s="37"/>
    </row>
    <row r="143" spans="8:8" x14ac:dyDescent="0.25">
      <c r="H143" s="37"/>
    </row>
    <row r="144" spans="8:8" x14ac:dyDescent="0.25">
      <c r="H144" s="37"/>
    </row>
    <row r="145" spans="8:8" x14ac:dyDescent="0.25">
      <c r="H145" s="37"/>
    </row>
    <row r="146" spans="8:8" x14ac:dyDescent="0.25">
      <c r="H146" s="37"/>
    </row>
    <row r="147" spans="8:8" x14ac:dyDescent="0.25">
      <c r="H147" s="37"/>
    </row>
    <row r="148" spans="8:8" x14ac:dyDescent="0.25">
      <c r="H148" s="37"/>
    </row>
    <row r="149" spans="8:8" x14ac:dyDescent="0.25">
      <c r="H149" s="37"/>
    </row>
    <row r="150" spans="8:8" x14ac:dyDescent="0.25">
      <c r="H150" s="37"/>
    </row>
    <row r="151" spans="8:8" x14ac:dyDescent="0.25">
      <c r="H151" s="37"/>
    </row>
    <row r="152" spans="8:8" x14ac:dyDescent="0.25">
      <c r="H152" s="37"/>
    </row>
    <row r="153" spans="8:8" x14ac:dyDescent="0.25">
      <c r="H153" s="37"/>
    </row>
    <row r="154" spans="8:8" x14ac:dyDescent="0.25">
      <c r="H154" s="37"/>
    </row>
    <row r="155" spans="8:8" x14ac:dyDescent="0.25">
      <c r="H155" s="37"/>
    </row>
    <row r="156" spans="8:8" x14ac:dyDescent="0.25">
      <c r="H156" s="37"/>
    </row>
    <row r="157" spans="8:8" x14ac:dyDescent="0.25">
      <c r="H157" s="37"/>
    </row>
    <row r="158" spans="8:8" x14ac:dyDescent="0.25">
      <c r="H158" s="37"/>
    </row>
    <row r="159" spans="8:8" x14ac:dyDescent="0.25">
      <c r="H159" s="3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5C018-B3C8-4B0D-8D71-737E375C6F85}">
  <dimension ref="A1:M620"/>
  <sheetViews>
    <sheetView tabSelected="1" zoomScale="85" zoomScaleNormal="85" workbookViewId="0">
      <pane ySplit="1" topLeftCell="A286" activePane="bottomLeft" state="frozen"/>
      <selection activeCell="B1" sqref="B1"/>
      <selection pane="bottomLeft" activeCell="D307" sqref="D307"/>
    </sheetView>
  </sheetViews>
  <sheetFormatPr defaultRowHeight="15" x14ac:dyDescent="0.25"/>
  <cols>
    <col min="1" max="1" width="19.5703125" customWidth="1"/>
    <col min="3" max="3" width="35.42578125" customWidth="1"/>
    <col min="4" max="4" width="45.42578125" customWidth="1"/>
  </cols>
  <sheetData>
    <row r="1" spans="1:13" x14ac:dyDescent="0.25">
      <c r="A1" t="s">
        <v>0</v>
      </c>
      <c r="B1" t="s">
        <v>1</v>
      </c>
      <c r="C1" t="s">
        <v>1738</v>
      </c>
      <c r="D1" t="s">
        <v>2</v>
      </c>
      <c r="E1" t="s">
        <v>1739</v>
      </c>
      <c r="F1" t="s">
        <v>1740</v>
      </c>
      <c r="G1" t="s">
        <v>1741</v>
      </c>
      <c r="H1" t="s">
        <v>1742</v>
      </c>
      <c r="I1" t="s">
        <v>3</v>
      </c>
      <c r="J1" t="s">
        <v>1743</v>
      </c>
      <c r="K1" t="s">
        <v>1744</v>
      </c>
      <c r="L1" t="s">
        <v>1745</v>
      </c>
      <c r="M1" t="s">
        <v>2924</v>
      </c>
    </row>
    <row r="2" spans="1:13" x14ac:dyDescent="0.25">
      <c r="A2" t="s">
        <v>4</v>
      </c>
      <c r="B2" t="s">
        <v>5</v>
      </c>
      <c r="C2" t="s">
        <v>6</v>
      </c>
      <c r="D2" t="s">
        <v>1746</v>
      </c>
      <c r="E2" t="s">
        <v>7</v>
      </c>
      <c r="F2" t="s">
        <v>1747</v>
      </c>
      <c r="I2" t="s">
        <v>8</v>
      </c>
      <c r="J2">
        <v>1</v>
      </c>
      <c r="K2">
        <v>1</v>
      </c>
      <c r="L2">
        <v>0</v>
      </c>
      <c r="M2" t="s">
        <v>2925</v>
      </c>
    </row>
    <row r="3" spans="1:13" x14ac:dyDescent="0.25">
      <c r="A3" t="s">
        <v>9</v>
      </c>
      <c r="B3" s="38" t="s">
        <v>10</v>
      </c>
      <c r="C3" t="s">
        <v>11</v>
      </c>
      <c r="D3" t="s">
        <v>1748</v>
      </c>
      <c r="E3" t="s">
        <v>7</v>
      </c>
      <c r="F3" t="s">
        <v>1749</v>
      </c>
      <c r="I3" t="s">
        <v>8</v>
      </c>
      <c r="J3">
        <v>1</v>
      </c>
      <c r="K3">
        <v>1</v>
      </c>
      <c r="L3">
        <v>0</v>
      </c>
      <c r="M3" t="s">
        <v>2926</v>
      </c>
    </row>
    <row r="4" spans="1:13" x14ac:dyDescent="0.25">
      <c r="A4" t="s">
        <v>12</v>
      </c>
      <c r="B4" t="s">
        <v>13</v>
      </c>
      <c r="C4" t="s">
        <v>14</v>
      </c>
      <c r="D4" t="s">
        <v>1750</v>
      </c>
      <c r="E4" t="s">
        <v>7</v>
      </c>
      <c r="F4" t="s">
        <v>1751</v>
      </c>
      <c r="I4" t="s">
        <v>8</v>
      </c>
      <c r="J4">
        <v>1</v>
      </c>
      <c r="K4">
        <v>1</v>
      </c>
      <c r="L4">
        <v>0</v>
      </c>
      <c r="M4" t="s">
        <v>2927</v>
      </c>
    </row>
    <row r="5" spans="1:13" x14ac:dyDescent="0.25">
      <c r="A5" t="s">
        <v>15</v>
      </c>
      <c r="B5" t="s">
        <v>16</v>
      </c>
      <c r="C5" t="s">
        <v>17</v>
      </c>
      <c r="D5" t="s">
        <v>1752</v>
      </c>
      <c r="E5" t="s">
        <v>3566</v>
      </c>
      <c r="F5" t="s">
        <v>1749</v>
      </c>
      <c r="I5" t="s">
        <v>8</v>
      </c>
      <c r="J5">
        <v>1</v>
      </c>
      <c r="K5">
        <v>1</v>
      </c>
      <c r="L5">
        <v>0</v>
      </c>
      <c r="M5" t="s">
        <v>2928</v>
      </c>
    </row>
    <row r="6" spans="1:13" x14ac:dyDescent="0.25">
      <c r="A6" t="s">
        <v>18</v>
      </c>
      <c r="B6" t="s">
        <v>19</v>
      </c>
      <c r="C6" t="s">
        <v>20</v>
      </c>
      <c r="D6" t="s">
        <v>1753</v>
      </c>
      <c r="E6" t="s">
        <v>21</v>
      </c>
      <c r="F6" t="s">
        <v>1754</v>
      </c>
      <c r="I6" t="s">
        <v>22</v>
      </c>
      <c r="J6">
        <v>1</v>
      </c>
      <c r="K6">
        <v>1</v>
      </c>
      <c r="L6">
        <v>1</v>
      </c>
      <c r="M6" t="s">
        <v>2929</v>
      </c>
    </row>
    <row r="7" spans="1:13" x14ac:dyDescent="0.25">
      <c r="A7" t="s">
        <v>2784</v>
      </c>
      <c r="B7" t="s">
        <v>23</v>
      </c>
      <c r="C7" t="s">
        <v>24</v>
      </c>
      <c r="D7" t="s">
        <v>1755</v>
      </c>
      <c r="E7" t="s">
        <v>21</v>
      </c>
      <c r="F7" t="s">
        <v>1751</v>
      </c>
      <c r="I7" t="s">
        <v>25</v>
      </c>
      <c r="J7">
        <v>1</v>
      </c>
      <c r="K7">
        <v>1</v>
      </c>
      <c r="L7">
        <v>0</v>
      </c>
      <c r="M7" t="s">
        <v>2930</v>
      </c>
    </row>
    <row r="8" spans="1:13" x14ac:dyDescent="0.25">
      <c r="A8" t="s">
        <v>2785</v>
      </c>
      <c r="B8" t="s">
        <v>26</v>
      </c>
      <c r="C8" t="s">
        <v>27</v>
      </c>
      <c r="D8" t="s">
        <v>1756</v>
      </c>
      <c r="E8" t="s">
        <v>21</v>
      </c>
      <c r="F8" t="s">
        <v>1757</v>
      </c>
      <c r="I8" t="s">
        <v>25</v>
      </c>
      <c r="J8">
        <v>1</v>
      </c>
      <c r="K8">
        <v>1</v>
      </c>
      <c r="L8">
        <v>1</v>
      </c>
      <c r="M8" t="s">
        <v>2931</v>
      </c>
    </row>
    <row r="9" spans="1:13" x14ac:dyDescent="0.25">
      <c r="A9" t="s">
        <v>2786</v>
      </c>
      <c r="B9" t="s">
        <v>28</v>
      </c>
      <c r="C9" t="s">
        <v>29</v>
      </c>
      <c r="D9" t="s">
        <v>1758</v>
      </c>
      <c r="E9" t="s">
        <v>21</v>
      </c>
      <c r="F9" t="s">
        <v>1757</v>
      </c>
      <c r="I9" t="s">
        <v>25</v>
      </c>
      <c r="J9">
        <v>1</v>
      </c>
      <c r="K9">
        <v>1</v>
      </c>
      <c r="L9">
        <v>1</v>
      </c>
      <c r="M9" t="s">
        <v>2932</v>
      </c>
    </row>
    <row r="10" spans="1:13" x14ac:dyDescent="0.25">
      <c r="A10" t="s">
        <v>2787</v>
      </c>
      <c r="B10" t="s">
        <v>30</v>
      </c>
      <c r="C10" t="s">
        <v>31</v>
      </c>
      <c r="D10" t="s">
        <v>1759</v>
      </c>
      <c r="E10" t="s">
        <v>21</v>
      </c>
      <c r="F10" t="s">
        <v>1754</v>
      </c>
      <c r="I10" t="s">
        <v>22</v>
      </c>
      <c r="J10">
        <v>1</v>
      </c>
      <c r="K10">
        <v>1</v>
      </c>
      <c r="L10">
        <v>0</v>
      </c>
      <c r="M10" t="s">
        <v>2933</v>
      </c>
    </row>
    <row r="11" spans="1:13" x14ac:dyDescent="0.25">
      <c r="A11" t="s">
        <v>32</v>
      </c>
      <c r="B11" t="s">
        <v>33</v>
      </c>
      <c r="C11" t="s">
        <v>34</v>
      </c>
      <c r="D11" t="s">
        <v>1760</v>
      </c>
      <c r="E11" t="s">
        <v>3566</v>
      </c>
      <c r="F11" t="s">
        <v>1761</v>
      </c>
      <c r="G11" t="s">
        <v>1762</v>
      </c>
      <c r="J11">
        <v>1</v>
      </c>
      <c r="K11">
        <v>1</v>
      </c>
      <c r="L11">
        <v>1</v>
      </c>
      <c r="M11" t="s">
        <v>2934</v>
      </c>
    </row>
    <row r="12" spans="1:13" x14ac:dyDescent="0.25">
      <c r="A12" t="s">
        <v>35</v>
      </c>
      <c r="B12" t="s">
        <v>36</v>
      </c>
      <c r="C12" t="s">
        <v>37</v>
      </c>
      <c r="D12" t="s">
        <v>1763</v>
      </c>
      <c r="E12" t="s">
        <v>38</v>
      </c>
      <c r="F12" t="s">
        <v>38</v>
      </c>
      <c r="J12">
        <v>1</v>
      </c>
      <c r="K12">
        <v>1</v>
      </c>
      <c r="L12">
        <v>1</v>
      </c>
      <c r="M12" t="s">
        <v>2935</v>
      </c>
    </row>
    <row r="13" spans="1:13" x14ac:dyDescent="0.25">
      <c r="A13" t="s">
        <v>39</v>
      </c>
      <c r="B13" t="s">
        <v>40</v>
      </c>
      <c r="C13" t="s">
        <v>41</v>
      </c>
      <c r="D13" t="s">
        <v>1764</v>
      </c>
      <c r="E13" t="s">
        <v>42</v>
      </c>
      <c r="F13" t="s">
        <v>1765</v>
      </c>
      <c r="J13">
        <v>1</v>
      </c>
      <c r="K13">
        <v>1</v>
      </c>
      <c r="L13">
        <v>1</v>
      </c>
      <c r="M13" t="s">
        <v>2936</v>
      </c>
    </row>
    <row r="14" spans="1:13" x14ac:dyDescent="0.25">
      <c r="A14" t="s">
        <v>43</v>
      </c>
      <c r="B14" t="s">
        <v>44</v>
      </c>
      <c r="C14" t="s">
        <v>45</v>
      </c>
      <c r="D14" t="s">
        <v>1766</v>
      </c>
      <c r="E14" t="s">
        <v>42</v>
      </c>
      <c r="F14" t="s">
        <v>1765</v>
      </c>
      <c r="J14">
        <v>1</v>
      </c>
      <c r="K14">
        <v>1</v>
      </c>
      <c r="L14">
        <v>1</v>
      </c>
      <c r="M14" t="s">
        <v>2937</v>
      </c>
    </row>
    <row r="15" spans="1:13" x14ac:dyDescent="0.25">
      <c r="A15" t="s">
        <v>46</v>
      </c>
      <c r="B15" t="s">
        <v>47</v>
      </c>
      <c r="C15" t="s">
        <v>48</v>
      </c>
      <c r="D15" t="s">
        <v>1767</v>
      </c>
      <c r="E15" t="s">
        <v>42</v>
      </c>
      <c r="F15" t="s">
        <v>1765</v>
      </c>
      <c r="J15">
        <v>1</v>
      </c>
      <c r="K15">
        <v>1</v>
      </c>
      <c r="L15">
        <v>1</v>
      </c>
      <c r="M15" t="s">
        <v>2938</v>
      </c>
    </row>
    <row r="16" spans="1:13" x14ac:dyDescent="0.25">
      <c r="A16" t="s">
        <v>49</v>
      </c>
      <c r="B16" t="s">
        <v>50</v>
      </c>
      <c r="C16" t="s">
        <v>51</v>
      </c>
      <c r="D16" t="s">
        <v>1768</v>
      </c>
      <c r="E16" t="s">
        <v>3566</v>
      </c>
      <c r="F16" t="s">
        <v>1761</v>
      </c>
      <c r="G16" t="s">
        <v>1762</v>
      </c>
      <c r="J16">
        <v>1</v>
      </c>
      <c r="K16">
        <v>1</v>
      </c>
      <c r="L16">
        <v>1</v>
      </c>
      <c r="M16" t="s">
        <v>2939</v>
      </c>
    </row>
    <row r="17" spans="1:13" x14ac:dyDescent="0.25">
      <c r="A17" t="s">
        <v>52</v>
      </c>
      <c r="B17" t="s">
        <v>53</v>
      </c>
      <c r="C17" t="s">
        <v>54</v>
      </c>
      <c r="D17" t="s">
        <v>1769</v>
      </c>
      <c r="E17" t="s">
        <v>21</v>
      </c>
      <c r="F17" t="s">
        <v>1770</v>
      </c>
      <c r="I17" t="s">
        <v>22</v>
      </c>
      <c r="J17">
        <v>1</v>
      </c>
      <c r="K17">
        <v>1</v>
      </c>
      <c r="L17">
        <v>1</v>
      </c>
      <c r="M17" t="s">
        <v>2940</v>
      </c>
    </row>
    <row r="18" spans="1:13" x14ac:dyDescent="0.25">
      <c r="A18" t="s">
        <v>55</v>
      </c>
      <c r="B18" t="s">
        <v>56</v>
      </c>
      <c r="C18" t="s">
        <v>57</v>
      </c>
      <c r="D18" t="s">
        <v>1771</v>
      </c>
      <c r="E18" t="s">
        <v>3566</v>
      </c>
      <c r="F18" t="s">
        <v>1772</v>
      </c>
      <c r="J18">
        <v>1</v>
      </c>
      <c r="K18">
        <v>1</v>
      </c>
      <c r="L18">
        <v>1</v>
      </c>
      <c r="M18" t="s">
        <v>2941</v>
      </c>
    </row>
    <row r="19" spans="1:13" x14ac:dyDescent="0.25">
      <c r="A19" t="s">
        <v>58</v>
      </c>
      <c r="B19" t="s">
        <v>59</v>
      </c>
      <c r="C19" t="s">
        <v>60</v>
      </c>
      <c r="D19" t="s">
        <v>1773</v>
      </c>
      <c r="E19" t="s">
        <v>3566</v>
      </c>
      <c r="F19" t="s">
        <v>1772</v>
      </c>
      <c r="J19">
        <v>1</v>
      </c>
      <c r="K19">
        <v>1</v>
      </c>
      <c r="L19">
        <v>1</v>
      </c>
      <c r="M19" t="s">
        <v>2942</v>
      </c>
    </row>
    <row r="20" spans="1:13" x14ac:dyDescent="0.25">
      <c r="A20" t="s">
        <v>61</v>
      </c>
      <c r="B20" t="s">
        <v>62</v>
      </c>
      <c r="C20" t="s">
        <v>63</v>
      </c>
      <c r="D20" t="s">
        <v>1774</v>
      </c>
      <c r="E20" t="s">
        <v>3566</v>
      </c>
      <c r="F20" t="s">
        <v>1772</v>
      </c>
      <c r="J20">
        <v>1</v>
      </c>
      <c r="K20">
        <v>1</v>
      </c>
      <c r="L20">
        <v>1</v>
      </c>
      <c r="M20" t="s">
        <v>2943</v>
      </c>
    </row>
    <row r="21" spans="1:13" x14ac:dyDescent="0.25">
      <c r="A21" t="s">
        <v>64</v>
      </c>
      <c r="B21" s="38" t="s">
        <v>65</v>
      </c>
      <c r="C21" t="s">
        <v>66</v>
      </c>
      <c r="D21" t="s">
        <v>1775</v>
      </c>
      <c r="E21" t="s">
        <v>3566</v>
      </c>
      <c r="F21" t="s">
        <v>1772</v>
      </c>
      <c r="J21">
        <v>1</v>
      </c>
      <c r="K21">
        <v>1</v>
      </c>
      <c r="L21">
        <v>1</v>
      </c>
      <c r="M21" t="s">
        <v>2944</v>
      </c>
    </row>
    <row r="22" spans="1:13" x14ac:dyDescent="0.25">
      <c r="A22" t="s">
        <v>67</v>
      </c>
      <c r="B22" t="s">
        <v>68</v>
      </c>
      <c r="C22" t="s">
        <v>69</v>
      </c>
      <c r="D22" t="s">
        <v>1776</v>
      </c>
      <c r="E22" t="s">
        <v>42</v>
      </c>
      <c r="F22" t="s">
        <v>38</v>
      </c>
      <c r="G22" t="s">
        <v>1777</v>
      </c>
      <c r="J22">
        <v>1</v>
      </c>
      <c r="K22">
        <v>1</v>
      </c>
      <c r="L22">
        <v>1</v>
      </c>
      <c r="M22" t="s">
        <v>2945</v>
      </c>
    </row>
    <row r="23" spans="1:13" x14ac:dyDescent="0.25">
      <c r="A23" t="s">
        <v>70</v>
      </c>
      <c r="B23" t="s">
        <v>71</v>
      </c>
      <c r="C23" t="s">
        <v>72</v>
      </c>
      <c r="D23" t="s">
        <v>1778</v>
      </c>
      <c r="E23" t="s">
        <v>3566</v>
      </c>
      <c r="F23" t="s">
        <v>1779</v>
      </c>
      <c r="J23">
        <v>1</v>
      </c>
      <c r="K23">
        <v>1</v>
      </c>
      <c r="L23">
        <v>1</v>
      </c>
      <c r="M23" t="s">
        <v>2946</v>
      </c>
    </row>
    <row r="24" spans="1:13" x14ac:dyDescent="0.25">
      <c r="A24" t="s">
        <v>73</v>
      </c>
      <c r="B24" t="s">
        <v>74</v>
      </c>
      <c r="C24" t="s">
        <v>75</v>
      </c>
      <c r="D24" t="s">
        <v>1780</v>
      </c>
      <c r="E24" t="s">
        <v>3566</v>
      </c>
      <c r="F24" t="s">
        <v>1781</v>
      </c>
      <c r="J24">
        <v>0</v>
      </c>
      <c r="M24" t="s">
        <v>2947</v>
      </c>
    </row>
    <row r="25" spans="1:13" x14ac:dyDescent="0.25">
      <c r="A25" t="s">
        <v>76</v>
      </c>
      <c r="B25" t="s">
        <v>77</v>
      </c>
      <c r="C25" t="s">
        <v>78</v>
      </c>
      <c r="D25" t="s">
        <v>1782</v>
      </c>
      <c r="E25" t="s">
        <v>3566</v>
      </c>
      <c r="F25" t="s">
        <v>1783</v>
      </c>
      <c r="J25">
        <v>1</v>
      </c>
      <c r="K25">
        <v>1</v>
      </c>
      <c r="L25">
        <v>1</v>
      </c>
      <c r="M25" t="s">
        <v>2948</v>
      </c>
    </row>
    <row r="26" spans="1:13" x14ac:dyDescent="0.25">
      <c r="A26" t="s">
        <v>79</v>
      </c>
      <c r="B26" t="s">
        <v>80</v>
      </c>
      <c r="C26" t="s">
        <v>81</v>
      </c>
      <c r="D26" t="s">
        <v>1784</v>
      </c>
      <c r="E26" t="s">
        <v>82</v>
      </c>
      <c r="F26" t="s">
        <v>1785</v>
      </c>
      <c r="J26">
        <v>1</v>
      </c>
      <c r="K26">
        <v>1</v>
      </c>
      <c r="L26">
        <v>0</v>
      </c>
      <c r="M26" t="s">
        <v>2949</v>
      </c>
    </row>
    <row r="27" spans="1:13" x14ac:dyDescent="0.25">
      <c r="A27" t="s">
        <v>83</v>
      </c>
      <c r="B27" t="s">
        <v>84</v>
      </c>
      <c r="C27" t="s">
        <v>85</v>
      </c>
      <c r="D27" t="s">
        <v>1786</v>
      </c>
      <c r="E27" t="s">
        <v>38</v>
      </c>
      <c r="F27" t="s">
        <v>1785</v>
      </c>
      <c r="J27">
        <v>1</v>
      </c>
      <c r="K27">
        <v>1</v>
      </c>
      <c r="L27">
        <v>0</v>
      </c>
      <c r="M27" t="s">
        <v>2950</v>
      </c>
    </row>
    <row r="28" spans="1:13" x14ac:dyDescent="0.25">
      <c r="A28" t="s">
        <v>86</v>
      </c>
      <c r="B28" t="s">
        <v>87</v>
      </c>
      <c r="C28" t="s">
        <v>88</v>
      </c>
      <c r="D28" t="s">
        <v>1787</v>
      </c>
      <c r="E28" t="s">
        <v>89</v>
      </c>
      <c r="F28" t="s">
        <v>1788</v>
      </c>
      <c r="I28" t="s">
        <v>90</v>
      </c>
      <c r="J28">
        <v>1</v>
      </c>
      <c r="K28">
        <v>1</v>
      </c>
      <c r="L28">
        <v>0</v>
      </c>
      <c r="M28" t="s">
        <v>2951</v>
      </c>
    </row>
    <row r="29" spans="1:13" x14ac:dyDescent="0.25">
      <c r="A29" t="s">
        <v>2788</v>
      </c>
      <c r="B29" t="s">
        <v>91</v>
      </c>
      <c r="C29" t="s">
        <v>92</v>
      </c>
      <c r="D29" t="s">
        <v>1789</v>
      </c>
      <c r="E29" t="s">
        <v>89</v>
      </c>
      <c r="F29" t="s">
        <v>1790</v>
      </c>
      <c r="I29" t="s">
        <v>90</v>
      </c>
      <c r="J29">
        <v>1</v>
      </c>
      <c r="K29">
        <v>1</v>
      </c>
      <c r="L29">
        <v>0</v>
      </c>
      <c r="M29" t="s">
        <v>2952</v>
      </c>
    </row>
    <row r="30" spans="1:13" x14ac:dyDescent="0.25">
      <c r="A30" t="s">
        <v>2789</v>
      </c>
      <c r="B30" t="s">
        <v>93</v>
      </c>
      <c r="C30" t="s">
        <v>94</v>
      </c>
      <c r="D30" t="s">
        <v>1791</v>
      </c>
      <c r="E30" t="s">
        <v>89</v>
      </c>
      <c r="F30" t="s">
        <v>1788</v>
      </c>
      <c r="I30" t="s">
        <v>90</v>
      </c>
      <c r="J30">
        <v>1</v>
      </c>
      <c r="K30">
        <v>1</v>
      </c>
      <c r="L30">
        <v>0</v>
      </c>
      <c r="M30" t="s">
        <v>2953</v>
      </c>
    </row>
    <row r="31" spans="1:13" x14ac:dyDescent="0.25">
      <c r="A31" t="s">
        <v>95</v>
      </c>
      <c r="B31" t="s">
        <v>96</v>
      </c>
      <c r="C31" t="s">
        <v>97</v>
      </c>
      <c r="D31" t="s">
        <v>1792</v>
      </c>
      <c r="E31" t="s">
        <v>89</v>
      </c>
      <c r="F31" t="s">
        <v>1788</v>
      </c>
      <c r="I31" t="s">
        <v>90</v>
      </c>
      <c r="J31">
        <v>1</v>
      </c>
      <c r="K31">
        <v>1</v>
      </c>
      <c r="L31">
        <v>0</v>
      </c>
      <c r="M31" t="s">
        <v>2954</v>
      </c>
    </row>
    <row r="32" spans="1:13" x14ac:dyDescent="0.25">
      <c r="A32" t="s">
        <v>98</v>
      </c>
      <c r="B32" t="s">
        <v>99</v>
      </c>
      <c r="C32" t="s">
        <v>100</v>
      </c>
      <c r="D32" t="s">
        <v>1793</v>
      </c>
      <c r="E32" t="s">
        <v>3566</v>
      </c>
      <c r="F32" t="s">
        <v>1788</v>
      </c>
      <c r="J32">
        <v>1</v>
      </c>
      <c r="K32">
        <v>1</v>
      </c>
      <c r="L32">
        <v>0</v>
      </c>
      <c r="M32" t="s">
        <v>2955</v>
      </c>
    </row>
    <row r="33" spans="1:13" x14ac:dyDescent="0.25">
      <c r="A33" t="s">
        <v>101</v>
      </c>
      <c r="B33" t="s">
        <v>102</v>
      </c>
      <c r="C33" t="s">
        <v>103</v>
      </c>
      <c r="D33" t="s">
        <v>1794</v>
      </c>
      <c r="E33" t="s">
        <v>104</v>
      </c>
      <c r="J33">
        <v>1</v>
      </c>
      <c r="K33">
        <v>1</v>
      </c>
      <c r="L33">
        <v>0</v>
      </c>
      <c r="M33" t="s">
        <v>2956</v>
      </c>
    </row>
    <row r="34" spans="1:13" x14ac:dyDescent="0.25">
      <c r="A34" t="s">
        <v>105</v>
      </c>
      <c r="B34" t="s">
        <v>106</v>
      </c>
      <c r="C34" t="s">
        <v>107</v>
      </c>
      <c r="D34" t="s">
        <v>1795</v>
      </c>
      <c r="E34" t="s">
        <v>3566</v>
      </c>
      <c r="F34" t="s">
        <v>1761</v>
      </c>
      <c r="G34" t="s">
        <v>1762</v>
      </c>
      <c r="J34">
        <v>1</v>
      </c>
      <c r="K34">
        <v>1</v>
      </c>
      <c r="L34">
        <v>1</v>
      </c>
      <c r="M34" t="s">
        <v>2957</v>
      </c>
    </row>
    <row r="35" spans="1:13" x14ac:dyDescent="0.25">
      <c r="A35" t="s">
        <v>108</v>
      </c>
      <c r="B35" t="s">
        <v>109</v>
      </c>
      <c r="C35" t="s">
        <v>110</v>
      </c>
      <c r="D35" t="s">
        <v>1796</v>
      </c>
      <c r="E35" t="s">
        <v>111</v>
      </c>
      <c r="F35" t="s">
        <v>1797</v>
      </c>
      <c r="J35">
        <v>1</v>
      </c>
      <c r="K35">
        <v>1</v>
      </c>
      <c r="L35">
        <v>0</v>
      </c>
      <c r="M35" t="s">
        <v>2958</v>
      </c>
    </row>
    <row r="36" spans="1:13" x14ac:dyDescent="0.25">
      <c r="A36" t="s">
        <v>112</v>
      </c>
      <c r="B36" t="s">
        <v>113</v>
      </c>
      <c r="C36" t="s">
        <v>114</v>
      </c>
      <c r="D36" t="s">
        <v>1798</v>
      </c>
      <c r="E36" t="s">
        <v>7</v>
      </c>
      <c r="F36" t="s">
        <v>1799</v>
      </c>
      <c r="G36" t="s">
        <v>1800</v>
      </c>
      <c r="I36" t="s">
        <v>115</v>
      </c>
      <c r="J36">
        <v>1</v>
      </c>
      <c r="K36">
        <v>1</v>
      </c>
      <c r="L36">
        <v>1</v>
      </c>
      <c r="M36" t="s">
        <v>2959</v>
      </c>
    </row>
    <row r="37" spans="1:13" x14ac:dyDescent="0.25">
      <c r="A37" t="s">
        <v>116</v>
      </c>
      <c r="B37" t="s">
        <v>117</v>
      </c>
      <c r="C37" t="s">
        <v>118</v>
      </c>
      <c r="D37" t="s">
        <v>1801</v>
      </c>
      <c r="E37" t="s">
        <v>119</v>
      </c>
      <c r="F37" t="s">
        <v>1802</v>
      </c>
      <c r="J37">
        <v>1</v>
      </c>
      <c r="M37" t="s">
        <v>2960</v>
      </c>
    </row>
    <row r="38" spans="1:13" x14ac:dyDescent="0.25">
      <c r="A38" t="s">
        <v>120</v>
      </c>
      <c r="B38" t="s">
        <v>121</v>
      </c>
      <c r="C38" t="s">
        <v>122</v>
      </c>
      <c r="D38" t="s">
        <v>1803</v>
      </c>
      <c r="E38" t="s">
        <v>3566</v>
      </c>
      <c r="F38" t="s">
        <v>1804</v>
      </c>
      <c r="G38" t="s">
        <v>1800</v>
      </c>
      <c r="J38">
        <v>1</v>
      </c>
      <c r="K38">
        <v>1</v>
      </c>
      <c r="L38">
        <v>1</v>
      </c>
      <c r="M38" t="s">
        <v>2961</v>
      </c>
    </row>
    <row r="39" spans="1:13" x14ac:dyDescent="0.25">
      <c r="A39" t="s">
        <v>123</v>
      </c>
      <c r="B39" t="s">
        <v>124</v>
      </c>
      <c r="C39" t="s">
        <v>125</v>
      </c>
      <c r="D39" t="s">
        <v>1805</v>
      </c>
      <c r="E39" t="s">
        <v>3566</v>
      </c>
      <c r="F39" t="s">
        <v>1804</v>
      </c>
      <c r="G39" t="s">
        <v>1777</v>
      </c>
      <c r="J39">
        <v>1</v>
      </c>
      <c r="K39">
        <v>1</v>
      </c>
      <c r="L39">
        <v>1</v>
      </c>
      <c r="M39" t="s">
        <v>2962</v>
      </c>
    </row>
    <row r="40" spans="1:13" x14ac:dyDescent="0.25">
      <c r="A40" t="s">
        <v>126</v>
      </c>
      <c r="B40" t="s">
        <v>127</v>
      </c>
      <c r="C40" t="s">
        <v>128</v>
      </c>
      <c r="D40" t="s">
        <v>1806</v>
      </c>
      <c r="E40" t="s">
        <v>119</v>
      </c>
      <c r="F40" t="s">
        <v>1802</v>
      </c>
      <c r="J40">
        <v>1</v>
      </c>
      <c r="M40" t="s">
        <v>2963</v>
      </c>
    </row>
    <row r="41" spans="1:13" x14ac:dyDescent="0.25">
      <c r="A41" t="s">
        <v>129</v>
      </c>
      <c r="B41" t="s">
        <v>130</v>
      </c>
      <c r="C41" t="s">
        <v>131</v>
      </c>
      <c r="D41" t="s">
        <v>1807</v>
      </c>
      <c r="E41" t="s">
        <v>3566</v>
      </c>
      <c r="F41" t="s">
        <v>1761</v>
      </c>
      <c r="G41" t="s">
        <v>1762</v>
      </c>
      <c r="J41">
        <v>1</v>
      </c>
      <c r="K41">
        <v>1</v>
      </c>
      <c r="L41">
        <v>1</v>
      </c>
      <c r="M41" t="s">
        <v>2964</v>
      </c>
    </row>
    <row r="42" spans="1:13" x14ac:dyDescent="0.25">
      <c r="A42" t="s">
        <v>132</v>
      </c>
      <c r="B42" t="s">
        <v>133</v>
      </c>
      <c r="C42" t="s">
        <v>134</v>
      </c>
      <c r="D42" t="s">
        <v>1808</v>
      </c>
      <c r="E42" t="s">
        <v>3566</v>
      </c>
      <c r="F42" t="s">
        <v>1809</v>
      </c>
      <c r="J42">
        <v>1</v>
      </c>
      <c r="M42" t="s">
        <v>2965</v>
      </c>
    </row>
    <row r="43" spans="1:13" x14ac:dyDescent="0.25">
      <c r="A43" t="s">
        <v>135</v>
      </c>
      <c r="B43" t="s">
        <v>136</v>
      </c>
      <c r="C43" t="s">
        <v>137</v>
      </c>
      <c r="D43" t="s">
        <v>1810</v>
      </c>
      <c r="E43" t="s">
        <v>3566</v>
      </c>
      <c r="F43" t="s">
        <v>38</v>
      </c>
      <c r="G43" t="s">
        <v>1777</v>
      </c>
      <c r="J43">
        <v>1</v>
      </c>
      <c r="K43">
        <v>1</v>
      </c>
      <c r="L43">
        <v>1</v>
      </c>
      <c r="M43" t="s">
        <v>2966</v>
      </c>
    </row>
    <row r="44" spans="1:13" x14ac:dyDescent="0.25">
      <c r="A44" t="s">
        <v>138</v>
      </c>
      <c r="B44" t="s">
        <v>139</v>
      </c>
      <c r="C44" t="s">
        <v>140</v>
      </c>
      <c r="D44" t="s">
        <v>1811</v>
      </c>
      <c r="E44" t="s">
        <v>38</v>
      </c>
      <c r="F44" t="s">
        <v>38</v>
      </c>
      <c r="G44" t="s">
        <v>1777</v>
      </c>
      <c r="J44">
        <v>1</v>
      </c>
      <c r="K44">
        <v>1</v>
      </c>
      <c r="L44">
        <v>1</v>
      </c>
      <c r="M44" t="s">
        <v>2967</v>
      </c>
    </row>
    <row r="45" spans="1:13" x14ac:dyDescent="0.25">
      <c r="A45" t="s">
        <v>141</v>
      </c>
      <c r="B45" t="s">
        <v>142</v>
      </c>
      <c r="C45" t="s">
        <v>143</v>
      </c>
      <c r="D45" t="s">
        <v>1812</v>
      </c>
      <c r="E45" t="s">
        <v>38</v>
      </c>
      <c r="F45" t="s">
        <v>38</v>
      </c>
      <c r="G45" t="s">
        <v>1777</v>
      </c>
      <c r="J45">
        <v>1</v>
      </c>
      <c r="K45">
        <v>1</v>
      </c>
      <c r="L45">
        <v>1</v>
      </c>
      <c r="M45" t="s">
        <v>2968</v>
      </c>
    </row>
    <row r="46" spans="1:13" x14ac:dyDescent="0.25">
      <c r="A46" t="s">
        <v>144</v>
      </c>
      <c r="B46" t="s">
        <v>145</v>
      </c>
      <c r="C46" t="s">
        <v>146</v>
      </c>
      <c r="D46" t="s">
        <v>1813</v>
      </c>
      <c r="E46" t="s">
        <v>3566</v>
      </c>
      <c r="F46" t="s">
        <v>1814</v>
      </c>
      <c r="G46" t="s">
        <v>1815</v>
      </c>
      <c r="J46">
        <v>1</v>
      </c>
      <c r="K46">
        <v>1</v>
      </c>
      <c r="L46">
        <v>1</v>
      </c>
      <c r="M46" t="s">
        <v>2969</v>
      </c>
    </row>
    <row r="47" spans="1:13" x14ac:dyDescent="0.25">
      <c r="A47" t="s">
        <v>147</v>
      </c>
      <c r="B47" t="s">
        <v>148</v>
      </c>
      <c r="C47" t="s">
        <v>149</v>
      </c>
      <c r="D47" t="s">
        <v>1816</v>
      </c>
      <c r="E47" t="s">
        <v>3566</v>
      </c>
      <c r="F47" t="s">
        <v>1817</v>
      </c>
      <c r="G47" t="s">
        <v>1818</v>
      </c>
      <c r="J47">
        <v>1</v>
      </c>
      <c r="K47">
        <v>1</v>
      </c>
      <c r="L47">
        <v>1</v>
      </c>
      <c r="M47" t="s">
        <v>2970</v>
      </c>
    </row>
    <row r="48" spans="1:13" x14ac:dyDescent="0.25">
      <c r="A48" t="s">
        <v>2790</v>
      </c>
      <c r="B48" t="s">
        <v>150</v>
      </c>
      <c r="C48" t="s">
        <v>151</v>
      </c>
      <c r="D48" t="s">
        <v>1819</v>
      </c>
      <c r="E48" t="s">
        <v>21</v>
      </c>
      <c r="F48" t="s">
        <v>1754</v>
      </c>
      <c r="J48">
        <v>1</v>
      </c>
      <c r="K48">
        <v>1</v>
      </c>
      <c r="L48">
        <v>0</v>
      </c>
      <c r="M48" t="s">
        <v>2971</v>
      </c>
    </row>
    <row r="49" spans="1:13" x14ac:dyDescent="0.25">
      <c r="A49" t="s">
        <v>152</v>
      </c>
      <c r="B49" t="s">
        <v>153</v>
      </c>
      <c r="C49" t="s">
        <v>154</v>
      </c>
      <c r="D49" t="s">
        <v>1820</v>
      </c>
      <c r="E49" t="s">
        <v>3566</v>
      </c>
      <c r="F49" t="s">
        <v>1761</v>
      </c>
      <c r="G49" t="s">
        <v>1762</v>
      </c>
      <c r="J49">
        <v>1</v>
      </c>
      <c r="K49">
        <v>1</v>
      </c>
      <c r="L49">
        <v>1</v>
      </c>
      <c r="M49" t="s">
        <v>2972</v>
      </c>
    </row>
    <row r="50" spans="1:13" x14ac:dyDescent="0.25">
      <c r="A50" t="s">
        <v>2791</v>
      </c>
      <c r="B50" t="s">
        <v>155</v>
      </c>
      <c r="C50" t="s">
        <v>156</v>
      </c>
      <c r="D50" t="s">
        <v>1821</v>
      </c>
      <c r="E50" t="s">
        <v>3566</v>
      </c>
      <c r="F50" t="s">
        <v>1751</v>
      </c>
      <c r="J50">
        <v>1</v>
      </c>
      <c r="K50">
        <v>1</v>
      </c>
      <c r="L50">
        <v>0</v>
      </c>
      <c r="M50" t="s">
        <v>2973</v>
      </c>
    </row>
    <row r="51" spans="1:13" x14ac:dyDescent="0.25">
      <c r="A51" t="s">
        <v>2792</v>
      </c>
      <c r="B51" t="s">
        <v>158</v>
      </c>
      <c r="C51" t="s">
        <v>159</v>
      </c>
      <c r="D51" t="s">
        <v>1822</v>
      </c>
      <c r="E51" t="s">
        <v>3566</v>
      </c>
      <c r="F51" t="s">
        <v>1790</v>
      </c>
      <c r="J51">
        <v>1</v>
      </c>
      <c r="K51">
        <v>1</v>
      </c>
      <c r="L51">
        <v>0</v>
      </c>
      <c r="M51" t="s">
        <v>2974</v>
      </c>
    </row>
    <row r="52" spans="1:13" x14ac:dyDescent="0.25">
      <c r="A52" t="s">
        <v>160</v>
      </c>
      <c r="B52" t="s">
        <v>161</v>
      </c>
      <c r="C52" t="s">
        <v>162</v>
      </c>
      <c r="D52" t="s">
        <v>1823</v>
      </c>
      <c r="E52" t="s">
        <v>3566</v>
      </c>
      <c r="F52" t="s">
        <v>1804</v>
      </c>
      <c r="G52" t="s">
        <v>1815</v>
      </c>
      <c r="J52">
        <v>1</v>
      </c>
      <c r="K52">
        <v>1</v>
      </c>
      <c r="L52">
        <v>1</v>
      </c>
      <c r="M52" t="s">
        <v>2975</v>
      </c>
    </row>
    <row r="53" spans="1:13" x14ac:dyDescent="0.25">
      <c r="A53" t="s">
        <v>163</v>
      </c>
      <c r="B53" t="s">
        <v>164</v>
      </c>
      <c r="C53" t="s">
        <v>165</v>
      </c>
      <c r="D53" t="s">
        <v>1824</v>
      </c>
      <c r="E53" t="s">
        <v>3566</v>
      </c>
      <c r="F53" t="s">
        <v>1814</v>
      </c>
      <c r="G53" t="s">
        <v>1815</v>
      </c>
      <c r="J53">
        <v>1</v>
      </c>
      <c r="K53">
        <v>1</v>
      </c>
      <c r="L53">
        <v>1</v>
      </c>
      <c r="M53" t="s">
        <v>2976</v>
      </c>
    </row>
    <row r="54" spans="1:13" x14ac:dyDescent="0.25">
      <c r="A54" t="s">
        <v>3567</v>
      </c>
      <c r="B54" t="s">
        <v>166</v>
      </c>
      <c r="C54" t="s">
        <v>167</v>
      </c>
      <c r="D54" t="s">
        <v>3568</v>
      </c>
      <c r="E54" t="s">
        <v>3566</v>
      </c>
      <c r="F54" t="s">
        <v>1919</v>
      </c>
      <c r="J54">
        <v>1</v>
      </c>
      <c r="K54">
        <v>0</v>
      </c>
      <c r="L54">
        <v>1</v>
      </c>
      <c r="M54" t="s">
        <v>2977</v>
      </c>
    </row>
    <row r="55" spans="1:13" x14ac:dyDescent="0.25">
      <c r="A55" t="s">
        <v>169</v>
      </c>
      <c r="B55" t="s">
        <v>170</v>
      </c>
      <c r="C55" t="s">
        <v>171</v>
      </c>
      <c r="D55" t="s">
        <v>1825</v>
      </c>
      <c r="E55" t="s">
        <v>104</v>
      </c>
      <c r="F55" t="s">
        <v>104</v>
      </c>
      <c r="J55">
        <v>1</v>
      </c>
      <c r="K55">
        <v>1</v>
      </c>
      <c r="L55">
        <v>0</v>
      </c>
      <c r="M55" t="s">
        <v>2978</v>
      </c>
    </row>
    <row r="56" spans="1:13" x14ac:dyDescent="0.25">
      <c r="A56" t="s">
        <v>172</v>
      </c>
      <c r="B56" t="s">
        <v>173</v>
      </c>
      <c r="C56" t="s">
        <v>174</v>
      </c>
      <c r="D56" t="s">
        <v>1826</v>
      </c>
      <c r="E56" t="s">
        <v>3566</v>
      </c>
      <c r="F56" t="s">
        <v>1781</v>
      </c>
      <c r="J56">
        <v>0</v>
      </c>
      <c r="M56" t="s">
        <v>2979</v>
      </c>
    </row>
    <row r="57" spans="1:13" x14ac:dyDescent="0.25">
      <c r="A57" t="s">
        <v>175</v>
      </c>
      <c r="B57" t="s">
        <v>176</v>
      </c>
      <c r="C57" t="s">
        <v>177</v>
      </c>
      <c r="D57" t="s">
        <v>1827</v>
      </c>
      <c r="E57" t="s">
        <v>7</v>
      </c>
      <c r="F57" t="s">
        <v>1751</v>
      </c>
      <c r="I57" t="s">
        <v>8</v>
      </c>
      <c r="J57">
        <v>1</v>
      </c>
      <c r="K57">
        <v>1</v>
      </c>
      <c r="L57">
        <v>0</v>
      </c>
      <c r="M57" t="s">
        <v>2980</v>
      </c>
    </row>
    <row r="58" spans="1:13" x14ac:dyDescent="0.25">
      <c r="A58" t="s">
        <v>178</v>
      </c>
      <c r="B58" t="s">
        <v>179</v>
      </c>
      <c r="C58" t="s">
        <v>180</v>
      </c>
      <c r="D58" t="s">
        <v>1828</v>
      </c>
      <c r="E58" t="s">
        <v>7</v>
      </c>
      <c r="F58" t="s">
        <v>1747</v>
      </c>
      <c r="I58" t="s">
        <v>22</v>
      </c>
      <c r="J58">
        <v>1</v>
      </c>
      <c r="K58">
        <v>1</v>
      </c>
      <c r="L58">
        <v>0</v>
      </c>
      <c r="M58" t="s">
        <v>2981</v>
      </c>
    </row>
    <row r="59" spans="1:13" x14ac:dyDescent="0.25">
      <c r="A59" t="s">
        <v>181</v>
      </c>
      <c r="B59" t="s">
        <v>182</v>
      </c>
      <c r="C59" t="s">
        <v>183</v>
      </c>
      <c r="D59" t="s">
        <v>1829</v>
      </c>
      <c r="E59" t="s">
        <v>7</v>
      </c>
      <c r="F59" t="s">
        <v>1747</v>
      </c>
      <c r="I59" t="s">
        <v>22</v>
      </c>
      <c r="J59">
        <v>1</v>
      </c>
      <c r="K59">
        <v>1</v>
      </c>
      <c r="L59">
        <v>0</v>
      </c>
      <c r="M59" t="s">
        <v>2982</v>
      </c>
    </row>
    <row r="60" spans="1:13" x14ac:dyDescent="0.25">
      <c r="A60" t="s">
        <v>184</v>
      </c>
      <c r="B60" t="s">
        <v>185</v>
      </c>
      <c r="C60" t="s">
        <v>186</v>
      </c>
      <c r="D60" t="s">
        <v>1830</v>
      </c>
      <c r="E60" t="s">
        <v>7</v>
      </c>
      <c r="F60" t="s">
        <v>1747</v>
      </c>
      <c r="I60" t="s">
        <v>8</v>
      </c>
      <c r="J60">
        <v>1</v>
      </c>
      <c r="K60">
        <v>1</v>
      </c>
      <c r="L60">
        <v>0</v>
      </c>
      <c r="M60" t="s">
        <v>2983</v>
      </c>
    </row>
    <row r="61" spans="1:13" x14ac:dyDescent="0.25">
      <c r="A61" t="s">
        <v>187</v>
      </c>
      <c r="B61" t="s">
        <v>188</v>
      </c>
      <c r="C61" t="s">
        <v>189</v>
      </c>
      <c r="D61" t="s">
        <v>1831</v>
      </c>
      <c r="E61" t="s">
        <v>111</v>
      </c>
      <c r="F61" t="s">
        <v>1747</v>
      </c>
      <c r="J61">
        <v>1</v>
      </c>
      <c r="K61">
        <v>1</v>
      </c>
      <c r="L61">
        <v>0</v>
      </c>
      <c r="M61" t="s">
        <v>2984</v>
      </c>
    </row>
    <row r="62" spans="1:13" x14ac:dyDescent="0.25">
      <c r="A62" t="s">
        <v>2793</v>
      </c>
      <c r="B62" t="s">
        <v>190</v>
      </c>
      <c r="C62" t="s">
        <v>191</v>
      </c>
      <c r="D62" t="s">
        <v>1832</v>
      </c>
      <c r="E62" t="s">
        <v>7</v>
      </c>
      <c r="F62" t="s">
        <v>1747</v>
      </c>
      <c r="I62" t="s">
        <v>8</v>
      </c>
      <c r="J62">
        <v>1</v>
      </c>
      <c r="K62">
        <v>1</v>
      </c>
      <c r="L62">
        <v>0</v>
      </c>
      <c r="M62" t="s">
        <v>2985</v>
      </c>
    </row>
    <row r="63" spans="1:13" x14ac:dyDescent="0.25">
      <c r="A63" t="s">
        <v>2794</v>
      </c>
      <c r="B63" t="s">
        <v>192</v>
      </c>
      <c r="C63" t="s">
        <v>193</v>
      </c>
      <c r="D63" t="s">
        <v>1833</v>
      </c>
      <c r="E63" t="s">
        <v>7</v>
      </c>
      <c r="F63" t="s">
        <v>1747</v>
      </c>
      <c r="I63" t="s">
        <v>8</v>
      </c>
      <c r="J63">
        <v>1</v>
      </c>
      <c r="K63">
        <v>1</v>
      </c>
      <c r="L63">
        <v>0</v>
      </c>
      <c r="M63" t="s">
        <v>2986</v>
      </c>
    </row>
    <row r="64" spans="1:13" x14ac:dyDescent="0.25">
      <c r="A64" t="s">
        <v>2795</v>
      </c>
      <c r="B64" t="s">
        <v>194</v>
      </c>
      <c r="C64" t="s">
        <v>195</v>
      </c>
      <c r="D64" t="s">
        <v>1834</v>
      </c>
      <c r="E64" t="s">
        <v>7</v>
      </c>
      <c r="F64" t="s">
        <v>1747</v>
      </c>
      <c r="I64" t="s">
        <v>8</v>
      </c>
      <c r="J64">
        <v>1</v>
      </c>
      <c r="K64">
        <v>1</v>
      </c>
      <c r="L64">
        <v>0</v>
      </c>
      <c r="M64" t="s">
        <v>2987</v>
      </c>
    </row>
    <row r="65" spans="1:13" x14ac:dyDescent="0.25">
      <c r="A65" t="s">
        <v>196</v>
      </c>
      <c r="B65" t="s">
        <v>197</v>
      </c>
      <c r="C65" t="s">
        <v>198</v>
      </c>
      <c r="D65" t="s">
        <v>1835</v>
      </c>
      <c r="E65" t="s">
        <v>7</v>
      </c>
      <c r="F65" t="s">
        <v>1747</v>
      </c>
      <c r="I65" t="s">
        <v>22</v>
      </c>
      <c r="J65">
        <v>1</v>
      </c>
      <c r="K65">
        <v>1</v>
      </c>
      <c r="L65">
        <v>0</v>
      </c>
      <c r="M65" t="s">
        <v>2988</v>
      </c>
    </row>
    <row r="66" spans="1:13" x14ac:dyDescent="0.25">
      <c r="A66" t="s">
        <v>199</v>
      </c>
      <c r="B66" t="s">
        <v>200</v>
      </c>
      <c r="C66" t="s">
        <v>201</v>
      </c>
      <c r="D66" t="s">
        <v>1836</v>
      </c>
      <c r="E66" t="s">
        <v>42</v>
      </c>
      <c r="F66" t="s">
        <v>1837</v>
      </c>
      <c r="J66">
        <v>1</v>
      </c>
      <c r="K66">
        <v>1</v>
      </c>
      <c r="L66">
        <v>0</v>
      </c>
      <c r="M66" t="s">
        <v>2989</v>
      </c>
    </row>
    <row r="67" spans="1:13" x14ac:dyDescent="0.25">
      <c r="A67" t="s">
        <v>202</v>
      </c>
      <c r="B67" t="s">
        <v>203</v>
      </c>
      <c r="C67" t="s">
        <v>204</v>
      </c>
      <c r="D67" t="s">
        <v>1838</v>
      </c>
      <c r="E67" t="s">
        <v>42</v>
      </c>
      <c r="F67" t="s">
        <v>1837</v>
      </c>
      <c r="J67">
        <v>1</v>
      </c>
      <c r="K67">
        <v>1</v>
      </c>
      <c r="L67">
        <v>0</v>
      </c>
      <c r="M67" t="s">
        <v>2990</v>
      </c>
    </row>
    <row r="68" spans="1:13" x14ac:dyDescent="0.25">
      <c r="A68" t="s">
        <v>205</v>
      </c>
      <c r="B68" t="s">
        <v>206</v>
      </c>
      <c r="C68" t="s">
        <v>207</v>
      </c>
      <c r="D68" t="s">
        <v>1839</v>
      </c>
      <c r="E68" t="s">
        <v>7</v>
      </c>
      <c r="F68" t="s">
        <v>1797</v>
      </c>
      <c r="G68" t="s">
        <v>1815</v>
      </c>
      <c r="I68" t="s">
        <v>90</v>
      </c>
      <c r="J68">
        <v>1</v>
      </c>
      <c r="K68">
        <v>1</v>
      </c>
      <c r="L68">
        <v>1</v>
      </c>
      <c r="M68" t="s">
        <v>2991</v>
      </c>
    </row>
    <row r="69" spans="1:13" x14ac:dyDescent="0.25">
      <c r="A69" t="s">
        <v>208</v>
      </c>
      <c r="B69" t="s">
        <v>209</v>
      </c>
      <c r="C69" t="s">
        <v>210</v>
      </c>
      <c r="D69" t="s">
        <v>1840</v>
      </c>
      <c r="E69" t="s">
        <v>21</v>
      </c>
      <c r="F69" t="s">
        <v>1770</v>
      </c>
      <c r="J69">
        <v>1</v>
      </c>
      <c r="K69">
        <v>1</v>
      </c>
      <c r="L69">
        <v>0</v>
      </c>
      <c r="M69" t="s">
        <v>2992</v>
      </c>
    </row>
    <row r="70" spans="1:13" x14ac:dyDescent="0.25">
      <c r="A70" t="s">
        <v>211</v>
      </c>
      <c r="B70" t="s">
        <v>212</v>
      </c>
      <c r="C70" t="s">
        <v>213</v>
      </c>
      <c r="D70" t="s">
        <v>1841</v>
      </c>
      <c r="E70" t="s">
        <v>21</v>
      </c>
      <c r="F70" t="s">
        <v>1770</v>
      </c>
      <c r="J70">
        <v>1</v>
      </c>
      <c r="K70">
        <v>1</v>
      </c>
      <c r="L70">
        <v>0</v>
      </c>
      <c r="M70" t="s">
        <v>2993</v>
      </c>
    </row>
    <row r="71" spans="1:13" x14ac:dyDescent="0.25">
      <c r="A71" t="s">
        <v>214</v>
      </c>
      <c r="B71" t="s">
        <v>215</v>
      </c>
      <c r="C71" t="s">
        <v>216</v>
      </c>
      <c r="D71" t="s">
        <v>1842</v>
      </c>
      <c r="E71" t="s">
        <v>42</v>
      </c>
      <c r="F71" t="s">
        <v>1837</v>
      </c>
      <c r="I71" t="s">
        <v>90</v>
      </c>
      <c r="J71">
        <v>1</v>
      </c>
      <c r="K71">
        <v>1</v>
      </c>
      <c r="L71">
        <v>0</v>
      </c>
      <c r="M71" t="s">
        <v>2994</v>
      </c>
    </row>
    <row r="72" spans="1:13" x14ac:dyDescent="0.25">
      <c r="A72" t="s">
        <v>217</v>
      </c>
      <c r="B72" t="s">
        <v>218</v>
      </c>
      <c r="C72" t="s">
        <v>219</v>
      </c>
      <c r="D72" t="s">
        <v>1843</v>
      </c>
      <c r="E72" t="s">
        <v>42</v>
      </c>
      <c r="F72" t="s">
        <v>1837</v>
      </c>
      <c r="I72" t="s">
        <v>90</v>
      </c>
      <c r="J72">
        <v>1</v>
      </c>
      <c r="K72">
        <v>1</v>
      </c>
      <c r="L72">
        <v>0</v>
      </c>
      <c r="M72" t="s">
        <v>2995</v>
      </c>
    </row>
    <row r="73" spans="1:13" x14ac:dyDescent="0.25">
      <c r="A73" t="s">
        <v>220</v>
      </c>
      <c r="B73" t="s">
        <v>221</v>
      </c>
      <c r="C73" t="s">
        <v>222</v>
      </c>
      <c r="D73" t="s">
        <v>1844</v>
      </c>
      <c r="E73" t="s">
        <v>223</v>
      </c>
      <c r="F73" t="s">
        <v>223</v>
      </c>
      <c r="J73">
        <v>1</v>
      </c>
      <c r="K73">
        <v>1</v>
      </c>
      <c r="L73">
        <v>0</v>
      </c>
      <c r="M73" t="s">
        <v>2996</v>
      </c>
    </row>
    <row r="74" spans="1:13" x14ac:dyDescent="0.25">
      <c r="A74" t="s">
        <v>224</v>
      </c>
      <c r="B74" t="s">
        <v>225</v>
      </c>
      <c r="C74" t="s">
        <v>226</v>
      </c>
      <c r="D74" t="s">
        <v>1845</v>
      </c>
      <c r="E74" t="s">
        <v>223</v>
      </c>
      <c r="F74" t="s">
        <v>223</v>
      </c>
      <c r="J74">
        <v>1</v>
      </c>
      <c r="K74">
        <v>1</v>
      </c>
      <c r="L74">
        <v>1</v>
      </c>
      <c r="M74" t="s">
        <v>2997</v>
      </c>
    </row>
    <row r="75" spans="1:13" x14ac:dyDescent="0.25">
      <c r="A75" t="s">
        <v>227</v>
      </c>
      <c r="B75" t="s">
        <v>228</v>
      </c>
      <c r="C75" t="s">
        <v>229</v>
      </c>
      <c r="D75" t="s">
        <v>1846</v>
      </c>
      <c r="E75" t="s">
        <v>223</v>
      </c>
      <c r="F75" t="s">
        <v>223</v>
      </c>
      <c r="J75">
        <v>1</v>
      </c>
      <c r="K75">
        <v>1</v>
      </c>
      <c r="L75">
        <v>0</v>
      </c>
      <c r="M75" t="s">
        <v>2998</v>
      </c>
    </row>
    <row r="76" spans="1:13" x14ac:dyDescent="0.25">
      <c r="A76" t="s">
        <v>230</v>
      </c>
      <c r="B76" t="s">
        <v>231</v>
      </c>
      <c r="C76" t="s">
        <v>232</v>
      </c>
      <c r="D76" t="s">
        <v>1847</v>
      </c>
      <c r="E76" t="s">
        <v>223</v>
      </c>
      <c r="F76" t="s">
        <v>223</v>
      </c>
      <c r="J76">
        <v>1</v>
      </c>
      <c r="K76">
        <v>1</v>
      </c>
      <c r="L76">
        <v>1</v>
      </c>
      <c r="M76" t="s">
        <v>2999</v>
      </c>
    </row>
    <row r="77" spans="1:13" x14ac:dyDescent="0.25">
      <c r="A77" t="s">
        <v>233</v>
      </c>
      <c r="B77" t="s">
        <v>234</v>
      </c>
      <c r="C77" t="s">
        <v>235</v>
      </c>
      <c r="D77" t="s">
        <v>1848</v>
      </c>
      <c r="E77" t="s">
        <v>223</v>
      </c>
      <c r="F77" t="s">
        <v>223</v>
      </c>
      <c r="J77">
        <v>1</v>
      </c>
      <c r="K77">
        <v>1</v>
      </c>
      <c r="L77">
        <v>1</v>
      </c>
      <c r="M77" t="s">
        <v>3000</v>
      </c>
    </row>
    <row r="78" spans="1:13" x14ac:dyDescent="0.25">
      <c r="A78" t="s">
        <v>236</v>
      </c>
      <c r="B78" t="s">
        <v>237</v>
      </c>
      <c r="C78" t="s">
        <v>238</v>
      </c>
      <c r="D78" t="s">
        <v>1849</v>
      </c>
      <c r="E78" t="s">
        <v>223</v>
      </c>
      <c r="F78" t="s">
        <v>223</v>
      </c>
      <c r="J78">
        <v>1</v>
      </c>
      <c r="K78">
        <v>1</v>
      </c>
      <c r="L78">
        <v>1</v>
      </c>
      <c r="M78" t="s">
        <v>3001</v>
      </c>
    </row>
    <row r="79" spans="1:13" x14ac:dyDescent="0.25">
      <c r="A79" t="s">
        <v>239</v>
      </c>
      <c r="B79" t="s">
        <v>240</v>
      </c>
      <c r="C79" t="s">
        <v>241</v>
      </c>
      <c r="D79" t="s">
        <v>1850</v>
      </c>
      <c r="E79" t="s">
        <v>223</v>
      </c>
      <c r="F79" t="s">
        <v>223</v>
      </c>
      <c r="J79">
        <v>1</v>
      </c>
      <c r="K79">
        <v>1</v>
      </c>
      <c r="L79">
        <v>1</v>
      </c>
      <c r="M79" t="s">
        <v>3002</v>
      </c>
    </row>
    <row r="80" spans="1:13" x14ac:dyDescent="0.25">
      <c r="A80" t="s">
        <v>242</v>
      </c>
      <c r="B80" t="s">
        <v>243</v>
      </c>
      <c r="C80" t="s">
        <v>244</v>
      </c>
      <c r="D80" t="s">
        <v>1851</v>
      </c>
      <c r="E80" t="s">
        <v>223</v>
      </c>
      <c r="F80" t="s">
        <v>223</v>
      </c>
      <c r="J80">
        <v>1</v>
      </c>
      <c r="K80">
        <v>1</v>
      </c>
      <c r="L80">
        <v>1</v>
      </c>
      <c r="M80" t="s">
        <v>3003</v>
      </c>
    </row>
    <row r="81" spans="1:13" x14ac:dyDescent="0.25">
      <c r="A81" t="s">
        <v>245</v>
      </c>
      <c r="B81" t="s">
        <v>246</v>
      </c>
      <c r="C81" t="s">
        <v>247</v>
      </c>
      <c r="D81" t="s">
        <v>1852</v>
      </c>
      <c r="E81" t="s">
        <v>223</v>
      </c>
      <c r="F81" t="s">
        <v>223</v>
      </c>
      <c r="J81">
        <v>1</v>
      </c>
      <c r="K81">
        <v>1</v>
      </c>
      <c r="L81">
        <v>1</v>
      </c>
      <c r="M81" t="s">
        <v>3004</v>
      </c>
    </row>
    <row r="82" spans="1:13" x14ac:dyDescent="0.25">
      <c r="A82" t="s">
        <v>248</v>
      </c>
      <c r="B82" t="s">
        <v>249</v>
      </c>
      <c r="C82" t="s">
        <v>250</v>
      </c>
      <c r="D82" t="s">
        <v>1853</v>
      </c>
      <c r="E82" t="s">
        <v>223</v>
      </c>
      <c r="F82" t="s">
        <v>223</v>
      </c>
      <c r="J82">
        <v>1</v>
      </c>
      <c r="K82">
        <v>1</v>
      </c>
      <c r="L82">
        <v>1</v>
      </c>
      <c r="M82" t="s">
        <v>3005</v>
      </c>
    </row>
    <row r="83" spans="1:13" x14ac:dyDescent="0.25">
      <c r="A83" t="s">
        <v>251</v>
      </c>
      <c r="B83" t="s">
        <v>252</v>
      </c>
      <c r="C83" t="s">
        <v>253</v>
      </c>
      <c r="D83" t="s">
        <v>1854</v>
      </c>
      <c r="E83" t="s">
        <v>223</v>
      </c>
      <c r="F83" t="s">
        <v>223</v>
      </c>
      <c r="J83">
        <v>1</v>
      </c>
      <c r="K83">
        <v>1</v>
      </c>
      <c r="L83">
        <v>0</v>
      </c>
      <c r="M83" t="s">
        <v>3006</v>
      </c>
    </row>
    <row r="84" spans="1:13" x14ac:dyDescent="0.25">
      <c r="A84" t="s">
        <v>254</v>
      </c>
      <c r="B84" t="s">
        <v>255</v>
      </c>
      <c r="C84" t="s">
        <v>256</v>
      </c>
      <c r="D84" t="s">
        <v>1855</v>
      </c>
      <c r="E84" t="s">
        <v>223</v>
      </c>
      <c r="F84" t="s">
        <v>223</v>
      </c>
      <c r="J84">
        <v>1</v>
      </c>
      <c r="K84">
        <v>1</v>
      </c>
      <c r="L84">
        <v>1</v>
      </c>
      <c r="M84" t="s">
        <v>3007</v>
      </c>
    </row>
    <row r="85" spans="1:13" x14ac:dyDescent="0.25">
      <c r="A85" t="s">
        <v>257</v>
      </c>
      <c r="B85" t="s">
        <v>258</v>
      </c>
      <c r="C85" t="s">
        <v>259</v>
      </c>
      <c r="D85" t="s">
        <v>1856</v>
      </c>
      <c r="E85" t="s">
        <v>223</v>
      </c>
      <c r="F85" t="s">
        <v>223</v>
      </c>
      <c r="J85">
        <v>1</v>
      </c>
      <c r="K85">
        <v>1</v>
      </c>
      <c r="L85">
        <v>1</v>
      </c>
      <c r="M85" t="s">
        <v>3008</v>
      </c>
    </row>
    <row r="86" spans="1:13" x14ac:dyDescent="0.25">
      <c r="A86" t="s">
        <v>260</v>
      </c>
      <c r="B86" t="s">
        <v>261</v>
      </c>
      <c r="C86" t="s">
        <v>262</v>
      </c>
      <c r="D86" t="s">
        <v>1857</v>
      </c>
      <c r="E86" t="s">
        <v>223</v>
      </c>
      <c r="F86" t="s">
        <v>223</v>
      </c>
      <c r="J86">
        <v>1</v>
      </c>
      <c r="K86">
        <v>1</v>
      </c>
      <c r="L86">
        <v>1</v>
      </c>
      <c r="M86" t="s">
        <v>3009</v>
      </c>
    </row>
    <row r="87" spans="1:13" x14ac:dyDescent="0.25">
      <c r="A87" t="s">
        <v>263</v>
      </c>
      <c r="B87" t="s">
        <v>264</v>
      </c>
      <c r="C87" t="s">
        <v>265</v>
      </c>
      <c r="D87" t="s">
        <v>1858</v>
      </c>
      <c r="E87" t="s">
        <v>223</v>
      </c>
      <c r="F87" t="s">
        <v>223</v>
      </c>
      <c r="J87">
        <v>1</v>
      </c>
      <c r="K87">
        <v>1</v>
      </c>
      <c r="L87">
        <v>1</v>
      </c>
      <c r="M87" t="s">
        <v>3010</v>
      </c>
    </row>
    <row r="88" spans="1:13" x14ac:dyDescent="0.25">
      <c r="A88" t="s">
        <v>266</v>
      </c>
      <c r="B88" t="s">
        <v>267</v>
      </c>
      <c r="C88" t="s">
        <v>268</v>
      </c>
      <c r="D88" t="s">
        <v>1859</v>
      </c>
      <c r="E88" t="s">
        <v>223</v>
      </c>
      <c r="F88" t="s">
        <v>223</v>
      </c>
      <c r="J88">
        <v>1</v>
      </c>
      <c r="K88">
        <v>1</v>
      </c>
      <c r="L88">
        <v>1</v>
      </c>
      <c r="M88" t="s">
        <v>3011</v>
      </c>
    </row>
    <row r="89" spans="1:13" x14ac:dyDescent="0.25">
      <c r="A89" t="s">
        <v>269</v>
      </c>
      <c r="B89" t="s">
        <v>270</v>
      </c>
      <c r="C89" t="s">
        <v>271</v>
      </c>
      <c r="D89" t="s">
        <v>1860</v>
      </c>
      <c r="E89" t="s">
        <v>223</v>
      </c>
      <c r="F89" t="s">
        <v>223</v>
      </c>
      <c r="J89">
        <v>1</v>
      </c>
      <c r="K89">
        <v>1</v>
      </c>
      <c r="L89">
        <v>1</v>
      </c>
      <c r="M89" t="s">
        <v>3012</v>
      </c>
    </row>
    <row r="90" spans="1:13" x14ac:dyDescent="0.25">
      <c r="A90" t="s">
        <v>272</v>
      </c>
      <c r="B90" t="s">
        <v>273</v>
      </c>
      <c r="C90" t="s">
        <v>274</v>
      </c>
      <c r="D90" t="s">
        <v>1861</v>
      </c>
      <c r="E90" t="s">
        <v>223</v>
      </c>
      <c r="F90" t="s">
        <v>223</v>
      </c>
      <c r="J90">
        <v>1</v>
      </c>
      <c r="K90">
        <v>1</v>
      </c>
      <c r="L90">
        <v>1</v>
      </c>
      <c r="M90" t="s">
        <v>3013</v>
      </c>
    </row>
    <row r="91" spans="1:13" x14ac:dyDescent="0.25">
      <c r="A91" t="s">
        <v>275</v>
      </c>
      <c r="B91" t="s">
        <v>276</v>
      </c>
      <c r="C91" t="s">
        <v>277</v>
      </c>
      <c r="D91" t="s">
        <v>1862</v>
      </c>
      <c r="E91" t="s">
        <v>223</v>
      </c>
      <c r="F91" t="s">
        <v>223</v>
      </c>
      <c r="J91">
        <v>1</v>
      </c>
      <c r="K91">
        <v>1</v>
      </c>
      <c r="L91">
        <v>1</v>
      </c>
      <c r="M91" t="s">
        <v>3014</v>
      </c>
    </row>
    <row r="92" spans="1:13" x14ac:dyDescent="0.25">
      <c r="A92" t="s">
        <v>278</v>
      </c>
      <c r="B92" t="s">
        <v>279</v>
      </c>
      <c r="C92" t="s">
        <v>280</v>
      </c>
      <c r="D92" t="s">
        <v>1863</v>
      </c>
      <c r="E92" t="s">
        <v>223</v>
      </c>
      <c r="F92" t="s">
        <v>223</v>
      </c>
      <c r="J92">
        <v>1</v>
      </c>
      <c r="K92">
        <v>1</v>
      </c>
      <c r="L92">
        <v>1</v>
      </c>
      <c r="M92" t="s">
        <v>3015</v>
      </c>
    </row>
    <row r="93" spans="1:13" x14ac:dyDescent="0.25">
      <c r="A93" t="s">
        <v>281</v>
      </c>
      <c r="B93" t="s">
        <v>282</v>
      </c>
      <c r="C93" t="s">
        <v>283</v>
      </c>
      <c r="D93" t="s">
        <v>1864</v>
      </c>
      <c r="E93" t="s">
        <v>223</v>
      </c>
      <c r="F93" t="s">
        <v>223</v>
      </c>
      <c r="J93">
        <v>1</v>
      </c>
      <c r="K93">
        <v>1</v>
      </c>
      <c r="L93">
        <v>1</v>
      </c>
      <c r="M93" t="s">
        <v>3016</v>
      </c>
    </row>
    <row r="94" spans="1:13" x14ac:dyDescent="0.25">
      <c r="A94" t="s">
        <v>284</v>
      </c>
      <c r="B94" t="s">
        <v>285</v>
      </c>
      <c r="C94" t="s">
        <v>286</v>
      </c>
      <c r="D94" t="s">
        <v>1865</v>
      </c>
      <c r="E94" t="s">
        <v>223</v>
      </c>
      <c r="F94" t="s">
        <v>223</v>
      </c>
      <c r="J94">
        <v>1</v>
      </c>
      <c r="K94">
        <v>1</v>
      </c>
      <c r="L94">
        <v>0</v>
      </c>
      <c r="M94" t="s">
        <v>3017</v>
      </c>
    </row>
    <row r="95" spans="1:13" x14ac:dyDescent="0.25">
      <c r="A95" t="s">
        <v>287</v>
      </c>
      <c r="B95" t="s">
        <v>288</v>
      </c>
      <c r="C95" t="s">
        <v>289</v>
      </c>
      <c r="D95" t="s">
        <v>1866</v>
      </c>
      <c r="E95" t="s">
        <v>223</v>
      </c>
      <c r="F95" t="s">
        <v>223</v>
      </c>
      <c r="I95" t="s">
        <v>290</v>
      </c>
      <c r="J95">
        <v>1</v>
      </c>
      <c r="K95">
        <v>1</v>
      </c>
      <c r="L95">
        <v>0</v>
      </c>
      <c r="M95" t="s">
        <v>3018</v>
      </c>
    </row>
    <row r="96" spans="1:13" x14ac:dyDescent="0.25">
      <c r="A96" t="s">
        <v>291</v>
      </c>
      <c r="B96" t="s">
        <v>292</v>
      </c>
      <c r="C96" t="s">
        <v>293</v>
      </c>
      <c r="D96" t="s">
        <v>1867</v>
      </c>
      <c r="E96" t="s">
        <v>223</v>
      </c>
      <c r="F96" t="s">
        <v>223</v>
      </c>
      <c r="J96">
        <v>1</v>
      </c>
      <c r="K96">
        <v>1</v>
      </c>
      <c r="L96">
        <v>1</v>
      </c>
      <c r="M96" t="s">
        <v>3019</v>
      </c>
    </row>
    <row r="97" spans="1:13" x14ac:dyDescent="0.25">
      <c r="A97" t="s">
        <v>294</v>
      </c>
      <c r="B97" t="s">
        <v>295</v>
      </c>
      <c r="C97" t="s">
        <v>296</v>
      </c>
      <c r="D97" t="s">
        <v>1868</v>
      </c>
      <c r="E97" t="s">
        <v>223</v>
      </c>
      <c r="F97" t="s">
        <v>223</v>
      </c>
      <c r="J97">
        <v>1</v>
      </c>
      <c r="K97">
        <v>1</v>
      </c>
      <c r="L97">
        <v>1</v>
      </c>
      <c r="M97" t="s">
        <v>3020</v>
      </c>
    </row>
    <row r="98" spans="1:13" x14ac:dyDescent="0.25">
      <c r="A98" t="s">
        <v>297</v>
      </c>
      <c r="B98" t="s">
        <v>298</v>
      </c>
      <c r="C98" t="s">
        <v>299</v>
      </c>
      <c r="D98" t="s">
        <v>1869</v>
      </c>
      <c r="E98" t="s">
        <v>223</v>
      </c>
      <c r="F98" t="s">
        <v>223</v>
      </c>
      <c r="J98">
        <v>1</v>
      </c>
      <c r="K98">
        <v>1</v>
      </c>
      <c r="L98">
        <v>1</v>
      </c>
      <c r="M98" t="s">
        <v>3021</v>
      </c>
    </row>
    <row r="99" spans="1:13" x14ac:dyDescent="0.25">
      <c r="A99" t="s">
        <v>300</v>
      </c>
      <c r="B99" t="s">
        <v>301</v>
      </c>
      <c r="C99" t="s">
        <v>302</v>
      </c>
      <c r="D99" t="s">
        <v>1870</v>
      </c>
      <c r="E99" t="s">
        <v>3566</v>
      </c>
      <c r="F99" t="s">
        <v>1761</v>
      </c>
      <c r="G99" t="s">
        <v>1762</v>
      </c>
      <c r="J99">
        <v>1</v>
      </c>
      <c r="K99">
        <v>1</v>
      </c>
      <c r="L99">
        <v>1</v>
      </c>
      <c r="M99" t="s">
        <v>3022</v>
      </c>
    </row>
    <row r="100" spans="1:13" x14ac:dyDescent="0.25">
      <c r="A100" t="s">
        <v>303</v>
      </c>
      <c r="B100" t="s">
        <v>304</v>
      </c>
      <c r="C100" t="s">
        <v>305</v>
      </c>
      <c r="D100" t="s">
        <v>1871</v>
      </c>
      <c r="E100" t="s">
        <v>3566</v>
      </c>
      <c r="F100" t="s">
        <v>1761</v>
      </c>
      <c r="G100" t="s">
        <v>1762</v>
      </c>
      <c r="J100">
        <v>1</v>
      </c>
      <c r="K100">
        <v>1</v>
      </c>
      <c r="L100">
        <v>1</v>
      </c>
      <c r="M100" t="s">
        <v>3023</v>
      </c>
    </row>
    <row r="101" spans="1:13" x14ac:dyDescent="0.25">
      <c r="A101" t="s">
        <v>2796</v>
      </c>
      <c r="B101" t="s">
        <v>306</v>
      </c>
      <c r="C101" t="s">
        <v>307</v>
      </c>
      <c r="D101" t="s">
        <v>1872</v>
      </c>
      <c r="E101" t="s">
        <v>3566</v>
      </c>
      <c r="F101" t="s">
        <v>1804</v>
      </c>
      <c r="J101">
        <v>1</v>
      </c>
      <c r="K101">
        <v>1</v>
      </c>
      <c r="L101">
        <v>0</v>
      </c>
      <c r="M101" t="s">
        <v>3024</v>
      </c>
    </row>
    <row r="102" spans="1:13" x14ac:dyDescent="0.25">
      <c r="A102" t="s">
        <v>308</v>
      </c>
      <c r="B102" t="s">
        <v>309</v>
      </c>
      <c r="C102" t="s">
        <v>310</v>
      </c>
      <c r="D102" t="s">
        <v>1873</v>
      </c>
      <c r="E102" t="s">
        <v>3566</v>
      </c>
      <c r="F102" t="s">
        <v>1874</v>
      </c>
      <c r="J102">
        <v>1</v>
      </c>
      <c r="K102">
        <v>1</v>
      </c>
      <c r="L102">
        <v>0</v>
      </c>
      <c r="M102" t="s">
        <v>3025</v>
      </c>
    </row>
    <row r="103" spans="1:13" x14ac:dyDescent="0.25">
      <c r="A103" t="s">
        <v>311</v>
      </c>
      <c r="B103" t="s">
        <v>312</v>
      </c>
      <c r="C103" t="s">
        <v>313</v>
      </c>
      <c r="D103" t="s">
        <v>1875</v>
      </c>
      <c r="E103" t="s">
        <v>3566</v>
      </c>
      <c r="F103" t="s">
        <v>1815</v>
      </c>
      <c r="G103" t="s">
        <v>1804</v>
      </c>
      <c r="J103">
        <v>1</v>
      </c>
      <c r="K103">
        <v>1</v>
      </c>
      <c r="L103">
        <v>1</v>
      </c>
      <c r="M103" t="s">
        <v>3026</v>
      </c>
    </row>
    <row r="104" spans="1:13" x14ac:dyDescent="0.25">
      <c r="A104" t="s">
        <v>314</v>
      </c>
      <c r="B104" t="s">
        <v>315</v>
      </c>
      <c r="C104" t="s">
        <v>316</v>
      </c>
      <c r="D104" t="s">
        <v>1876</v>
      </c>
      <c r="E104" t="s">
        <v>111</v>
      </c>
      <c r="F104" t="s">
        <v>1877</v>
      </c>
      <c r="J104">
        <v>1</v>
      </c>
      <c r="K104">
        <v>1</v>
      </c>
      <c r="L104">
        <v>0</v>
      </c>
      <c r="M104" t="s">
        <v>3027</v>
      </c>
    </row>
    <row r="105" spans="1:13" x14ac:dyDescent="0.25">
      <c r="A105" t="s">
        <v>317</v>
      </c>
      <c r="B105" t="s">
        <v>318</v>
      </c>
      <c r="C105" t="s">
        <v>319</v>
      </c>
      <c r="D105" t="s">
        <v>1878</v>
      </c>
      <c r="E105" t="s">
        <v>320</v>
      </c>
      <c r="F105" t="s">
        <v>1879</v>
      </c>
      <c r="J105">
        <v>1</v>
      </c>
      <c r="K105">
        <v>1</v>
      </c>
      <c r="L105">
        <v>1</v>
      </c>
      <c r="M105" t="s">
        <v>3028</v>
      </c>
    </row>
    <row r="106" spans="1:13" x14ac:dyDescent="0.25">
      <c r="A106" t="s">
        <v>321</v>
      </c>
      <c r="B106" t="s">
        <v>322</v>
      </c>
      <c r="C106" t="s">
        <v>323</v>
      </c>
      <c r="D106" t="s">
        <v>1880</v>
      </c>
      <c r="E106" t="s">
        <v>3566</v>
      </c>
      <c r="F106" t="s">
        <v>1785</v>
      </c>
      <c r="J106">
        <v>1</v>
      </c>
      <c r="K106">
        <v>1</v>
      </c>
      <c r="L106">
        <v>0</v>
      </c>
      <c r="M106" t="s">
        <v>3029</v>
      </c>
    </row>
    <row r="107" spans="1:13" x14ac:dyDescent="0.25">
      <c r="A107" t="s">
        <v>160</v>
      </c>
      <c r="B107" s="38" t="s">
        <v>324</v>
      </c>
      <c r="C107" t="s">
        <v>325</v>
      </c>
      <c r="D107" t="s">
        <v>1881</v>
      </c>
      <c r="E107" t="s">
        <v>119</v>
      </c>
      <c r="F107" t="s">
        <v>1804</v>
      </c>
      <c r="J107">
        <v>1</v>
      </c>
      <c r="K107">
        <v>1</v>
      </c>
      <c r="L107">
        <v>1</v>
      </c>
      <c r="M107" t="s">
        <v>3030</v>
      </c>
    </row>
    <row r="108" spans="1:13" x14ac:dyDescent="0.25">
      <c r="A108" t="s">
        <v>2797</v>
      </c>
      <c r="B108" t="s">
        <v>326</v>
      </c>
      <c r="C108" t="s">
        <v>327</v>
      </c>
      <c r="D108" t="s">
        <v>1882</v>
      </c>
      <c r="E108" t="s">
        <v>111</v>
      </c>
      <c r="F108" t="s">
        <v>1751</v>
      </c>
      <c r="J108">
        <v>1</v>
      </c>
      <c r="K108">
        <v>1</v>
      </c>
      <c r="L108">
        <v>0</v>
      </c>
      <c r="M108" t="s">
        <v>3031</v>
      </c>
    </row>
    <row r="109" spans="1:13" x14ac:dyDescent="0.25">
      <c r="A109" t="s">
        <v>328</v>
      </c>
      <c r="B109" t="s">
        <v>329</v>
      </c>
      <c r="C109" t="s">
        <v>330</v>
      </c>
      <c r="D109" t="s">
        <v>1883</v>
      </c>
      <c r="E109" t="s">
        <v>3566</v>
      </c>
      <c r="F109" t="s">
        <v>1790</v>
      </c>
      <c r="J109">
        <v>1</v>
      </c>
      <c r="K109">
        <v>1</v>
      </c>
      <c r="L109">
        <v>0</v>
      </c>
      <c r="M109" t="s">
        <v>3032</v>
      </c>
    </row>
    <row r="110" spans="1:13" x14ac:dyDescent="0.25">
      <c r="A110" t="s">
        <v>331</v>
      </c>
      <c r="B110" t="s">
        <v>332</v>
      </c>
      <c r="C110" t="s">
        <v>333</v>
      </c>
      <c r="D110" t="s">
        <v>1884</v>
      </c>
      <c r="E110" t="s">
        <v>3566</v>
      </c>
      <c r="F110" t="s">
        <v>1751</v>
      </c>
      <c r="J110">
        <v>1</v>
      </c>
      <c r="K110">
        <v>1</v>
      </c>
      <c r="L110">
        <v>0</v>
      </c>
      <c r="M110" t="s">
        <v>3033</v>
      </c>
    </row>
    <row r="111" spans="1:13" x14ac:dyDescent="0.25">
      <c r="A111" t="s">
        <v>2798</v>
      </c>
      <c r="B111" t="s">
        <v>334</v>
      </c>
      <c r="C111" t="s">
        <v>335</v>
      </c>
      <c r="D111" t="s">
        <v>1885</v>
      </c>
      <c r="E111" t="s">
        <v>21</v>
      </c>
      <c r="F111" t="s">
        <v>1886</v>
      </c>
      <c r="J111">
        <v>1</v>
      </c>
      <c r="K111">
        <v>1</v>
      </c>
      <c r="L111">
        <v>0</v>
      </c>
      <c r="M111" t="s">
        <v>3034</v>
      </c>
    </row>
    <row r="112" spans="1:13" x14ac:dyDescent="0.25">
      <c r="A112" t="s">
        <v>2799</v>
      </c>
      <c r="B112" t="s">
        <v>337</v>
      </c>
      <c r="C112" t="s">
        <v>338</v>
      </c>
      <c r="D112" t="s">
        <v>1887</v>
      </c>
      <c r="E112" t="s">
        <v>21</v>
      </c>
      <c r="F112" t="s">
        <v>1886</v>
      </c>
      <c r="J112">
        <v>1</v>
      </c>
      <c r="K112">
        <v>1</v>
      </c>
      <c r="L112">
        <v>0</v>
      </c>
      <c r="M112" t="s">
        <v>3035</v>
      </c>
    </row>
    <row r="113" spans="1:13" x14ac:dyDescent="0.25">
      <c r="A113" t="s">
        <v>2800</v>
      </c>
      <c r="B113" t="s">
        <v>339</v>
      </c>
      <c r="C113" t="s">
        <v>340</v>
      </c>
      <c r="D113" t="s">
        <v>1888</v>
      </c>
      <c r="E113" t="s">
        <v>21</v>
      </c>
      <c r="F113" t="s">
        <v>1886</v>
      </c>
      <c r="I113" t="s">
        <v>22</v>
      </c>
      <c r="J113">
        <v>1</v>
      </c>
      <c r="K113">
        <v>1</v>
      </c>
      <c r="L113">
        <v>0</v>
      </c>
      <c r="M113" t="s">
        <v>3036</v>
      </c>
    </row>
    <row r="114" spans="1:13" x14ac:dyDescent="0.25">
      <c r="A114" t="s">
        <v>2801</v>
      </c>
      <c r="B114" t="s">
        <v>341</v>
      </c>
      <c r="C114" t="s">
        <v>342</v>
      </c>
      <c r="D114" t="s">
        <v>1889</v>
      </c>
      <c r="E114" t="s">
        <v>21</v>
      </c>
      <c r="F114" t="s">
        <v>1886</v>
      </c>
      <c r="J114">
        <v>1</v>
      </c>
      <c r="K114">
        <v>1</v>
      </c>
      <c r="L114">
        <v>0</v>
      </c>
      <c r="M114" t="s">
        <v>3037</v>
      </c>
    </row>
    <row r="115" spans="1:13" x14ac:dyDescent="0.25">
      <c r="A115" t="s">
        <v>2802</v>
      </c>
      <c r="B115" t="s">
        <v>344</v>
      </c>
      <c r="C115" t="s">
        <v>345</v>
      </c>
      <c r="D115" t="s">
        <v>1890</v>
      </c>
      <c r="E115" t="s">
        <v>21</v>
      </c>
      <c r="F115" t="s">
        <v>1886</v>
      </c>
      <c r="J115">
        <v>1</v>
      </c>
      <c r="K115">
        <v>1</v>
      </c>
      <c r="L115">
        <v>0</v>
      </c>
      <c r="M115" t="s">
        <v>3038</v>
      </c>
    </row>
    <row r="116" spans="1:13" x14ac:dyDescent="0.25">
      <c r="A116" t="s">
        <v>2803</v>
      </c>
      <c r="B116" t="s">
        <v>346</v>
      </c>
      <c r="C116" t="s">
        <v>347</v>
      </c>
      <c r="D116" t="s">
        <v>1891</v>
      </c>
      <c r="E116" t="s">
        <v>21</v>
      </c>
      <c r="F116" t="s">
        <v>1886</v>
      </c>
      <c r="J116">
        <v>1</v>
      </c>
      <c r="K116">
        <v>1</v>
      </c>
      <c r="L116">
        <v>0</v>
      </c>
      <c r="M116" t="s">
        <v>3039</v>
      </c>
    </row>
    <row r="117" spans="1:13" x14ac:dyDescent="0.25">
      <c r="A117" t="s">
        <v>2804</v>
      </c>
      <c r="B117" t="s">
        <v>348</v>
      </c>
      <c r="C117" t="s">
        <v>349</v>
      </c>
      <c r="D117" t="s">
        <v>1892</v>
      </c>
      <c r="E117" t="s">
        <v>21</v>
      </c>
      <c r="F117" t="s">
        <v>1886</v>
      </c>
      <c r="I117" t="s">
        <v>22</v>
      </c>
      <c r="J117">
        <v>1</v>
      </c>
      <c r="K117">
        <v>1</v>
      </c>
      <c r="L117">
        <v>0</v>
      </c>
      <c r="M117" t="s">
        <v>3040</v>
      </c>
    </row>
    <row r="118" spans="1:13" x14ac:dyDescent="0.25">
      <c r="A118" t="s">
        <v>2805</v>
      </c>
      <c r="B118" t="s">
        <v>350</v>
      </c>
      <c r="C118" t="s">
        <v>351</v>
      </c>
      <c r="D118" t="s">
        <v>1893</v>
      </c>
      <c r="E118" t="s">
        <v>21</v>
      </c>
      <c r="F118" t="s">
        <v>1886</v>
      </c>
      <c r="J118">
        <v>1</v>
      </c>
      <c r="K118">
        <v>1</v>
      </c>
      <c r="L118">
        <v>0</v>
      </c>
      <c r="M118" t="s">
        <v>3041</v>
      </c>
    </row>
    <row r="119" spans="1:13" x14ac:dyDescent="0.25">
      <c r="A119" t="s">
        <v>2806</v>
      </c>
      <c r="B119" t="s">
        <v>352</v>
      </c>
      <c r="C119" t="s">
        <v>353</v>
      </c>
      <c r="D119" t="s">
        <v>1894</v>
      </c>
      <c r="E119" t="s">
        <v>21</v>
      </c>
      <c r="F119" t="s">
        <v>1886</v>
      </c>
      <c r="J119">
        <v>1</v>
      </c>
      <c r="K119">
        <v>1</v>
      </c>
      <c r="L119">
        <v>0</v>
      </c>
      <c r="M119" t="s">
        <v>3042</v>
      </c>
    </row>
    <row r="120" spans="1:13" x14ac:dyDescent="0.25">
      <c r="A120" t="s">
        <v>2807</v>
      </c>
      <c r="B120" t="s">
        <v>354</v>
      </c>
      <c r="C120" t="s">
        <v>355</v>
      </c>
      <c r="D120" t="s">
        <v>1895</v>
      </c>
      <c r="E120" t="s">
        <v>21</v>
      </c>
      <c r="F120" t="s">
        <v>1886</v>
      </c>
      <c r="J120">
        <v>1</v>
      </c>
      <c r="K120">
        <v>1</v>
      </c>
      <c r="L120">
        <v>0</v>
      </c>
      <c r="M120" t="s">
        <v>3043</v>
      </c>
    </row>
    <row r="121" spans="1:13" x14ac:dyDescent="0.25">
      <c r="A121" t="s">
        <v>2808</v>
      </c>
      <c r="B121" t="s">
        <v>356</v>
      </c>
      <c r="C121" t="s">
        <v>357</v>
      </c>
      <c r="D121" t="s">
        <v>1896</v>
      </c>
      <c r="E121" t="s">
        <v>21</v>
      </c>
      <c r="F121" t="s">
        <v>1886</v>
      </c>
      <c r="J121">
        <v>1</v>
      </c>
      <c r="K121">
        <v>1</v>
      </c>
      <c r="L121">
        <v>0</v>
      </c>
      <c r="M121" t="s">
        <v>3044</v>
      </c>
    </row>
    <row r="122" spans="1:13" x14ac:dyDescent="0.25">
      <c r="A122" t="s">
        <v>2809</v>
      </c>
      <c r="B122" t="s">
        <v>358</v>
      </c>
      <c r="C122" t="s">
        <v>359</v>
      </c>
      <c r="D122" t="s">
        <v>1897</v>
      </c>
      <c r="E122" t="s">
        <v>21</v>
      </c>
      <c r="F122" t="s">
        <v>1886</v>
      </c>
      <c r="I122" t="s">
        <v>22</v>
      </c>
      <c r="J122">
        <v>1</v>
      </c>
      <c r="K122">
        <v>1</v>
      </c>
      <c r="L122">
        <v>0</v>
      </c>
      <c r="M122" t="s">
        <v>3045</v>
      </c>
    </row>
    <row r="123" spans="1:13" x14ac:dyDescent="0.25">
      <c r="A123" t="s">
        <v>2810</v>
      </c>
      <c r="B123" t="s">
        <v>360</v>
      </c>
      <c r="C123" t="s">
        <v>361</v>
      </c>
      <c r="D123" t="s">
        <v>1898</v>
      </c>
      <c r="E123" t="s">
        <v>21</v>
      </c>
      <c r="F123" t="s">
        <v>1886</v>
      </c>
      <c r="I123" t="s">
        <v>22</v>
      </c>
      <c r="J123">
        <v>1</v>
      </c>
      <c r="K123">
        <v>1</v>
      </c>
      <c r="L123">
        <v>1</v>
      </c>
      <c r="M123" t="s">
        <v>3046</v>
      </c>
    </row>
    <row r="124" spans="1:13" x14ac:dyDescent="0.25">
      <c r="A124" t="s">
        <v>2811</v>
      </c>
      <c r="B124" t="s">
        <v>362</v>
      </c>
      <c r="C124" t="s">
        <v>363</v>
      </c>
      <c r="D124" t="s">
        <v>1899</v>
      </c>
      <c r="E124" t="s">
        <v>21</v>
      </c>
      <c r="F124" t="s">
        <v>1886</v>
      </c>
      <c r="J124">
        <v>1</v>
      </c>
      <c r="K124">
        <v>1</v>
      </c>
      <c r="L124">
        <v>0</v>
      </c>
      <c r="M124" t="s">
        <v>3047</v>
      </c>
    </row>
    <row r="125" spans="1:13" x14ac:dyDescent="0.25">
      <c r="A125" t="s">
        <v>2812</v>
      </c>
      <c r="B125" t="s">
        <v>364</v>
      </c>
      <c r="C125" t="s">
        <v>365</v>
      </c>
      <c r="D125" t="s">
        <v>1900</v>
      </c>
      <c r="E125" t="s">
        <v>21</v>
      </c>
      <c r="F125" t="s">
        <v>1886</v>
      </c>
      <c r="J125">
        <v>1</v>
      </c>
      <c r="K125">
        <v>1</v>
      </c>
      <c r="L125">
        <v>0</v>
      </c>
      <c r="M125" t="s">
        <v>3048</v>
      </c>
    </row>
    <row r="126" spans="1:13" x14ac:dyDescent="0.25">
      <c r="A126" t="s">
        <v>2813</v>
      </c>
      <c r="B126" t="s">
        <v>366</v>
      </c>
      <c r="C126" t="s">
        <v>367</v>
      </c>
      <c r="D126" t="s">
        <v>1901</v>
      </c>
      <c r="E126" t="s">
        <v>21</v>
      </c>
      <c r="F126" t="s">
        <v>1886</v>
      </c>
      <c r="J126">
        <v>1</v>
      </c>
      <c r="K126">
        <v>1</v>
      </c>
      <c r="L126">
        <v>0</v>
      </c>
      <c r="M126" t="s">
        <v>3049</v>
      </c>
    </row>
    <row r="127" spans="1:13" x14ac:dyDescent="0.25">
      <c r="A127" t="s">
        <v>368</v>
      </c>
      <c r="B127" t="s">
        <v>369</v>
      </c>
      <c r="C127" t="s">
        <v>370</v>
      </c>
      <c r="D127" t="s">
        <v>1902</v>
      </c>
      <c r="E127" t="s">
        <v>111</v>
      </c>
      <c r="F127" t="s">
        <v>1781</v>
      </c>
      <c r="I127" t="s">
        <v>662</v>
      </c>
      <c r="J127">
        <v>1</v>
      </c>
      <c r="K127">
        <v>1</v>
      </c>
      <c r="L127">
        <v>0</v>
      </c>
      <c r="M127" t="s">
        <v>3050</v>
      </c>
    </row>
    <row r="128" spans="1:13" x14ac:dyDescent="0.25">
      <c r="A128" t="s">
        <v>2437</v>
      </c>
      <c r="B128" t="s">
        <v>371</v>
      </c>
      <c r="C128" t="s">
        <v>372</v>
      </c>
      <c r="D128" t="s">
        <v>3569</v>
      </c>
      <c r="E128" t="s">
        <v>3566</v>
      </c>
      <c r="F128" t="s">
        <v>1919</v>
      </c>
      <c r="J128">
        <v>1</v>
      </c>
      <c r="K128">
        <v>0</v>
      </c>
      <c r="L128">
        <v>1</v>
      </c>
      <c r="M128" t="s">
        <v>3051</v>
      </c>
    </row>
    <row r="129" spans="1:13" x14ac:dyDescent="0.25">
      <c r="A129" t="s">
        <v>373</v>
      </c>
      <c r="B129" t="s">
        <v>374</v>
      </c>
      <c r="C129" t="s">
        <v>375</v>
      </c>
      <c r="D129" t="s">
        <v>1903</v>
      </c>
      <c r="E129" t="s">
        <v>38</v>
      </c>
      <c r="F129" t="s">
        <v>38</v>
      </c>
      <c r="G129" t="s">
        <v>1777</v>
      </c>
      <c r="J129">
        <v>1</v>
      </c>
      <c r="K129">
        <v>1</v>
      </c>
      <c r="L129">
        <v>1</v>
      </c>
      <c r="M129" t="s">
        <v>3052</v>
      </c>
    </row>
    <row r="130" spans="1:13" x14ac:dyDescent="0.25">
      <c r="A130" t="s">
        <v>376</v>
      </c>
      <c r="B130" t="s">
        <v>377</v>
      </c>
      <c r="C130" t="s">
        <v>378</v>
      </c>
      <c r="D130" t="s">
        <v>1904</v>
      </c>
      <c r="E130" t="s">
        <v>3566</v>
      </c>
      <c r="F130" t="s">
        <v>1765</v>
      </c>
      <c r="I130" t="s">
        <v>8</v>
      </c>
      <c r="J130">
        <v>1</v>
      </c>
      <c r="K130">
        <v>1</v>
      </c>
      <c r="L130">
        <v>0</v>
      </c>
      <c r="M130" t="s">
        <v>3053</v>
      </c>
    </row>
    <row r="131" spans="1:13" x14ac:dyDescent="0.25">
      <c r="A131" t="s">
        <v>379</v>
      </c>
      <c r="B131" t="s">
        <v>380</v>
      </c>
      <c r="C131" t="s">
        <v>381</v>
      </c>
      <c r="D131" t="s">
        <v>1905</v>
      </c>
      <c r="E131" t="s">
        <v>320</v>
      </c>
      <c r="F131" t="s">
        <v>1804</v>
      </c>
      <c r="G131" t="s">
        <v>1777</v>
      </c>
      <c r="J131">
        <v>1</v>
      </c>
      <c r="K131">
        <v>1</v>
      </c>
      <c r="L131">
        <v>1</v>
      </c>
      <c r="M131" t="s">
        <v>3054</v>
      </c>
    </row>
    <row r="132" spans="1:13" x14ac:dyDescent="0.25">
      <c r="A132" t="s">
        <v>382</v>
      </c>
      <c r="B132" t="s">
        <v>383</v>
      </c>
      <c r="C132" t="s">
        <v>384</v>
      </c>
      <c r="D132" t="s">
        <v>1906</v>
      </c>
      <c r="E132" t="s">
        <v>320</v>
      </c>
      <c r="F132" t="s">
        <v>1804</v>
      </c>
      <c r="G132" t="s">
        <v>1777</v>
      </c>
      <c r="J132">
        <v>1</v>
      </c>
      <c r="K132">
        <v>1</v>
      </c>
      <c r="L132">
        <v>1</v>
      </c>
      <c r="M132" t="s">
        <v>3055</v>
      </c>
    </row>
    <row r="133" spans="1:13" x14ac:dyDescent="0.25">
      <c r="A133" t="s">
        <v>385</v>
      </c>
      <c r="B133" t="s">
        <v>386</v>
      </c>
      <c r="C133" t="s">
        <v>387</v>
      </c>
      <c r="D133" t="s">
        <v>1907</v>
      </c>
      <c r="E133" t="s">
        <v>38</v>
      </c>
      <c r="F133" t="s">
        <v>38</v>
      </c>
      <c r="I133" t="s">
        <v>8</v>
      </c>
      <c r="J133">
        <v>1</v>
      </c>
      <c r="K133">
        <v>1</v>
      </c>
      <c r="L133">
        <v>0</v>
      </c>
      <c r="M133" t="s">
        <v>3056</v>
      </c>
    </row>
    <row r="134" spans="1:13" x14ac:dyDescent="0.25">
      <c r="A134" t="s">
        <v>388</v>
      </c>
      <c r="B134" t="s">
        <v>389</v>
      </c>
      <c r="C134" t="s">
        <v>390</v>
      </c>
      <c r="D134" t="s">
        <v>1908</v>
      </c>
      <c r="E134" t="s">
        <v>320</v>
      </c>
      <c r="F134" t="s">
        <v>1777</v>
      </c>
      <c r="J134">
        <v>1</v>
      </c>
      <c r="K134">
        <v>0</v>
      </c>
      <c r="L134">
        <v>1</v>
      </c>
      <c r="M134" t="s">
        <v>3057</v>
      </c>
    </row>
    <row r="135" spans="1:13" x14ac:dyDescent="0.25">
      <c r="A135" t="s">
        <v>2814</v>
      </c>
      <c r="B135" t="s">
        <v>391</v>
      </c>
      <c r="C135" t="s">
        <v>392</v>
      </c>
      <c r="D135" t="s">
        <v>1909</v>
      </c>
      <c r="E135" t="s">
        <v>119</v>
      </c>
      <c r="F135" t="s">
        <v>1802</v>
      </c>
      <c r="J135">
        <v>1</v>
      </c>
      <c r="K135">
        <v>1</v>
      </c>
      <c r="L135">
        <v>0</v>
      </c>
      <c r="M135" t="s">
        <v>3058</v>
      </c>
    </row>
    <row r="136" spans="1:13" x14ac:dyDescent="0.25">
      <c r="A136" t="s">
        <v>393</v>
      </c>
      <c r="B136" t="s">
        <v>394</v>
      </c>
      <c r="C136" t="s">
        <v>395</v>
      </c>
      <c r="D136" t="s">
        <v>1910</v>
      </c>
      <c r="E136" t="s">
        <v>21</v>
      </c>
      <c r="F136" t="s">
        <v>1911</v>
      </c>
      <c r="I136" t="s">
        <v>22</v>
      </c>
      <c r="J136">
        <v>1</v>
      </c>
      <c r="K136">
        <v>1</v>
      </c>
      <c r="L136">
        <v>1</v>
      </c>
      <c r="M136" t="s">
        <v>3059</v>
      </c>
    </row>
    <row r="137" spans="1:13" x14ac:dyDescent="0.25">
      <c r="A137" t="s">
        <v>396</v>
      </c>
      <c r="B137" t="s">
        <v>397</v>
      </c>
      <c r="C137" t="s">
        <v>398</v>
      </c>
      <c r="D137" t="s">
        <v>1912</v>
      </c>
      <c r="E137" t="s">
        <v>7</v>
      </c>
      <c r="F137" t="s">
        <v>1781</v>
      </c>
      <c r="I137" t="s">
        <v>8</v>
      </c>
      <c r="J137">
        <v>1</v>
      </c>
      <c r="K137">
        <v>1</v>
      </c>
      <c r="L137">
        <v>0</v>
      </c>
      <c r="M137" t="s">
        <v>3060</v>
      </c>
    </row>
    <row r="138" spans="1:13" x14ac:dyDescent="0.25">
      <c r="A138" t="s">
        <v>399</v>
      </c>
      <c r="B138" t="s">
        <v>400</v>
      </c>
      <c r="C138" t="s">
        <v>401</v>
      </c>
      <c r="D138" t="s">
        <v>2405</v>
      </c>
      <c r="E138" t="s">
        <v>7</v>
      </c>
      <c r="F138" t="s">
        <v>1913</v>
      </c>
      <c r="J138">
        <v>1</v>
      </c>
      <c r="K138">
        <v>0</v>
      </c>
      <c r="L138">
        <v>1</v>
      </c>
      <c r="M138" t="s">
        <v>3061</v>
      </c>
    </row>
    <row r="139" spans="1:13" x14ac:dyDescent="0.25">
      <c r="A139" t="s">
        <v>402</v>
      </c>
      <c r="B139" t="s">
        <v>403</v>
      </c>
      <c r="C139" t="s">
        <v>404</v>
      </c>
      <c r="D139" t="s">
        <v>1914</v>
      </c>
      <c r="E139" t="s">
        <v>320</v>
      </c>
      <c r="F139" t="s">
        <v>1879</v>
      </c>
      <c r="J139">
        <v>1</v>
      </c>
      <c r="K139">
        <v>1</v>
      </c>
      <c r="L139">
        <v>1</v>
      </c>
      <c r="M139" t="s">
        <v>3062</v>
      </c>
    </row>
    <row r="140" spans="1:13" x14ac:dyDescent="0.25">
      <c r="A140" t="s">
        <v>405</v>
      </c>
      <c r="B140" t="s">
        <v>406</v>
      </c>
      <c r="C140" t="s">
        <v>407</v>
      </c>
      <c r="D140" t="s">
        <v>1915</v>
      </c>
      <c r="E140" t="s">
        <v>3566</v>
      </c>
      <c r="F140" t="s">
        <v>1916</v>
      </c>
      <c r="J140">
        <v>1</v>
      </c>
      <c r="K140">
        <v>1</v>
      </c>
      <c r="L140">
        <v>1</v>
      </c>
      <c r="M140" t="s">
        <v>3063</v>
      </c>
    </row>
    <row r="141" spans="1:13" x14ac:dyDescent="0.25">
      <c r="A141" t="s">
        <v>408</v>
      </c>
      <c r="B141" t="s">
        <v>409</v>
      </c>
      <c r="C141" t="s">
        <v>410</v>
      </c>
      <c r="D141" t="s">
        <v>1917</v>
      </c>
      <c r="E141" t="s">
        <v>3566</v>
      </c>
      <c r="F141" t="s">
        <v>38</v>
      </c>
      <c r="J141">
        <v>1</v>
      </c>
      <c r="K141">
        <v>1</v>
      </c>
      <c r="L141">
        <v>0</v>
      </c>
      <c r="M141" t="s">
        <v>3064</v>
      </c>
    </row>
    <row r="142" spans="1:13" x14ac:dyDescent="0.25">
      <c r="A142" t="s">
        <v>411</v>
      </c>
      <c r="B142" t="s">
        <v>412</v>
      </c>
      <c r="C142" t="s">
        <v>413</v>
      </c>
      <c r="D142" t="s">
        <v>1918</v>
      </c>
      <c r="E142" t="s">
        <v>38</v>
      </c>
      <c r="F142" t="s">
        <v>38</v>
      </c>
      <c r="I142" t="s">
        <v>8</v>
      </c>
      <c r="J142">
        <v>1</v>
      </c>
      <c r="K142">
        <v>1</v>
      </c>
      <c r="L142">
        <v>0</v>
      </c>
      <c r="M142" t="s">
        <v>3065</v>
      </c>
    </row>
    <row r="143" spans="1:13" x14ac:dyDescent="0.25">
      <c r="A143" t="s">
        <v>414</v>
      </c>
      <c r="B143" t="s">
        <v>415</v>
      </c>
      <c r="C143" t="s">
        <v>416</v>
      </c>
      <c r="D143" t="s">
        <v>2406</v>
      </c>
      <c r="E143" t="s">
        <v>3566</v>
      </c>
      <c r="F143" t="s">
        <v>1919</v>
      </c>
      <c r="J143">
        <v>1</v>
      </c>
      <c r="K143">
        <v>0</v>
      </c>
      <c r="L143">
        <v>1</v>
      </c>
      <c r="M143" t="s">
        <v>3066</v>
      </c>
    </row>
    <row r="144" spans="1:13" x14ac:dyDescent="0.25">
      <c r="A144" t="s">
        <v>2815</v>
      </c>
      <c r="B144" t="s">
        <v>417</v>
      </c>
      <c r="C144" t="s">
        <v>418</v>
      </c>
      <c r="D144" t="s">
        <v>1920</v>
      </c>
      <c r="E144" t="s">
        <v>3566</v>
      </c>
      <c r="F144" t="s">
        <v>1921</v>
      </c>
      <c r="J144">
        <v>0</v>
      </c>
      <c r="K144">
        <v>1</v>
      </c>
      <c r="L144">
        <v>0</v>
      </c>
      <c r="M144" t="s">
        <v>3067</v>
      </c>
    </row>
    <row r="145" spans="1:13" x14ac:dyDescent="0.25">
      <c r="A145" t="s">
        <v>419</v>
      </c>
      <c r="B145" t="s">
        <v>420</v>
      </c>
      <c r="C145" t="s">
        <v>421</v>
      </c>
      <c r="D145" t="s">
        <v>1922</v>
      </c>
      <c r="E145" t="s">
        <v>3566</v>
      </c>
      <c r="F145" t="s">
        <v>1921</v>
      </c>
      <c r="J145">
        <v>1</v>
      </c>
      <c r="K145">
        <v>1</v>
      </c>
      <c r="L145">
        <v>0</v>
      </c>
      <c r="M145" t="s">
        <v>3068</v>
      </c>
    </row>
    <row r="146" spans="1:13" x14ac:dyDescent="0.25">
      <c r="A146" t="s">
        <v>422</v>
      </c>
      <c r="B146" t="s">
        <v>423</v>
      </c>
      <c r="C146" t="s">
        <v>424</v>
      </c>
      <c r="D146" t="s">
        <v>1923</v>
      </c>
      <c r="E146" t="s">
        <v>104</v>
      </c>
      <c r="J146">
        <v>1</v>
      </c>
      <c r="L146">
        <v>1</v>
      </c>
      <c r="M146" t="s">
        <v>3069</v>
      </c>
    </row>
    <row r="147" spans="1:13" x14ac:dyDescent="0.25">
      <c r="A147" t="s">
        <v>425</v>
      </c>
      <c r="B147" t="s">
        <v>426</v>
      </c>
      <c r="C147" t="s">
        <v>427</v>
      </c>
      <c r="D147" t="s">
        <v>1924</v>
      </c>
      <c r="E147" t="s">
        <v>82</v>
      </c>
      <c r="F147" t="s">
        <v>1925</v>
      </c>
      <c r="J147">
        <v>1</v>
      </c>
      <c r="K147">
        <v>1</v>
      </c>
      <c r="L147">
        <v>0</v>
      </c>
      <c r="M147" t="s">
        <v>3070</v>
      </c>
    </row>
    <row r="148" spans="1:13" x14ac:dyDescent="0.25">
      <c r="A148" t="s">
        <v>428</v>
      </c>
      <c r="B148" t="s">
        <v>429</v>
      </c>
      <c r="C148" t="s">
        <v>430</v>
      </c>
      <c r="D148" t="s">
        <v>1926</v>
      </c>
      <c r="E148" t="s">
        <v>82</v>
      </c>
      <c r="F148" t="s">
        <v>1925</v>
      </c>
      <c r="J148">
        <v>1</v>
      </c>
      <c r="K148">
        <v>1</v>
      </c>
      <c r="L148">
        <v>0</v>
      </c>
      <c r="M148" t="s">
        <v>3071</v>
      </c>
    </row>
    <row r="149" spans="1:13" x14ac:dyDescent="0.25">
      <c r="A149" t="s">
        <v>431</v>
      </c>
      <c r="B149" t="s">
        <v>432</v>
      </c>
      <c r="C149" t="s">
        <v>433</v>
      </c>
      <c r="D149" t="s">
        <v>1927</v>
      </c>
      <c r="E149" t="s">
        <v>89</v>
      </c>
      <c r="F149" t="s">
        <v>1788</v>
      </c>
      <c r="I149" t="s">
        <v>90</v>
      </c>
      <c r="J149">
        <v>1</v>
      </c>
      <c r="K149">
        <v>1</v>
      </c>
      <c r="L149">
        <v>0</v>
      </c>
      <c r="M149" t="s">
        <v>3072</v>
      </c>
    </row>
    <row r="150" spans="1:13" x14ac:dyDescent="0.25">
      <c r="A150" t="s">
        <v>434</v>
      </c>
      <c r="B150" t="s">
        <v>435</v>
      </c>
      <c r="C150" t="s">
        <v>436</v>
      </c>
      <c r="D150" t="s">
        <v>1928</v>
      </c>
      <c r="E150" t="s">
        <v>89</v>
      </c>
      <c r="F150" t="s">
        <v>1788</v>
      </c>
      <c r="I150" t="s">
        <v>90</v>
      </c>
      <c r="J150">
        <v>1</v>
      </c>
      <c r="K150">
        <v>1</v>
      </c>
      <c r="L150">
        <v>0</v>
      </c>
      <c r="M150" t="s">
        <v>3073</v>
      </c>
    </row>
    <row r="151" spans="1:13" x14ac:dyDescent="0.25">
      <c r="A151" t="s">
        <v>437</v>
      </c>
      <c r="B151" t="s">
        <v>438</v>
      </c>
      <c r="C151" t="s">
        <v>439</v>
      </c>
      <c r="D151" t="s">
        <v>1929</v>
      </c>
      <c r="E151" t="s">
        <v>3566</v>
      </c>
      <c r="F151" t="s">
        <v>1930</v>
      </c>
      <c r="I151" t="s">
        <v>1931</v>
      </c>
      <c r="J151">
        <v>1</v>
      </c>
      <c r="K151">
        <v>1</v>
      </c>
      <c r="L151">
        <v>0</v>
      </c>
      <c r="M151" t="s">
        <v>3074</v>
      </c>
    </row>
    <row r="152" spans="1:13" x14ac:dyDescent="0.25">
      <c r="A152" t="s">
        <v>440</v>
      </c>
      <c r="B152" t="s">
        <v>441</v>
      </c>
      <c r="C152" t="s">
        <v>442</v>
      </c>
      <c r="D152" t="s">
        <v>1932</v>
      </c>
      <c r="E152" t="s">
        <v>104</v>
      </c>
      <c r="F152" t="s">
        <v>104</v>
      </c>
      <c r="J152">
        <v>1</v>
      </c>
      <c r="K152">
        <v>1</v>
      </c>
      <c r="L152">
        <v>0</v>
      </c>
      <c r="M152" t="s">
        <v>3075</v>
      </c>
    </row>
    <row r="153" spans="1:13" x14ac:dyDescent="0.25">
      <c r="A153" t="s">
        <v>443</v>
      </c>
      <c r="B153" t="s">
        <v>444</v>
      </c>
      <c r="C153" t="s">
        <v>445</v>
      </c>
      <c r="D153" t="s">
        <v>1933</v>
      </c>
      <c r="E153" t="s">
        <v>82</v>
      </c>
      <c r="F153" t="s">
        <v>1785</v>
      </c>
      <c r="J153">
        <v>1</v>
      </c>
      <c r="K153">
        <v>1</v>
      </c>
      <c r="L153">
        <v>1</v>
      </c>
      <c r="M153" t="s">
        <v>3076</v>
      </c>
    </row>
    <row r="154" spans="1:13" x14ac:dyDescent="0.25">
      <c r="A154" t="s">
        <v>446</v>
      </c>
      <c r="B154" t="s">
        <v>447</v>
      </c>
      <c r="C154" t="s">
        <v>448</v>
      </c>
      <c r="D154" t="s">
        <v>1934</v>
      </c>
      <c r="E154" t="s">
        <v>104</v>
      </c>
      <c r="F154" t="s">
        <v>1935</v>
      </c>
      <c r="J154">
        <v>1</v>
      </c>
      <c r="K154">
        <v>1</v>
      </c>
      <c r="L154">
        <v>0</v>
      </c>
      <c r="M154" t="s">
        <v>3077</v>
      </c>
    </row>
    <row r="155" spans="1:13" x14ac:dyDescent="0.25">
      <c r="A155" t="s">
        <v>2816</v>
      </c>
      <c r="B155" t="s">
        <v>449</v>
      </c>
      <c r="C155" t="s">
        <v>450</v>
      </c>
      <c r="D155" t="s">
        <v>1936</v>
      </c>
      <c r="E155" t="s">
        <v>21</v>
      </c>
      <c r="F155" t="s">
        <v>1770</v>
      </c>
      <c r="J155">
        <v>1</v>
      </c>
      <c r="K155">
        <v>1</v>
      </c>
      <c r="L155">
        <v>0</v>
      </c>
      <c r="M155" t="s">
        <v>3078</v>
      </c>
    </row>
    <row r="156" spans="1:13" x14ac:dyDescent="0.25">
      <c r="A156" t="s">
        <v>451</v>
      </c>
      <c r="B156" t="s">
        <v>452</v>
      </c>
      <c r="C156" t="s">
        <v>453</v>
      </c>
      <c r="D156" t="s">
        <v>1937</v>
      </c>
      <c r="E156" t="s">
        <v>21</v>
      </c>
      <c r="F156" t="s">
        <v>1757</v>
      </c>
      <c r="I156" t="s">
        <v>22</v>
      </c>
      <c r="J156">
        <v>1</v>
      </c>
      <c r="K156">
        <v>1</v>
      </c>
      <c r="L156">
        <v>1</v>
      </c>
      <c r="M156" t="s">
        <v>3079</v>
      </c>
    </row>
    <row r="157" spans="1:13" x14ac:dyDescent="0.25">
      <c r="A157" t="s">
        <v>454</v>
      </c>
      <c r="B157" t="s">
        <v>455</v>
      </c>
      <c r="C157" t="s">
        <v>456</v>
      </c>
      <c r="D157" t="s">
        <v>1938</v>
      </c>
      <c r="E157" t="s">
        <v>21</v>
      </c>
      <c r="F157" t="s">
        <v>1770</v>
      </c>
      <c r="I157" t="s">
        <v>22</v>
      </c>
      <c r="J157">
        <v>1</v>
      </c>
      <c r="K157">
        <v>1</v>
      </c>
      <c r="L157">
        <v>1</v>
      </c>
      <c r="M157" t="s">
        <v>3080</v>
      </c>
    </row>
    <row r="158" spans="1:13" x14ac:dyDescent="0.25">
      <c r="A158" t="s">
        <v>457</v>
      </c>
      <c r="B158" t="s">
        <v>458</v>
      </c>
      <c r="C158" t="s">
        <v>459</v>
      </c>
      <c r="D158" t="s">
        <v>1939</v>
      </c>
      <c r="E158" t="s">
        <v>21</v>
      </c>
      <c r="F158" t="s">
        <v>1940</v>
      </c>
      <c r="I158" t="s">
        <v>8</v>
      </c>
      <c r="J158">
        <v>1</v>
      </c>
      <c r="K158">
        <v>1</v>
      </c>
      <c r="L158">
        <v>0</v>
      </c>
      <c r="M158" t="s">
        <v>3081</v>
      </c>
    </row>
    <row r="159" spans="1:13" x14ac:dyDescent="0.25">
      <c r="A159" t="s">
        <v>460</v>
      </c>
      <c r="B159" t="s">
        <v>461</v>
      </c>
      <c r="C159" t="s">
        <v>462</v>
      </c>
      <c r="D159" t="s">
        <v>1941</v>
      </c>
      <c r="E159" t="s">
        <v>21</v>
      </c>
      <c r="F159" t="s">
        <v>1770</v>
      </c>
      <c r="J159">
        <v>1</v>
      </c>
      <c r="K159">
        <v>1</v>
      </c>
      <c r="L159">
        <v>0</v>
      </c>
      <c r="M159" t="s">
        <v>3082</v>
      </c>
    </row>
    <row r="160" spans="1:13" x14ac:dyDescent="0.25">
      <c r="A160" t="s">
        <v>463</v>
      </c>
      <c r="B160" t="s">
        <v>464</v>
      </c>
      <c r="C160" t="s">
        <v>465</v>
      </c>
      <c r="D160" t="s">
        <v>1942</v>
      </c>
      <c r="E160" t="s">
        <v>21</v>
      </c>
      <c r="F160" t="s">
        <v>1943</v>
      </c>
      <c r="I160" t="s">
        <v>90</v>
      </c>
      <c r="J160">
        <v>1</v>
      </c>
      <c r="K160">
        <v>1</v>
      </c>
      <c r="L160">
        <v>0</v>
      </c>
      <c r="M160" t="s">
        <v>3083</v>
      </c>
    </row>
    <row r="161" spans="1:13" x14ac:dyDescent="0.25">
      <c r="A161" t="s">
        <v>466</v>
      </c>
      <c r="B161" t="s">
        <v>467</v>
      </c>
      <c r="C161" t="s">
        <v>468</v>
      </c>
      <c r="D161" t="s">
        <v>1944</v>
      </c>
      <c r="E161" t="s">
        <v>21</v>
      </c>
      <c r="F161" t="s">
        <v>1770</v>
      </c>
      <c r="I161" t="s">
        <v>22</v>
      </c>
      <c r="J161">
        <v>1</v>
      </c>
      <c r="K161">
        <v>1</v>
      </c>
      <c r="L161">
        <v>1</v>
      </c>
      <c r="M161" t="s">
        <v>3084</v>
      </c>
    </row>
    <row r="162" spans="1:13" x14ac:dyDescent="0.25">
      <c r="A162" t="s">
        <v>469</v>
      </c>
      <c r="B162" t="s">
        <v>470</v>
      </c>
      <c r="C162" t="s">
        <v>471</v>
      </c>
      <c r="D162" t="s">
        <v>1945</v>
      </c>
      <c r="E162" t="s">
        <v>21</v>
      </c>
      <c r="F162" t="s">
        <v>1754</v>
      </c>
      <c r="I162" t="s">
        <v>22</v>
      </c>
      <c r="J162">
        <v>1</v>
      </c>
      <c r="K162">
        <v>1</v>
      </c>
      <c r="L162">
        <v>1</v>
      </c>
      <c r="M162" t="s">
        <v>3085</v>
      </c>
    </row>
    <row r="163" spans="1:13" x14ac:dyDescent="0.25">
      <c r="A163" t="s">
        <v>472</v>
      </c>
      <c r="B163" t="s">
        <v>473</v>
      </c>
      <c r="C163" t="s">
        <v>474</v>
      </c>
      <c r="D163" t="s">
        <v>1946</v>
      </c>
      <c r="E163" t="s">
        <v>21</v>
      </c>
      <c r="F163" t="s">
        <v>1754</v>
      </c>
      <c r="J163">
        <v>1</v>
      </c>
      <c r="K163">
        <v>1</v>
      </c>
      <c r="L163">
        <v>0</v>
      </c>
      <c r="M163" t="s">
        <v>3086</v>
      </c>
    </row>
    <row r="164" spans="1:13" x14ac:dyDescent="0.25">
      <c r="A164" t="s">
        <v>475</v>
      </c>
      <c r="B164" t="s">
        <v>476</v>
      </c>
      <c r="C164" t="s">
        <v>477</v>
      </c>
      <c r="D164" t="s">
        <v>1947</v>
      </c>
      <c r="E164" t="s">
        <v>21</v>
      </c>
      <c r="F164" t="s">
        <v>1940</v>
      </c>
      <c r="J164">
        <v>1</v>
      </c>
      <c r="K164">
        <v>1</v>
      </c>
      <c r="L164">
        <v>0</v>
      </c>
      <c r="M164" t="s">
        <v>3087</v>
      </c>
    </row>
    <row r="165" spans="1:13" x14ac:dyDescent="0.25">
      <c r="A165" t="s">
        <v>478</v>
      </c>
      <c r="B165" t="s">
        <v>479</v>
      </c>
      <c r="C165" t="s">
        <v>480</v>
      </c>
      <c r="D165" t="s">
        <v>1948</v>
      </c>
      <c r="E165" t="s">
        <v>21</v>
      </c>
      <c r="F165" t="s">
        <v>1754</v>
      </c>
      <c r="J165">
        <v>1</v>
      </c>
      <c r="K165">
        <v>1</v>
      </c>
      <c r="L165">
        <v>0</v>
      </c>
      <c r="M165" t="s">
        <v>3088</v>
      </c>
    </row>
    <row r="166" spans="1:13" x14ac:dyDescent="0.25">
      <c r="A166" t="s">
        <v>481</v>
      </c>
      <c r="B166" t="s">
        <v>482</v>
      </c>
      <c r="C166" t="s">
        <v>483</v>
      </c>
      <c r="D166" t="s">
        <v>1949</v>
      </c>
      <c r="E166" t="s">
        <v>21</v>
      </c>
      <c r="F166" t="s">
        <v>1754</v>
      </c>
      <c r="J166">
        <v>1</v>
      </c>
      <c r="K166">
        <v>1</v>
      </c>
      <c r="L166">
        <v>0</v>
      </c>
      <c r="M166" t="s">
        <v>3089</v>
      </c>
    </row>
    <row r="167" spans="1:13" x14ac:dyDescent="0.25">
      <c r="A167" t="s">
        <v>484</v>
      </c>
      <c r="B167" t="s">
        <v>485</v>
      </c>
      <c r="C167" t="s">
        <v>486</v>
      </c>
      <c r="D167" t="s">
        <v>1950</v>
      </c>
      <c r="E167" t="s">
        <v>21</v>
      </c>
      <c r="F167" t="s">
        <v>1951</v>
      </c>
      <c r="J167">
        <v>1</v>
      </c>
      <c r="K167">
        <v>1</v>
      </c>
      <c r="L167">
        <v>0</v>
      </c>
      <c r="M167" t="s">
        <v>3090</v>
      </c>
    </row>
    <row r="168" spans="1:13" x14ac:dyDescent="0.25">
      <c r="A168" t="s">
        <v>487</v>
      </c>
      <c r="B168" t="s">
        <v>488</v>
      </c>
      <c r="C168" t="s">
        <v>489</v>
      </c>
      <c r="D168" t="s">
        <v>1952</v>
      </c>
      <c r="E168" t="s">
        <v>111</v>
      </c>
      <c r="J168">
        <v>1</v>
      </c>
      <c r="K168">
        <v>1</v>
      </c>
      <c r="L168">
        <v>0</v>
      </c>
      <c r="M168" t="s">
        <v>3091</v>
      </c>
    </row>
    <row r="169" spans="1:13" x14ac:dyDescent="0.25">
      <c r="A169" t="s">
        <v>490</v>
      </c>
      <c r="B169" t="s">
        <v>491</v>
      </c>
      <c r="C169" t="s">
        <v>492</v>
      </c>
      <c r="D169" t="s">
        <v>1953</v>
      </c>
      <c r="E169" t="s">
        <v>21</v>
      </c>
      <c r="F169" t="s">
        <v>1943</v>
      </c>
      <c r="J169">
        <v>1</v>
      </c>
      <c r="K169">
        <v>1</v>
      </c>
      <c r="L169">
        <v>0</v>
      </c>
      <c r="M169" t="s">
        <v>3092</v>
      </c>
    </row>
    <row r="170" spans="1:13" x14ac:dyDescent="0.25">
      <c r="A170" t="s">
        <v>493</v>
      </c>
      <c r="B170" t="s">
        <v>494</v>
      </c>
      <c r="C170" t="s">
        <v>495</v>
      </c>
      <c r="D170" t="s">
        <v>1954</v>
      </c>
      <c r="E170" t="s">
        <v>21</v>
      </c>
      <c r="F170" t="s">
        <v>1770</v>
      </c>
      <c r="J170">
        <v>1</v>
      </c>
      <c r="K170">
        <v>1</v>
      </c>
      <c r="L170">
        <v>0</v>
      </c>
      <c r="M170" t="s">
        <v>3093</v>
      </c>
    </row>
    <row r="171" spans="1:13" x14ac:dyDescent="0.25">
      <c r="A171" t="s">
        <v>496</v>
      </c>
      <c r="B171" t="s">
        <v>497</v>
      </c>
      <c r="C171" t="s">
        <v>498</v>
      </c>
      <c r="D171" t="s">
        <v>1955</v>
      </c>
      <c r="E171" t="s">
        <v>21</v>
      </c>
      <c r="F171" t="s">
        <v>1943</v>
      </c>
      <c r="J171">
        <v>1</v>
      </c>
      <c r="K171">
        <v>1</v>
      </c>
      <c r="L171">
        <v>0</v>
      </c>
      <c r="M171" t="s">
        <v>3094</v>
      </c>
    </row>
    <row r="172" spans="1:13" x14ac:dyDescent="0.25">
      <c r="A172" t="s">
        <v>499</v>
      </c>
      <c r="B172" t="s">
        <v>500</v>
      </c>
      <c r="C172" t="s">
        <v>501</v>
      </c>
      <c r="D172" t="s">
        <v>1956</v>
      </c>
      <c r="E172" t="s">
        <v>21</v>
      </c>
      <c r="F172" t="s">
        <v>1770</v>
      </c>
      <c r="J172">
        <v>1</v>
      </c>
      <c r="K172">
        <v>1</v>
      </c>
      <c r="L172">
        <v>0</v>
      </c>
      <c r="M172" t="s">
        <v>3095</v>
      </c>
    </row>
    <row r="173" spans="1:13" x14ac:dyDescent="0.25">
      <c r="A173" t="s">
        <v>502</v>
      </c>
      <c r="B173" t="s">
        <v>503</v>
      </c>
      <c r="C173" t="s">
        <v>504</v>
      </c>
      <c r="D173" t="s">
        <v>1957</v>
      </c>
      <c r="E173" t="s">
        <v>21</v>
      </c>
      <c r="F173" t="s">
        <v>1757</v>
      </c>
      <c r="I173" t="s">
        <v>8</v>
      </c>
      <c r="J173">
        <v>1</v>
      </c>
      <c r="K173">
        <v>1</v>
      </c>
      <c r="L173">
        <v>1</v>
      </c>
      <c r="M173" t="s">
        <v>3096</v>
      </c>
    </row>
    <row r="174" spans="1:13" x14ac:dyDescent="0.25">
      <c r="A174" t="s">
        <v>2817</v>
      </c>
      <c r="B174" t="s">
        <v>505</v>
      </c>
      <c r="C174" t="s">
        <v>506</v>
      </c>
      <c r="D174" t="s">
        <v>1958</v>
      </c>
      <c r="E174" t="s">
        <v>21</v>
      </c>
      <c r="F174" t="s">
        <v>1757</v>
      </c>
      <c r="I174" t="s">
        <v>22</v>
      </c>
      <c r="J174">
        <v>1</v>
      </c>
      <c r="K174">
        <v>1</v>
      </c>
      <c r="L174">
        <v>1</v>
      </c>
      <c r="M174" t="s">
        <v>3097</v>
      </c>
    </row>
    <row r="175" spans="1:13" x14ac:dyDescent="0.25">
      <c r="A175" t="s">
        <v>2818</v>
      </c>
      <c r="B175" t="s">
        <v>507</v>
      </c>
      <c r="C175" t="s">
        <v>508</v>
      </c>
      <c r="D175" t="s">
        <v>1959</v>
      </c>
      <c r="E175" t="s">
        <v>21</v>
      </c>
      <c r="F175" t="s">
        <v>1770</v>
      </c>
      <c r="I175" t="s">
        <v>22</v>
      </c>
      <c r="J175">
        <v>1</v>
      </c>
      <c r="K175">
        <v>1</v>
      </c>
      <c r="L175">
        <v>1</v>
      </c>
      <c r="M175" t="s">
        <v>3098</v>
      </c>
    </row>
    <row r="176" spans="1:13" x14ac:dyDescent="0.25">
      <c r="A176" t="s">
        <v>2819</v>
      </c>
      <c r="B176" t="s">
        <v>509</v>
      </c>
      <c r="C176" t="s">
        <v>510</v>
      </c>
      <c r="D176" t="s">
        <v>1960</v>
      </c>
      <c r="E176" t="s">
        <v>21</v>
      </c>
      <c r="F176" t="s">
        <v>1911</v>
      </c>
      <c r="J176">
        <v>1</v>
      </c>
      <c r="K176">
        <v>1</v>
      </c>
      <c r="L176">
        <v>0</v>
      </c>
      <c r="M176" t="s">
        <v>3099</v>
      </c>
    </row>
    <row r="177" spans="1:13" x14ac:dyDescent="0.25">
      <c r="A177" t="s">
        <v>511</v>
      </c>
      <c r="B177" t="s">
        <v>512</v>
      </c>
      <c r="C177" t="s">
        <v>513</v>
      </c>
      <c r="D177" t="s">
        <v>1961</v>
      </c>
      <c r="E177" t="s">
        <v>21</v>
      </c>
      <c r="F177" t="s">
        <v>1962</v>
      </c>
      <c r="J177">
        <v>1</v>
      </c>
      <c r="K177">
        <v>1</v>
      </c>
      <c r="L177">
        <v>0</v>
      </c>
      <c r="M177" t="s">
        <v>3100</v>
      </c>
    </row>
    <row r="178" spans="1:13" x14ac:dyDescent="0.25">
      <c r="A178" t="s">
        <v>514</v>
      </c>
      <c r="B178" t="s">
        <v>515</v>
      </c>
      <c r="C178" t="s">
        <v>516</v>
      </c>
      <c r="D178" t="s">
        <v>1963</v>
      </c>
      <c r="E178" t="s">
        <v>21</v>
      </c>
      <c r="F178" t="s">
        <v>1962</v>
      </c>
      <c r="J178">
        <v>1</v>
      </c>
      <c r="K178">
        <v>1</v>
      </c>
      <c r="L178">
        <v>0</v>
      </c>
      <c r="M178" t="s">
        <v>3101</v>
      </c>
    </row>
    <row r="179" spans="1:13" x14ac:dyDescent="0.25">
      <c r="A179" t="s">
        <v>517</v>
      </c>
      <c r="B179" t="s">
        <v>518</v>
      </c>
      <c r="C179" t="s">
        <v>519</v>
      </c>
      <c r="D179" t="s">
        <v>1964</v>
      </c>
      <c r="E179" t="s">
        <v>320</v>
      </c>
      <c r="F179" t="s">
        <v>1879</v>
      </c>
      <c r="J179">
        <v>1</v>
      </c>
      <c r="K179">
        <v>1</v>
      </c>
      <c r="L179">
        <v>1</v>
      </c>
      <c r="M179" t="s">
        <v>3102</v>
      </c>
    </row>
    <row r="180" spans="1:13" x14ac:dyDescent="0.25">
      <c r="A180" t="s">
        <v>2820</v>
      </c>
      <c r="B180" t="s">
        <v>520</v>
      </c>
      <c r="C180" t="s">
        <v>521</v>
      </c>
      <c r="D180" t="s">
        <v>1965</v>
      </c>
      <c r="E180" t="s">
        <v>21</v>
      </c>
      <c r="F180" t="s">
        <v>1770</v>
      </c>
      <c r="I180" t="s">
        <v>22</v>
      </c>
      <c r="J180">
        <v>1</v>
      </c>
      <c r="K180">
        <v>1</v>
      </c>
      <c r="L180">
        <v>1</v>
      </c>
      <c r="M180" t="s">
        <v>3103</v>
      </c>
    </row>
    <row r="181" spans="1:13" x14ac:dyDescent="0.25">
      <c r="A181" t="s">
        <v>2821</v>
      </c>
      <c r="B181" t="s">
        <v>522</v>
      </c>
      <c r="C181" t="s">
        <v>523</v>
      </c>
      <c r="D181" t="s">
        <v>1966</v>
      </c>
      <c r="E181" t="s">
        <v>21</v>
      </c>
      <c r="F181" t="s">
        <v>1770</v>
      </c>
      <c r="I181" t="s">
        <v>22</v>
      </c>
      <c r="J181">
        <v>1</v>
      </c>
      <c r="K181">
        <v>1</v>
      </c>
      <c r="L181">
        <v>1</v>
      </c>
      <c r="M181" t="s">
        <v>3104</v>
      </c>
    </row>
    <row r="182" spans="1:13" x14ac:dyDescent="0.25">
      <c r="A182" t="s">
        <v>1967</v>
      </c>
      <c r="B182" t="s">
        <v>1968</v>
      </c>
      <c r="C182" t="s">
        <v>1969</v>
      </c>
      <c r="D182" t="s">
        <v>1970</v>
      </c>
      <c r="E182" t="s">
        <v>3566</v>
      </c>
      <c r="F182" t="s">
        <v>1837</v>
      </c>
      <c r="I182" t="s">
        <v>22</v>
      </c>
      <c r="J182">
        <v>1</v>
      </c>
      <c r="K182">
        <v>1</v>
      </c>
      <c r="L182">
        <v>0</v>
      </c>
      <c r="M182" t="s">
        <v>3105</v>
      </c>
    </row>
    <row r="183" spans="1:13" x14ac:dyDescent="0.25">
      <c r="A183" t="s">
        <v>524</v>
      </c>
      <c r="B183" t="s">
        <v>525</v>
      </c>
      <c r="C183" t="s">
        <v>526</v>
      </c>
      <c r="D183" t="s">
        <v>1971</v>
      </c>
      <c r="E183" t="s">
        <v>7</v>
      </c>
      <c r="F183" t="s">
        <v>1799</v>
      </c>
      <c r="G183" t="s">
        <v>1800</v>
      </c>
      <c r="I183" t="s">
        <v>22</v>
      </c>
      <c r="J183">
        <v>1</v>
      </c>
      <c r="K183">
        <v>1</v>
      </c>
      <c r="L183">
        <v>1</v>
      </c>
      <c r="M183" t="s">
        <v>3106</v>
      </c>
    </row>
    <row r="184" spans="1:13" x14ac:dyDescent="0.25">
      <c r="A184" t="s">
        <v>527</v>
      </c>
      <c r="B184" t="s">
        <v>528</v>
      </c>
      <c r="C184" t="s">
        <v>529</v>
      </c>
      <c r="D184" t="s">
        <v>1972</v>
      </c>
      <c r="E184" t="s">
        <v>42</v>
      </c>
      <c r="F184" t="s">
        <v>1799</v>
      </c>
      <c r="I184" t="s">
        <v>22</v>
      </c>
      <c r="J184">
        <v>1</v>
      </c>
      <c r="K184">
        <v>1</v>
      </c>
      <c r="L184">
        <v>0</v>
      </c>
      <c r="M184" t="s">
        <v>3107</v>
      </c>
    </row>
    <row r="185" spans="1:13" x14ac:dyDescent="0.25">
      <c r="A185" t="s">
        <v>530</v>
      </c>
      <c r="B185" t="s">
        <v>531</v>
      </c>
      <c r="C185" t="s">
        <v>532</v>
      </c>
      <c r="D185" t="s">
        <v>1973</v>
      </c>
      <c r="E185" t="s">
        <v>3566</v>
      </c>
      <c r="F185" t="s">
        <v>1799</v>
      </c>
      <c r="I185" t="s">
        <v>1974</v>
      </c>
      <c r="J185">
        <v>1</v>
      </c>
      <c r="K185">
        <v>1</v>
      </c>
      <c r="L185">
        <v>0</v>
      </c>
      <c r="M185" t="s">
        <v>3108</v>
      </c>
    </row>
    <row r="186" spans="1:13" x14ac:dyDescent="0.25">
      <c r="A186" t="s">
        <v>533</v>
      </c>
      <c r="B186" t="s">
        <v>534</v>
      </c>
      <c r="C186" t="s">
        <v>535</v>
      </c>
      <c r="D186" t="s">
        <v>1975</v>
      </c>
      <c r="E186" t="s">
        <v>3566</v>
      </c>
      <c r="F186" t="s">
        <v>1783</v>
      </c>
      <c r="J186">
        <v>1</v>
      </c>
      <c r="K186">
        <v>1</v>
      </c>
      <c r="L186">
        <v>1</v>
      </c>
      <c r="M186" t="s">
        <v>3109</v>
      </c>
    </row>
    <row r="187" spans="1:13" x14ac:dyDescent="0.25">
      <c r="B187" t="s">
        <v>536</v>
      </c>
      <c r="C187" t="s">
        <v>537</v>
      </c>
      <c r="D187" t="s">
        <v>168</v>
      </c>
      <c r="E187" t="s">
        <v>3566</v>
      </c>
      <c r="M187" t="s">
        <v>3110</v>
      </c>
    </row>
    <row r="188" spans="1:13" x14ac:dyDescent="0.25">
      <c r="A188" t="s">
        <v>538</v>
      </c>
      <c r="B188" t="s">
        <v>539</v>
      </c>
      <c r="C188" t="s">
        <v>540</v>
      </c>
      <c r="D188" t="s">
        <v>1976</v>
      </c>
      <c r="E188" t="s">
        <v>3566</v>
      </c>
      <c r="F188" t="s">
        <v>1977</v>
      </c>
      <c r="J188">
        <v>1</v>
      </c>
      <c r="K188">
        <v>1</v>
      </c>
      <c r="L188">
        <v>0</v>
      </c>
      <c r="M188" t="s">
        <v>3111</v>
      </c>
    </row>
    <row r="189" spans="1:13" x14ac:dyDescent="0.25">
      <c r="A189" t="s">
        <v>541</v>
      </c>
      <c r="B189" t="s">
        <v>542</v>
      </c>
      <c r="C189" t="s">
        <v>543</v>
      </c>
      <c r="D189" t="s">
        <v>1978</v>
      </c>
      <c r="E189" t="s">
        <v>3566</v>
      </c>
      <c r="F189" t="s">
        <v>1979</v>
      </c>
      <c r="J189">
        <v>1</v>
      </c>
      <c r="K189">
        <v>1</v>
      </c>
      <c r="L189">
        <v>1</v>
      </c>
      <c r="M189" t="s">
        <v>3112</v>
      </c>
    </row>
    <row r="190" spans="1:13" x14ac:dyDescent="0.25">
      <c r="A190" t="s">
        <v>544</v>
      </c>
      <c r="B190" t="s">
        <v>545</v>
      </c>
      <c r="C190" t="s">
        <v>546</v>
      </c>
      <c r="D190" t="s">
        <v>1980</v>
      </c>
      <c r="E190" t="s">
        <v>3566</v>
      </c>
      <c r="J190">
        <v>1</v>
      </c>
      <c r="K190">
        <v>1</v>
      </c>
      <c r="L190">
        <v>0</v>
      </c>
      <c r="M190" t="s">
        <v>3113</v>
      </c>
    </row>
    <row r="191" spans="1:13" x14ac:dyDescent="0.25">
      <c r="A191" t="s">
        <v>547</v>
      </c>
      <c r="B191" t="s">
        <v>548</v>
      </c>
      <c r="C191" t="s">
        <v>549</v>
      </c>
      <c r="D191" t="s">
        <v>1981</v>
      </c>
      <c r="E191" t="s">
        <v>3566</v>
      </c>
      <c r="F191" t="s">
        <v>1977</v>
      </c>
      <c r="J191">
        <v>1</v>
      </c>
      <c r="K191">
        <v>1</v>
      </c>
      <c r="L191">
        <v>0</v>
      </c>
      <c r="M191" t="s">
        <v>3114</v>
      </c>
    </row>
    <row r="192" spans="1:13" x14ac:dyDescent="0.25">
      <c r="A192" t="s">
        <v>550</v>
      </c>
      <c r="B192" t="s">
        <v>551</v>
      </c>
      <c r="C192" t="s">
        <v>552</v>
      </c>
      <c r="D192" t="s">
        <v>1982</v>
      </c>
      <c r="E192" t="s">
        <v>7</v>
      </c>
      <c r="J192">
        <v>1</v>
      </c>
      <c r="K192">
        <v>1</v>
      </c>
      <c r="L192">
        <v>1</v>
      </c>
      <c r="M192" t="s">
        <v>3115</v>
      </c>
    </row>
    <row r="193" spans="1:13" x14ac:dyDescent="0.25">
      <c r="A193" t="s">
        <v>553</v>
      </c>
      <c r="B193" t="s">
        <v>554</v>
      </c>
      <c r="C193" t="s">
        <v>555</v>
      </c>
      <c r="D193" t="s">
        <v>1983</v>
      </c>
      <c r="E193" t="s">
        <v>3566</v>
      </c>
      <c r="F193" t="s">
        <v>1977</v>
      </c>
      <c r="J193">
        <v>1</v>
      </c>
      <c r="K193">
        <v>1</v>
      </c>
      <c r="L193">
        <v>0</v>
      </c>
      <c r="M193" t="s">
        <v>3116</v>
      </c>
    </row>
    <row r="194" spans="1:13" x14ac:dyDescent="0.25">
      <c r="A194" t="s">
        <v>556</v>
      </c>
      <c r="B194" t="s">
        <v>557</v>
      </c>
      <c r="C194" t="s">
        <v>558</v>
      </c>
      <c r="D194" t="s">
        <v>1984</v>
      </c>
      <c r="E194" t="s">
        <v>89</v>
      </c>
      <c r="J194">
        <v>1</v>
      </c>
      <c r="K194">
        <v>1</v>
      </c>
      <c r="L194">
        <v>1</v>
      </c>
      <c r="M194" t="s">
        <v>3117</v>
      </c>
    </row>
    <row r="195" spans="1:13" x14ac:dyDescent="0.25">
      <c r="A195" t="s">
        <v>559</v>
      </c>
      <c r="B195" t="s">
        <v>560</v>
      </c>
      <c r="C195" t="s">
        <v>561</v>
      </c>
      <c r="D195" t="s">
        <v>1985</v>
      </c>
      <c r="E195" t="s">
        <v>3566</v>
      </c>
      <c r="F195" t="s">
        <v>1977</v>
      </c>
      <c r="J195">
        <v>1</v>
      </c>
      <c r="K195">
        <v>1</v>
      </c>
      <c r="L195">
        <v>0</v>
      </c>
      <c r="M195" t="s">
        <v>3118</v>
      </c>
    </row>
    <row r="196" spans="1:13" x14ac:dyDescent="0.25">
      <c r="A196" t="s">
        <v>562</v>
      </c>
      <c r="B196" t="s">
        <v>563</v>
      </c>
      <c r="C196" t="s">
        <v>564</v>
      </c>
      <c r="D196" t="s">
        <v>1986</v>
      </c>
      <c r="E196" t="s">
        <v>7</v>
      </c>
      <c r="J196">
        <v>1</v>
      </c>
      <c r="K196">
        <v>1</v>
      </c>
      <c r="L196">
        <v>1</v>
      </c>
      <c r="M196" t="s">
        <v>3119</v>
      </c>
    </row>
    <row r="197" spans="1:13" x14ac:dyDescent="0.25">
      <c r="A197" t="s">
        <v>565</v>
      </c>
      <c r="B197" t="s">
        <v>566</v>
      </c>
      <c r="C197" t="s">
        <v>567</v>
      </c>
      <c r="D197" t="s">
        <v>1987</v>
      </c>
      <c r="E197" t="s">
        <v>3566</v>
      </c>
      <c r="F197" t="s">
        <v>1977</v>
      </c>
      <c r="J197">
        <v>1</v>
      </c>
      <c r="K197">
        <v>1</v>
      </c>
      <c r="L197">
        <v>0</v>
      </c>
      <c r="M197" t="s">
        <v>3120</v>
      </c>
    </row>
    <row r="198" spans="1:13" x14ac:dyDescent="0.25">
      <c r="A198" t="s">
        <v>568</v>
      </c>
      <c r="B198" t="s">
        <v>569</v>
      </c>
      <c r="C198" t="s">
        <v>570</v>
      </c>
      <c r="D198" t="s">
        <v>1988</v>
      </c>
      <c r="E198" t="s">
        <v>3566</v>
      </c>
      <c r="F198" t="s">
        <v>1977</v>
      </c>
      <c r="J198">
        <v>1</v>
      </c>
      <c r="K198">
        <v>1</v>
      </c>
      <c r="L198">
        <v>0</v>
      </c>
      <c r="M198" t="s">
        <v>3121</v>
      </c>
    </row>
    <row r="199" spans="1:13" x14ac:dyDescent="0.25">
      <c r="A199" t="s">
        <v>571</v>
      </c>
      <c r="B199" t="s">
        <v>572</v>
      </c>
      <c r="C199" t="s">
        <v>573</v>
      </c>
      <c r="D199" t="s">
        <v>1989</v>
      </c>
      <c r="E199" t="s">
        <v>3566</v>
      </c>
      <c r="F199" t="s">
        <v>1977</v>
      </c>
      <c r="J199">
        <v>1</v>
      </c>
      <c r="K199">
        <v>1</v>
      </c>
      <c r="L199">
        <v>0</v>
      </c>
      <c r="M199" t="s">
        <v>3122</v>
      </c>
    </row>
    <row r="200" spans="1:13" x14ac:dyDescent="0.25">
      <c r="A200" t="s">
        <v>574</v>
      </c>
      <c r="B200" t="s">
        <v>575</v>
      </c>
      <c r="C200" t="s">
        <v>576</v>
      </c>
      <c r="D200" t="s">
        <v>1990</v>
      </c>
      <c r="E200" t="s">
        <v>3566</v>
      </c>
      <c r="J200">
        <v>1</v>
      </c>
      <c r="K200">
        <v>1</v>
      </c>
      <c r="L200">
        <v>0</v>
      </c>
      <c r="M200" t="s">
        <v>3123</v>
      </c>
    </row>
    <row r="201" spans="1:13" x14ac:dyDescent="0.25">
      <c r="A201" t="s">
        <v>577</v>
      </c>
      <c r="B201" t="s">
        <v>578</v>
      </c>
      <c r="C201" t="s">
        <v>579</v>
      </c>
      <c r="D201" t="s">
        <v>1991</v>
      </c>
      <c r="E201" t="s">
        <v>3566</v>
      </c>
      <c r="J201">
        <v>1</v>
      </c>
      <c r="K201">
        <v>1</v>
      </c>
      <c r="L201">
        <v>0</v>
      </c>
      <c r="M201" t="s">
        <v>3124</v>
      </c>
    </row>
    <row r="202" spans="1:13" x14ac:dyDescent="0.25">
      <c r="A202" t="s">
        <v>580</v>
      </c>
      <c r="B202" t="s">
        <v>581</v>
      </c>
      <c r="C202" t="s">
        <v>582</v>
      </c>
      <c r="D202" t="s">
        <v>1992</v>
      </c>
      <c r="E202" t="s">
        <v>3566</v>
      </c>
      <c r="J202">
        <v>1</v>
      </c>
      <c r="K202">
        <v>1</v>
      </c>
      <c r="L202">
        <v>0</v>
      </c>
      <c r="M202" t="s">
        <v>3125</v>
      </c>
    </row>
    <row r="203" spans="1:13" x14ac:dyDescent="0.25">
      <c r="A203" t="s">
        <v>583</v>
      </c>
      <c r="B203" t="s">
        <v>584</v>
      </c>
      <c r="C203" t="s">
        <v>585</v>
      </c>
      <c r="D203" t="s">
        <v>1993</v>
      </c>
      <c r="E203" t="s">
        <v>3566</v>
      </c>
      <c r="F203" t="s">
        <v>1977</v>
      </c>
      <c r="J203">
        <v>1</v>
      </c>
      <c r="K203">
        <v>1</v>
      </c>
      <c r="L203">
        <v>0</v>
      </c>
      <c r="M203" t="s">
        <v>3126</v>
      </c>
    </row>
    <row r="204" spans="1:13" x14ac:dyDescent="0.25">
      <c r="A204" t="s">
        <v>586</v>
      </c>
      <c r="B204" t="s">
        <v>587</v>
      </c>
      <c r="C204" t="s">
        <v>588</v>
      </c>
      <c r="D204" t="s">
        <v>1994</v>
      </c>
      <c r="E204" t="s">
        <v>3566</v>
      </c>
      <c r="F204" t="s">
        <v>1818</v>
      </c>
      <c r="G204" t="s">
        <v>1804</v>
      </c>
      <c r="J204">
        <v>1</v>
      </c>
      <c r="K204">
        <v>1</v>
      </c>
      <c r="L204">
        <v>1</v>
      </c>
      <c r="M204" t="s">
        <v>3127</v>
      </c>
    </row>
    <row r="205" spans="1:13" x14ac:dyDescent="0.25">
      <c r="A205" t="s">
        <v>589</v>
      </c>
      <c r="B205" t="s">
        <v>590</v>
      </c>
      <c r="C205" t="s">
        <v>591</v>
      </c>
      <c r="D205" t="s">
        <v>1995</v>
      </c>
      <c r="E205" t="s">
        <v>3566</v>
      </c>
      <c r="F205" t="s">
        <v>1874</v>
      </c>
      <c r="J205">
        <v>1</v>
      </c>
      <c r="K205">
        <v>1</v>
      </c>
      <c r="L205">
        <v>0</v>
      </c>
      <c r="M205" t="s">
        <v>3128</v>
      </c>
    </row>
    <row r="206" spans="1:13" x14ac:dyDescent="0.25">
      <c r="A206" t="s">
        <v>592</v>
      </c>
      <c r="B206" t="s">
        <v>593</v>
      </c>
      <c r="C206" t="s">
        <v>594</v>
      </c>
      <c r="D206" t="s">
        <v>1996</v>
      </c>
      <c r="E206" t="s">
        <v>3566</v>
      </c>
      <c r="F206" t="s">
        <v>1765</v>
      </c>
      <c r="J206">
        <v>1</v>
      </c>
      <c r="K206">
        <v>1</v>
      </c>
      <c r="L206">
        <v>1</v>
      </c>
      <c r="M206" t="s">
        <v>3129</v>
      </c>
    </row>
    <row r="207" spans="1:13" x14ac:dyDescent="0.25">
      <c r="A207" t="s">
        <v>595</v>
      </c>
      <c r="B207" t="s">
        <v>596</v>
      </c>
      <c r="C207" t="s">
        <v>597</v>
      </c>
      <c r="D207" t="s">
        <v>1997</v>
      </c>
      <c r="E207" t="s">
        <v>89</v>
      </c>
      <c r="F207" t="s">
        <v>1788</v>
      </c>
      <c r="I207" t="s">
        <v>90</v>
      </c>
      <c r="J207">
        <v>1</v>
      </c>
      <c r="K207">
        <v>1</v>
      </c>
      <c r="L207">
        <v>0</v>
      </c>
      <c r="M207" t="s">
        <v>3130</v>
      </c>
    </row>
    <row r="208" spans="1:13" x14ac:dyDescent="0.25">
      <c r="A208" t="s">
        <v>598</v>
      </c>
      <c r="B208" t="s">
        <v>599</v>
      </c>
      <c r="C208" t="s">
        <v>600</v>
      </c>
      <c r="D208" t="s">
        <v>1998</v>
      </c>
      <c r="E208" t="s">
        <v>3566</v>
      </c>
      <c r="F208" t="s">
        <v>1874</v>
      </c>
      <c r="J208">
        <v>1</v>
      </c>
      <c r="K208">
        <v>1</v>
      </c>
      <c r="L208">
        <v>1</v>
      </c>
      <c r="M208" t="s">
        <v>3131</v>
      </c>
    </row>
    <row r="209" spans="1:13" x14ac:dyDescent="0.25">
      <c r="A209" t="s">
        <v>601</v>
      </c>
      <c r="B209" t="s">
        <v>602</v>
      </c>
      <c r="C209" t="s">
        <v>603</v>
      </c>
      <c r="D209" t="s">
        <v>1999</v>
      </c>
      <c r="E209" t="s">
        <v>320</v>
      </c>
      <c r="F209" t="s">
        <v>1817</v>
      </c>
      <c r="G209" t="s">
        <v>1818</v>
      </c>
      <c r="J209">
        <v>1</v>
      </c>
      <c r="K209">
        <v>1</v>
      </c>
      <c r="L209">
        <v>1</v>
      </c>
      <c r="M209" t="s">
        <v>3132</v>
      </c>
    </row>
    <row r="210" spans="1:13" x14ac:dyDescent="0.25">
      <c r="A210" t="s">
        <v>604</v>
      </c>
      <c r="B210" t="s">
        <v>605</v>
      </c>
      <c r="C210" t="s">
        <v>606</v>
      </c>
      <c r="D210" t="s">
        <v>2000</v>
      </c>
      <c r="E210" t="s">
        <v>3566</v>
      </c>
      <c r="F210" t="s">
        <v>1749</v>
      </c>
      <c r="G210" t="s">
        <v>1818</v>
      </c>
      <c r="I210" t="s">
        <v>22</v>
      </c>
      <c r="J210">
        <v>1</v>
      </c>
      <c r="K210">
        <v>1</v>
      </c>
      <c r="L210">
        <v>1</v>
      </c>
      <c r="M210" t="s">
        <v>3133</v>
      </c>
    </row>
    <row r="211" spans="1:13" x14ac:dyDescent="0.25">
      <c r="A211" t="s">
        <v>607</v>
      </c>
      <c r="B211" t="s">
        <v>608</v>
      </c>
      <c r="C211" t="s">
        <v>609</v>
      </c>
      <c r="D211" t="s">
        <v>2407</v>
      </c>
      <c r="E211" t="s">
        <v>42</v>
      </c>
      <c r="F211" t="s">
        <v>1913</v>
      </c>
      <c r="J211">
        <v>1</v>
      </c>
      <c r="K211">
        <v>0</v>
      </c>
      <c r="L211">
        <v>1</v>
      </c>
      <c r="M211" t="s">
        <v>3134</v>
      </c>
    </row>
    <row r="212" spans="1:13" x14ac:dyDescent="0.25">
      <c r="A212" t="s">
        <v>610</v>
      </c>
      <c r="B212" t="s">
        <v>611</v>
      </c>
      <c r="C212" t="s">
        <v>612</v>
      </c>
      <c r="D212" t="s">
        <v>2001</v>
      </c>
      <c r="E212" t="s">
        <v>3566</v>
      </c>
      <c r="F212" t="s">
        <v>1818</v>
      </c>
      <c r="G212" t="s">
        <v>1804</v>
      </c>
      <c r="J212">
        <v>1</v>
      </c>
      <c r="K212">
        <v>1</v>
      </c>
      <c r="L212">
        <v>1</v>
      </c>
      <c r="M212" t="s">
        <v>3135</v>
      </c>
    </row>
    <row r="213" spans="1:13" x14ac:dyDescent="0.25">
      <c r="A213" t="s">
        <v>2822</v>
      </c>
      <c r="B213" t="s">
        <v>613</v>
      </c>
      <c r="C213" t="s">
        <v>614</v>
      </c>
      <c r="D213" t="s">
        <v>2002</v>
      </c>
      <c r="E213" t="s">
        <v>3566</v>
      </c>
      <c r="F213" t="s">
        <v>1790</v>
      </c>
      <c r="J213">
        <v>1</v>
      </c>
      <c r="K213">
        <v>1</v>
      </c>
      <c r="L213">
        <v>0</v>
      </c>
      <c r="M213" t="s">
        <v>3136</v>
      </c>
    </row>
    <row r="214" spans="1:13" x14ac:dyDescent="0.25">
      <c r="A214" t="s">
        <v>2823</v>
      </c>
      <c r="B214" t="s">
        <v>615</v>
      </c>
      <c r="C214" t="s">
        <v>616</v>
      </c>
      <c r="D214" t="s">
        <v>2003</v>
      </c>
      <c r="E214" t="s">
        <v>21</v>
      </c>
      <c r="F214" t="s">
        <v>1757</v>
      </c>
      <c r="I214" t="s">
        <v>22</v>
      </c>
      <c r="J214">
        <v>1</v>
      </c>
      <c r="K214">
        <v>1</v>
      </c>
      <c r="L214">
        <v>1</v>
      </c>
      <c r="M214" t="s">
        <v>3137</v>
      </c>
    </row>
    <row r="215" spans="1:13" x14ac:dyDescent="0.25">
      <c r="A215" t="s">
        <v>617</v>
      </c>
      <c r="B215" s="38" t="s">
        <v>618</v>
      </c>
      <c r="C215" t="s">
        <v>619</v>
      </c>
      <c r="D215" t="s">
        <v>2004</v>
      </c>
      <c r="E215" t="s">
        <v>21</v>
      </c>
      <c r="F215" t="s">
        <v>1757</v>
      </c>
      <c r="I215" t="s">
        <v>22</v>
      </c>
      <c r="J215">
        <v>1</v>
      </c>
      <c r="K215">
        <v>1</v>
      </c>
      <c r="L215">
        <v>1</v>
      </c>
      <c r="M215" t="s">
        <v>3138</v>
      </c>
    </row>
    <row r="216" spans="1:13" x14ac:dyDescent="0.25">
      <c r="A216" t="s">
        <v>2900</v>
      </c>
      <c r="B216" t="s">
        <v>620</v>
      </c>
      <c r="C216" t="s">
        <v>621</v>
      </c>
      <c r="D216" t="s">
        <v>2005</v>
      </c>
      <c r="E216" t="s">
        <v>3566</v>
      </c>
      <c r="F216" t="s">
        <v>1788</v>
      </c>
      <c r="I216" t="s">
        <v>8</v>
      </c>
      <c r="J216">
        <v>1</v>
      </c>
      <c r="K216">
        <v>1</v>
      </c>
      <c r="L216">
        <v>0</v>
      </c>
      <c r="M216" t="s">
        <v>3538</v>
      </c>
    </row>
    <row r="217" spans="1:13" x14ac:dyDescent="0.25">
      <c r="A217" t="s">
        <v>622</v>
      </c>
      <c r="B217" t="s">
        <v>623</v>
      </c>
      <c r="C217" t="s">
        <v>624</v>
      </c>
      <c r="D217" t="s">
        <v>2006</v>
      </c>
      <c r="E217" t="s">
        <v>3566</v>
      </c>
      <c r="F217" t="s">
        <v>2007</v>
      </c>
      <c r="J217">
        <v>1</v>
      </c>
      <c r="K217">
        <v>1</v>
      </c>
      <c r="L217">
        <v>0</v>
      </c>
      <c r="M217" t="s">
        <v>3139</v>
      </c>
    </row>
    <row r="218" spans="1:13" x14ac:dyDescent="0.25">
      <c r="A218" t="s">
        <v>625</v>
      </c>
      <c r="B218" t="s">
        <v>626</v>
      </c>
      <c r="C218" t="s">
        <v>627</v>
      </c>
      <c r="D218" t="s">
        <v>2008</v>
      </c>
      <c r="E218" t="s">
        <v>82</v>
      </c>
      <c r="F218" t="s">
        <v>2007</v>
      </c>
      <c r="J218">
        <v>1</v>
      </c>
      <c r="K218">
        <v>1</v>
      </c>
      <c r="L218">
        <v>0</v>
      </c>
      <c r="M218" t="s">
        <v>3140</v>
      </c>
    </row>
    <row r="219" spans="1:13" x14ac:dyDescent="0.25">
      <c r="A219" t="s">
        <v>628</v>
      </c>
      <c r="B219" t="s">
        <v>629</v>
      </c>
      <c r="C219" t="s">
        <v>630</v>
      </c>
      <c r="D219" t="s">
        <v>2009</v>
      </c>
      <c r="E219" t="s">
        <v>82</v>
      </c>
      <c r="F219" t="s">
        <v>2007</v>
      </c>
      <c r="J219">
        <v>1</v>
      </c>
      <c r="K219">
        <v>1</v>
      </c>
      <c r="L219">
        <v>0</v>
      </c>
      <c r="M219" t="s">
        <v>3141</v>
      </c>
    </row>
    <row r="220" spans="1:13" x14ac:dyDescent="0.25">
      <c r="A220" t="s">
        <v>631</v>
      </c>
      <c r="B220" t="s">
        <v>632</v>
      </c>
      <c r="C220" t="s">
        <v>633</v>
      </c>
      <c r="D220" t="s">
        <v>2010</v>
      </c>
      <c r="E220" t="s">
        <v>82</v>
      </c>
      <c r="F220" t="s">
        <v>2007</v>
      </c>
      <c r="I220" t="s">
        <v>22</v>
      </c>
      <c r="J220">
        <v>1</v>
      </c>
      <c r="K220">
        <v>1</v>
      </c>
      <c r="L220">
        <v>0</v>
      </c>
      <c r="M220" t="s">
        <v>3142</v>
      </c>
    </row>
    <row r="221" spans="1:13" x14ac:dyDescent="0.25">
      <c r="A221" t="s">
        <v>634</v>
      </c>
      <c r="B221" t="s">
        <v>635</v>
      </c>
      <c r="C221" t="s">
        <v>636</v>
      </c>
      <c r="D221" t="s">
        <v>2011</v>
      </c>
      <c r="E221" t="s">
        <v>82</v>
      </c>
      <c r="F221" t="s">
        <v>2007</v>
      </c>
      <c r="I221" t="s">
        <v>8</v>
      </c>
      <c r="J221">
        <v>1</v>
      </c>
      <c r="K221">
        <v>1</v>
      </c>
      <c r="L221">
        <v>0</v>
      </c>
      <c r="M221" t="s">
        <v>3143</v>
      </c>
    </row>
    <row r="222" spans="1:13" x14ac:dyDescent="0.25">
      <c r="A222" t="s">
        <v>2824</v>
      </c>
      <c r="B222" t="s">
        <v>637</v>
      </c>
      <c r="C222" t="s">
        <v>638</v>
      </c>
      <c r="D222" t="s">
        <v>2012</v>
      </c>
      <c r="E222" t="s">
        <v>3566</v>
      </c>
      <c r="F222" t="s">
        <v>1790</v>
      </c>
      <c r="J222">
        <v>1</v>
      </c>
      <c r="K222">
        <v>1</v>
      </c>
      <c r="L222">
        <v>0</v>
      </c>
      <c r="M222" t="s">
        <v>3144</v>
      </c>
    </row>
    <row r="223" spans="1:13" x14ac:dyDescent="0.25">
      <c r="A223" t="s">
        <v>639</v>
      </c>
      <c r="B223" t="s">
        <v>640</v>
      </c>
      <c r="C223" t="s">
        <v>641</v>
      </c>
      <c r="D223" t="s">
        <v>2013</v>
      </c>
      <c r="E223" t="s">
        <v>111</v>
      </c>
      <c r="F223" t="s">
        <v>1930</v>
      </c>
      <c r="J223">
        <v>1</v>
      </c>
      <c r="K223">
        <v>1</v>
      </c>
      <c r="L223">
        <v>0</v>
      </c>
      <c r="M223" t="s">
        <v>3145</v>
      </c>
    </row>
    <row r="224" spans="1:13" x14ac:dyDescent="0.25">
      <c r="A224" t="s">
        <v>2825</v>
      </c>
      <c r="B224" t="s">
        <v>642</v>
      </c>
      <c r="C224" t="s">
        <v>643</v>
      </c>
      <c r="D224" t="s">
        <v>2014</v>
      </c>
      <c r="E224" t="s">
        <v>111</v>
      </c>
      <c r="F224" t="s">
        <v>1940</v>
      </c>
      <c r="I224" t="s">
        <v>22</v>
      </c>
      <c r="J224">
        <v>1</v>
      </c>
      <c r="K224">
        <v>1</v>
      </c>
      <c r="L224">
        <v>0</v>
      </c>
      <c r="M224" t="s">
        <v>3146</v>
      </c>
    </row>
    <row r="225" spans="1:13" x14ac:dyDescent="0.25">
      <c r="A225" t="s">
        <v>644</v>
      </c>
      <c r="B225" t="s">
        <v>645</v>
      </c>
      <c r="C225" t="s">
        <v>646</v>
      </c>
      <c r="D225" t="s">
        <v>2015</v>
      </c>
      <c r="E225" t="s">
        <v>111</v>
      </c>
      <c r="F225" t="s">
        <v>1940</v>
      </c>
      <c r="J225">
        <v>1</v>
      </c>
      <c r="K225">
        <v>1</v>
      </c>
      <c r="L225">
        <v>0</v>
      </c>
      <c r="M225" t="s">
        <v>3147</v>
      </c>
    </row>
    <row r="226" spans="1:13" x14ac:dyDescent="0.25">
      <c r="A226" t="s">
        <v>647</v>
      </c>
      <c r="B226" t="s">
        <v>648</v>
      </c>
      <c r="C226" t="s">
        <v>649</v>
      </c>
      <c r="D226" t="s">
        <v>2016</v>
      </c>
      <c r="E226" t="s">
        <v>111</v>
      </c>
      <c r="F226" t="s">
        <v>1940</v>
      </c>
      <c r="J226">
        <v>1</v>
      </c>
      <c r="K226">
        <v>1</v>
      </c>
      <c r="L226">
        <v>0</v>
      </c>
      <c r="M226" t="s">
        <v>3148</v>
      </c>
    </row>
    <row r="227" spans="1:13" x14ac:dyDescent="0.25">
      <c r="A227" t="s">
        <v>650</v>
      </c>
      <c r="B227" t="s">
        <v>651</v>
      </c>
      <c r="C227" t="s">
        <v>652</v>
      </c>
      <c r="D227" t="s">
        <v>2017</v>
      </c>
      <c r="E227" t="s">
        <v>3566</v>
      </c>
      <c r="F227" t="s">
        <v>1809</v>
      </c>
      <c r="J227">
        <v>1</v>
      </c>
      <c r="K227">
        <v>1</v>
      </c>
      <c r="L227">
        <v>1</v>
      </c>
      <c r="M227" t="s">
        <v>3149</v>
      </c>
    </row>
    <row r="228" spans="1:13" x14ac:dyDescent="0.25">
      <c r="A228" t="s">
        <v>653</v>
      </c>
      <c r="B228" t="s">
        <v>654</v>
      </c>
      <c r="C228" t="s">
        <v>655</v>
      </c>
      <c r="D228" t="s">
        <v>2018</v>
      </c>
      <c r="E228" t="s">
        <v>111</v>
      </c>
      <c r="F228" t="s">
        <v>1940</v>
      </c>
      <c r="I228" t="s">
        <v>8</v>
      </c>
      <c r="J228">
        <v>1</v>
      </c>
      <c r="K228">
        <v>1</v>
      </c>
      <c r="L228">
        <v>0</v>
      </c>
      <c r="M228" t="s">
        <v>3150</v>
      </c>
    </row>
    <row r="229" spans="1:13" x14ac:dyDescent="0.25">
      <c r="A229" t="s">
        <v>2826</v>
      </c>
      <c r="B229" t="s">
        <v>657</v>
      </c>
      <c r="C229" t="s">
        <v>658</v>
      </c>
      <c r="D229" t="s">
        <v>2019</v>
      </c>
      <c r="E229" t="s">
        <v>3566</v>
      </c>
      <c r="F229" t="s">
        <v>1790</v>
      </c>
      <c r="J229">
        <v>1</v>
      </c>
      <c r="K229">
        <v>1</v>
      </c>
      <c r="L229">
        <v>0</v>
      </c>
      <c r="M229" t="s">
        <v>3151</v>
      </c>
    </row>
    <row r="230" spans="1:13" x14ac:dyDescent="0.25">
      <c r="A230" t="s">
        <v>659</v>
      </c>
      <c r="B230" t="s">
        <v>660</v>
      </c>
      <c r="C230" t="s">
        <v>661</v>
      </c>
      <c r="D230" t="s">
        <v>2020</v>
      </c>
      <c r="E230" t="s">
        <v>111</v>
      </c>
      <c r="F230" t="s">
        <v>1940</v>
      </c>
      <c r="I230" t="s">
        <v>662</v>
      </c>
      <c r="J230">
        <v>1</v>
      </c>
      <c r="K230">
        <v>1</v>
      </c>
      <c r="L230">
        <v>0</v>
      </c>
      <c r="M230" t="s">
        <v>3152</v>
      </c>
    </row>
    <row r="231" spans="1:13" x14ac:dyDescent="0.25">
      <c r="A231" t="s">
        <v>663</v>
      </c>
      <c r="B231" t="s">
        <v>664</v>
      </c>
      <c r="C231" t="s">
        <v>665</v>
      </c>
      <c r="D231" t="s">
        <v>2021</v>
      </c>
      <c r="E231" t="s">
        <v>82</v>
      </c>
      <c r="F231" t="s">
        <v>1877</v>
      </c>
      <c r="J231">
        <v>1</v>
      </c>
      <c r="K231">
        <v>1</v>
      </c>
      <c r="L231">
        <v>0</v>
      </c>
      <c r="M231" t="s">
        <v>3153</v>
      </c>
    </row>
    <row r="232" spans="1:13" x14ac:dyDescent="0.25">
      <c r="A232" t="s">
        <v>666</v>
      </c>
      <c r="B232" t="s">
        <v>667</v>
      </c>
      <c r="C232" t="s">
        <v>668</v>
      </c>
      <c r="D232" t="s">
        <v>2022</v>
      </c>
      <c r="E232" t="s">
        <v>111</v>
      </c>
      <c r="F232" t="s">
        <v>1940</v>
      </c>
      <c r="I232" t="s">
        <v>8</v>
      </c>
      <c r="J232">
        <v>1</v>
      </c>
      <c r="K232">
        <v>1</v>
      </c>
      <c r="L232">
        <v>0</v>
      </c>
      <c r="M232" t="s">
        <v>3154</v>
      </c>
    </row>
    <row r="233" spans="1:13" x14ac:dyDescent="0.25">
      <c r="A233" t="s">
        <v>669</v>
      </c>
      <c r="B233" t="s">
        <v>670</v>
      </c>
      <c r="C233" t="s">
        <v>671</v>
      </c>
      <c r="D233" t="s">
        <v>2023</v>
      </c>
      <c r="E233" t="s">
        <v>111</v>
      </c>
      <c r="F233" t="s">
        <v>1940</v>
      </c>
      <c r="I233" t="s">
        <v>662</v>
      </c>
      <c r="J233">
        <v>1</v>
      </c>
      <c r="K233">
        <v>1</v>
      </c>
      <c r="L233">
        <v>0</v>
      </c>
      <c r="M233" t="s">
        <v>3155</v>
      </c>
    </row>
    <row r="234" spans="1:13" x14ac:dyDescent="0.25">
      <c r="A234" t="s">
        <v>2827</v>
      </c>
      <c r="B234" t="s">
        <v>672</v>
      </c>
      <c r="C234" t="s">
        <v>673</v>
      </c>
      <c r="D234" t="s">
        <v>2024</v>
      </c>
      <c r="E234" t="s">
        <v>21</v>
      </c>
      <c r="F234" t="s">
        <v>1770</v>
      </c>
      <c r="I234" t="s">
        <v>22</v>
      </c>
      <c r="J234">
        <v>1</v>
      </c>
      <c r="K234">
        <v>1</v>
      </c>
      <c r="L234">
        <v>0</v>
      </c>
      <c r="M234" t="s">
        <v>3156</v>
      </c>
    </row>
    <row r="235" spans="1:13" x14ac:dyDescent="0.25">
      <c r="A235" t="s">
        <v>2828</v>
      </c>
      <c r="B235" t="s">
        <v>674</v>
      </c>
      <c r="C235" t="s">
        <v>675</v>
      </c>
      <c r="D235" t="s">
        <v>2025</v>
      </c>
      <c r="E235" t="s">
        <v>21</v>
      </c>
      <c r="F235" t="s">
        <v>1757</v>
      </c>
      <c r="I235" t="s">
        <v>22</v>
      </c>
      <c r="J235">
        <v>1</v>
      </c>
      <c r="K235">
        <v>1</v>
      </c>
      <c r="L235">
        <v>1</v>
      </c>
      <c r="M235" t="s">
        <v>3157</v>
      </c>
    </row>
    <row r="236" spans="1:13" x14ac:dyDescent="0.25">
      <c r="A236" t="s">
        <v>2829</v>
      </c>
      <c r="B236" t="s">
        <v>676</v>
      </c>
      <c r="C236" t="s">
        <v>677</v>
      </c>
      <c r="D236" t="s">
        <v>2026</v>
      </c>
      <c r="E236" t="s">
        <v>21</v>
      </c>
      <c r="F236" t="s">
        <v>1757</v>
      </c>
      <c r="I236" t="s">
        <v>22</v>
      </c>
      <c r="J236">
        <v>1</v>
      </c>
      <c r="K236">
        <v>1</v>
      </c>
      <c r="L236">
        <v>1</v>
      </c>
      <c r="M236" t="s">
        <v>3158</v>
      </c>
    </row>
    <row r="237" spans="1:13" x14ac:dyDescent="0.25">
      <c r="A237" t="s">
        <v>2830</v>
      </c>
      <c r="B237" t="s">
        <v>678</v>
      </c>
      <c r="C237" t="s">
        <v>679</v>
      </c>
      <c r="D237" t="s">
        <v>2027</v>
      </c>
      <c r="E237" t="s">
        <v>21</v>
      </c>
      <c r="F237" t="s">
        <v>1757</v>
      </c>
      <c r="I237" t="s">
        <v>22</v>
      </c>
      <c r="J237">
        <v>1</v>
      </c>
      <c r="K237">
        <v>1</v>
      </c>
      <c r="L237">
        <v>1</v>
      </c>
      <c r="M237" t="s">
        <v>3159</v>
      </c>
    </row>
    <row r="238" spans="1:13" x14ac:dyDescent="0.25">
      <c r="A238" t="s">
        <v>680</v>
      </c>
      <c r="B238" t="s">
        <v>681</v>
      </c>
      <c r="C238" t="s">
        <v>682</v>
      </c>
      <c r="D238" t="s">
        <v>2028</v>
      </c>
      <c r="E238" t="s">
        <v>119</v>
      </c>
      <c r="F238" t="s">
        <v>1802</v>
      </c>
      <c r="J238">
        <v>1</v>
      </c>
      <c r="M238" t="s">
        <v>3160</v>
      </c>
    </row>
    <row r="239" spans="1:13" x14ac:dyDescent="0.25">
      <c r="A239" t="s">
        <v>683</v>
      </c>
      <c r="B239" t="s">
        <v>684</v>
      </c>
      <c r="C239" t="s">
        <v>685</v>
      </c>
      <c r="D239" t="s">
        <v>2029</v>
      </c>
      <c r="E239" t="s">
        <v>3566</v>
      </c>
      <c r="F239" t="s">
        <v>1781</v>
      </c>
      <c r="J239">
        <v>1</v>
      </c>
      <c r="K239">
        <v>1</v>
      </c>
      <c r="L239">
        <v>1</v>
      </c>
      <c r="M239" t="s">
        <v>3161</v>
      </c>
    </row>
    <row r="240" spans="1:13" x14ac:dyDescent="0.25">
      <c r="A240" t="s">
        <v>686</v>
      </c>
      <c r="B240" t="s">
        <v>687</v>
      </c>
      <c r="C240" t="s">
        <v>688</v>
      </c>
      <c r="D240" t="s">
        <v>2030</v>
      </c>
      <c r="E240" t="s">
        <v>3566</v>
      </c>
      <c r="F240" t="s">
        <v>1761</v>
      </c>
      <c r="G240" t="s">
        <v>1762</v>
      </c>
      <c r="J240">
        <v>1</v>
      </c>
      <c r="K240">
        <v>1</v>
      </c>
      <c r="L240">
        <v>1</v>
      </c>
      <c r="M240" t="s">
        <v>3162</v>
      </c>
    </row>
    <row r="241" spans="1:13" x14ac:dyDescent="0.25">
      <c r="A241" t="s">
        <v>689</v>
      </c>
      <c r="B241" t="s">
        <v>690</v>
      </c>
      <c r="C241" t="s">
        <v>691</v>
      </c>
      <c r="D241" t="s">
        <v>2031</v>
      </c>
      <c r="E241" t="s">
        <v>3566</v>
      </c>
      <c r="F241" t="s">
        <v>104</v>
      </c>
      <c r="J241">
        <v>1</v>
      </c>
      <c r="K241">
        <v>1</v>
      </c>
      <c r="L241">
        <v>0</v>
      </c>
      <c r="M241" t="s">
        <v>3163</v>
      </c>
    </row>
    <row r="242" spans="1:13" x14ac:dyDescent="0.25">
      <c r="A242" t="s">
        <v>692</v>
      </c>
      <c r="B242" s="38" t="s">
        <v>693</v>
      </c>
      <c r="C242" t="s">
        <v>694</v>
      </c>
      <c r="D242" t="s">
        <v>2032</v>
      </c>
      <c r="E242" t="s">
        <v>3566</v>
      </c>
      <c r="F242" t="s">
        <v>1814</v>
      </c>
      <c r="G242" t="s">
        <v>1815</v>
      </c>
      <c r="J242">
        <v>1</v>
      </c>
      <c r="K242">
        <v>1</v>
      </c>
      <c r="L242">
        <v>1</v>
      </c>
      <c r="M242" t="s">
        <v>3164</v>
      </c>
    </row>
    <row r="243" spans="1:13" x14ac:dyDescent="0.25">
      <c r="A243" t="s">
        <v>695</v>
      </c>
      <c r="B243" t="s">
        <v>696</v>
      </c>
      <c r="C243" t="s">
        <v>697</v>
      </c>
      <c r="D243" t="s">
        <v>2033</v>
      </c>
      <c r="E243" t="s">
        <v>3566</v>
      </c>
      <c r="F243" t="s">
        <v>1817</v>
      </c>
      <c r="G243" t="s">
        <v>1818</v>
      </c>
      <c r="J243">
        <v>1</v>
      </c>
      <c r="K243">
        <v>1</v>
      </c>
      <c r="L243">
        <v>1</v>
      </c>
      <c r="M243" t="s">
        <v>3165</v>
      </c>
    </row>
    <row r="244" spans="1:13" x14ac:dyDescent="0.25">
      <c r="A244" t="s">
        <v>698</v>
      </c>
      <c r="B244" t="s">
        <v>699</v>
      </c>
      <c r="C244" t="s">
        <v>700</v>
      </c>
      <c r="D244" t="s">
        <v>2034</v>
      </c>
      <c r="E244" t="s">
        <v>3566</v>
      </c>
      <c r="F244" t="s">
        <v>1814</v>
      </c>
      <c r="G244" t="s">
        <v>1815</v>
      </c>
      <c r="J244">
        <v>1</v>
      </c>
      <c r="K244">
        <v>1</v>
      </c>
      <c r="L244">
        <v>1</v>
      </c>
      <c r="M244" t="s">
        <v>3166</v>
      </c>
    </row>
    <row r="245" spans="1:13" x14ac:dyDescent="0.25">
      <c r="A245" t="s">
        <v>2831</v>
      </c>
      <c r="B245" s="38" t="s">
        <v>701</v>
      </c>
      <c r="C245" t="s">
        <v>702</v>
      </c>
      <c r="D245" t="s">
        <v>2035</v>
      </c>
      <c r="E245" t="s">
        <v>21</v>
      </c>
      <c r="F245" t="s">
        <v>1770</v>
      </c>
      <c r="I245" t="s">
        <v>8</v>
      </c>
      <c r="J245">
        <v>1</v>
      </c>
      <c r="K245">
        <v>1</v>
      </c>
      <c r="L245">
        <v>1</v>
      </c>
      <c r="M245" t="s">
        <v>3167</v>
      </c>
    </row>
    <row r="246" spans="1:13" x14ac:dyDescent="0.25">
      <c r="A246" t="s">
        <v>2832</v>
      </c>
      <c r="B246" t="s">
        <v>703</v>
      </c>
      <c r="C246" t="s">
        <v>704</v>
      </c>
      <c r="D246" t="s">
        <v>2036</v>
      </c>
      <c r="E246" t="s">
        <v>7</v>
      </c>
      <c r="F246" t="s">
        <v>1837</v>
      </c>
      <c r="I246" t="s">
        <v>22</v>
      </c>
      <c r="J246">
        <v>1</v>
      </c>
      <c r="K246">
        <v>1</v>
      </c>
      <c r="L246">
        <v>1</v>
      </c>
      <c r="M246" t="s">
        <v>3168</v>
      </c>
    </row>
    <row r="247" spans="1:13" x14ac:dyDescent="0.25">
      <c r="A247" t="s">
        <v>2833</v>
      </c>
      <c r="B247" t="s">
        <v>705</v>
      </c>
      <c r="C247" t="s">
        <v>706</v>
      </c>
      <c r="D247" t="s">
        <v>2037</v>
      </c>
      <c r="E247" t="s">
        <v>7</v>
      </c>
      <c r="F247" t="s">
        <v>1837</v>
      </c>
      <c r="I247" t="s">
        <v>8</v>
      </c>
      <c r="J247">
        <v>1</v>
      </c>
      <c r="K247">
        <v>1</v>
      </c>
      <c r="L247">
        <v>1</v>
      </c>
      <c r="M247" t="s">
        <v>3169</v>
      </c>
    </row>
    <row r="248" spans="1:13" x14ac:dyDescent="0.25">
      <c r="A248" t="s">
        <v>2834</v>
      </c>
      <c r="B248" t="s">
        <v>707</v>
      </c>
      <c r="C248" t="s">
        <v>708</v>
      </c>
      <c r="D248" t="s">
        <v>2038</v>
      </c>
      <c r="E248" t="s">
        <v>3566</v>
      </c>
      <c r="F248" t="s">
        <v>1790</v>
      </c>
      <c r="I248" t="s">
        <v>8</v>
      </c>
      <c r="J248">
        <v>1</v>
      </c>
      <c r="K248">
        <v>1</v>
      </c>
      <c r="L248">
        <v>0</v>
      </c>
      <c r="M248" t="s">
        <v>3170</v>
      </c>
    </row>
    <row r="249" spans="1:13" x14ac:dyDescent="0.25">
      <c r="A249" t="s">
        <v>709</v>
      </c>
      <c r="B249" t="s">
        <v>710</v>
      </c>
      <c r="C249" t="s">
        <v>711</v>
      </c>
      <c r="D249" t="s">
        <v>2039</v>
      </c>
      <c r="E249" t="s">
        <v>7</v>
      </c>
      <c r="F249" t="s">
        <v>1747</v>
      </c>
      <c r="I249" t="s">
        <v>8</v>
      </c>
      <c r="J249">
        <v>1</v>
      </c>
      <c r="K249">
        <v>1</v>
      </c>
      <c r="L249">
        <v>0</v>
      </c>
      <c r="M249" t="s">
        <v>3171</v>
      </c>
    </row>
    <row r="250" spans="1:13" x14ac:dyDescent="0.25">
      <c r="A250" t="s">
        <v>712</v>
      </c>
      <c r="B250" t="s">
        <v>713</v>
      </c>
      <c r="C250" t="s">
        <v>714</v>
      </c>
      <c r="D250" t="s">
        <v>2040</v>
      </c>
      <c r="E250" t="s">
        <v>7</v>
      </c>
      <c r="F250" t="s">
        <v>1747</v>
      </c>
      <c r="I250" t="s">
        <v>22</v>
      </c>
      <c r="J250">
        <v>1</v>
      </c>
      <c r="K250">
        <v>1</v>
      </c>
      <c r="L250">
        <v>0</v>
      </c>
      <c r="M250" t="s">
        <v>3172</v>
      </c>
    </row>
    <row r="251" spans="1:13" x14ac:dyDescent="0.25">
      <c r="A251" t="s">
        <v>715</v>
      </c>
      <c r="B251" t="s">
        <v>716</v>
      </c>
      <c r="C251" t="s">
        <v>717</v>
      </c>
      <c r="D251" t="s">
        <v>2041</v>
      </c>
      <c r="E251" t="s">
        <v>7</v>
      </c>
      <c r="F251" t="s">
        <v>1747</v>
      </c>
      <c r="I251" t="s">
        <v>22</v>
      </c>
      <c r="J251">
        <v>1</v>
      </c>
      <c r="K251">
        <v>1</v>
      </c>
      <c r="L251">
        <v>0</v>
      </c>
      <c r="M251" t="s">
        <v>3173</v>
      </c>
    </row>
    <row r="252" spans="1:13" x14ac:dyDescent="0.25">
      <c r="A252" t="s">
        <v>2835</v>
      </c>
      <c r="B252" t="s">
        <v>718</v>
      </c>
      <c r="C252" t="s">
        <v>719</v>
      </c>
      <c r="D252" t="s">
        <v>2042</v>
      </c>
      <c r="E252" t="s">
        <v>21</v>
      </c>
      <c r="F252" t="s">
        <v>1770</v>
      </c>
      <c r="I252" t="s">
        <v>22</v>
      </c>
      <c r="J252">
        <v>1</v>
      </c>
      <c r="K252">
        <v>1</v>
      </c>
      <c r="L252">
        <v>1</v>
      </c>
      <c r="M252" t="s">
        <v>3174</v>
      </c>
    </row>
    <row r="253" spans="1:13" x14ac:dyDescent="0.25">
      <c r="A253" t="s">
        <v>720</v>
      </c>
      <c r="B253" t="s">
        <v>721</v>
      </c>
      <c r="C253" t="s">
        <v>722</v>
      </c>
      <c r="D253" t="s">
        <v>2408</v>
      </c>
      <c r="E253" t="s">
        <v>3566</v>
      </c>
      <c r="F253" t="s">
        <v>1919</v>
      </c>
      <c r="I253" t="s">
        <v>723</v>
      </c>
      <c r="J253">
        <v>1</v>
      </c>
      <c r="K253">
        <v>0</v>
      </c>
      <c r="L253">
        <v>1</v>
      </c>
      <c r="M253" t="s">
        <v>3175</v>
      </c>
    </row>
    <row r="254" spans="1:13" x14ac:dyDescent="0.25">
      <c r="A254" t="s">
        <v>724</v>
      </c>
      <c r="B254" t="s">
        <v>725</v>
      </c>
      <c r="C254" t="s">
        <v>726</v>
      </c>
      <c r="D254" t="s">
        <v>2409</v>
      </c>
      <c r="E254" t="s">
        <v>3566</v>
      </c>
      <c r="F254" t="s">
        <v>1919</v>
      </c>
      <c r="J254">
        <v>1</v>
      </c>
      <c r="K254">
        <v>0</v>
      </c>
      <c r="L254">
        <v>1</v>
      </c>
      <c r="M254" t="s">
        <v>3176</v>
      </c>
    </row>
    <row r="255" spans="1:13" x14ac:dyDescent="0.25">
      <c r="A255" t="s">
        <v>2836</v>
      </c>
      <c r="B255" t="s">
        <v>727</v>
      </c>
      <c r="C255" t="s">
        <v>728</v>
      </c>
      <c r="D255" t="s">
        <v>2043</v>
      </c>
      <c r="E255" t="s">
        <v>3566</v>
      </c>
      <c r="F255" t="s">
        <v>1757</v>
      </c>
      <c r="I255" t="s">
        <v>22</v>
      </c>
      <c r="J255">
        <v>1</v>
      </c>
      <c r="K255">
        <v>1</v>
      </c>
      <c r="L255">
        <v>1</v>
      </c>
      <c r="M255" t="s">
        <v>3177</v>
      </c>
    </row>
    <row r="256" spans="1:13" x14ac:dyDescent="0.25">
      <c r="A256" t="s">
        <v>2837</v>
      </c>
      <c r="B256" t="s">
        <v>729</v>
      </c>
      <c r="C256" t="s">
        <v>730</v>
      </c>
      <c r="D256" t="s">
        <v>2044</v>
      </c>
      <c r="E256" t="s">
        <v>3566</v>
      </c>
      <c r="F256" t="s">
        <v>1757</v>
      </c>
      <c r="I256" t="s">
        <v>22</v>
      </c>
      <c r="J256">
        <v>1</v>
      </c>
      <c r="K256">
        <v>1</v>
      </c>
      <c r="L256">
        <v>1</v>
      </c>
      <c r="M256" t="s">
        <v>3178</v>
      </c>
    </row>
    <row r="257" spans="1:13" x14ac:dyDescent="0.25">
      <c r="A257" t="s">
        <v>2838</v>
      </c>
      <c r="B257" t="s">
        <v>731</v>
      </c>
      <c r="C257" t="s">
        <v>732</v>
      </c>
      <c r="D257" t="s">
        <v>2045</v>
      </c>
      <c r="E257" t="s">
        <v>21</v>
      </c>
      <c r="F257" t="s">
        <v>1757</v>
      </c>
      <c r="I257" t="s">
        <v>22</v>
      </c>
      <c r="J257">
        <v>1</v>
      </c>
      <c r="K257">
        <v>1</v>
      </c>
      <c r="L257">
        <v>1</v>
      </c>
      <c r="M257" t="s">
        <v>3179</v>
      </c>
    </row>
    <row r="258" spans="1:13" x14ac:dyDescent="0.25">
      <c r="A258" t="s">
        <v>733</v>
      </c>
      <c r="B258" t="s">
        <v>734</v>
      </c>
      <c r="C258" t="s">
        <v>735</v>
      </c>
      <c r="D258" t="s">
        <v>2046</v>
      </c>
      <c r="E258" t="s">
        <v>42</v>
      </c>
      <c r="F258" t="s">
        <v>1765</v>
      </c>
      <c r="J258">
        <v>1</v>
      </c>
      <c r="K258">
        <v>1</v>
      </c>
      <c r="L258">
        <v>1</v>
      </c>
      <c r="M258" t="s">
        <v>3180</v>
      </c>
    </row>
    <row r="259" spans="1:13" x14ac:dyDescent="0.25">
      <c r="A259" t="s">
        <v>2839</v>
      </c>
      <c r="B259" t="s">
        <v>736</v>
      </c>
      <c r="C259" t="s">
        <v>737</v>
      </c>
      <c r="D259" t="s">
        <v>2047</v>
      </c>
      <c r="E259" t="s">
        <v>3566</v>
      </c>
      <c r="F259" t="s">
        <v>1837</v>
      </c>
      <c r="I259" t="s">
        <v>8</v>
      </c>
      <c r="J259">
        <v>1</v>
      </c>
      <c r="K259">
        <v>1</v>
      </c>
      <c r="L259">
        <v>1</v>
      </c>
      <c r="M259" t="s">
        <v>3181</v>
      </c>
    </row>
    <row r="260" spans="1:13" x14ac:dyDescent="0.25">
      <c r="A260" t="s">
        <v>738</v>
      </c>
      <c r="B260" t="s">
        <v>739</v>
      </c>
      <c r="C260" t="s">
        <v>740</v>
      </c>
      <c r="D260" t="s">
        <v>2048</v>
      </c>
      <c r="E260" t="s">
        <v>3566</v>
      </c>
      <c r="F260" t="s">
        <v>38</v>
      </c>
      <c r="G260" t="s">
        <v>1777</v>
      </c>
      <c r="J260">
        <v>1</v>
      </c>
      <c r="K260">
        <v>1</v>
      </c>
      <c r="L260">
        <v>1</v>
      </c>
      <c r="M260" t="s">
        <v>3182</v>
      </c>
    </row>
    <row r="261" spans="1:13" x14ac:dyDescent="0.25">
      <c r="A261" t="s">
        <v>741</v>
      </c>
      <c r="B261" t="s">
        <v>742</v>
      </c>
      <c r="C261" t="s">
        <v>743</v>
      </c>
      <c r="D261" t="s">
        <v>2410</v>
      </c>
      <c r="E261" t="s">
        <v>3566</v>
      </c>
      <c r="F261" t="s">
        <v>1919</v>
      </c>
      <c r="J261">
        <v>1</v>
      </c>
      <c r="K261">
        <v>0</v>
      </c>
      <c r="L261">
        <v>1</v>
      </c>
      <c r="M261" t="s">
        <v>3183</v>
      </c>
    </row>
    <row r="262" spans="1:13" x14ac:dyDescent="0.25">
      <c r="A262" t="s">
        <v>2840</v>
      </c>
      <c r="B262" t="s">
        <v>744</v>
      </c>
      <c r="C262" t="s">
        <v>745</v>
      </c>
      <c r="D262" t="s">
        <v>2049</v>
      </c>
      <c r="E262" t="s">
        <v>119</v>
      </c>
      <c r="F262" t="s">
        <v>1802</v>
      </c>
      <c r="J262">
        <v>1</v>
      </c>
      <c r="K262">
        <v>1</v>
      </c>
      <c r="L262">
        <v>0</v>
      </c>
      <c r="M262" t="s">
        <v>3184</v>
      </c>
    </row>
    <row r="263" spans="1:13" x14ac:dyDescent="0.25">
      <c r="A263" t="s">
        <v>746</v>
      </c>
      <c r="B263" t="s">
        <v>747</v>
      </c>
      <c r="C263" t="s">
        <v>748</v>
      </c>
      <c r="D263" t="s">
        <v>2050</v>
      </c>
      <c r="E263" t="s">
        <v>3566</v>
      </c>
      <c r="F263" t="s">
        <v>38</v>
      </c>
      <c r="G263" t="s">
        <v>1777</v>
      </c>
      <c r="J263">
        <v>1</v>
      </c>
      <c r="K263">
        <v>1</v>
      </c>
      <c r="L263">
        <v>1</v>
      </c>
      <c r="M263" t="s">
        <v>3185</v>
      </c>
    </row>
    <row r="264" spans="1:13" x14ac:dyDescent="0.25">
      <c r="A264" t="s">
        <v>749</v>
      </c>
      <c r="B264" t="s">
        <v>750</v>
      </c>
      <c r="C264" t="s">
        <v>751</v>
      </c>
      <c r="D264" t="s">
        <v>2051</v>
      </c>
      <c r="E264" t="s">
        <v>3566</v>
      </c>
      <c r="F264" t="s">
        <v>38</v>
      </c>
      <c r="G264" t="s">
        <v>1777</v>
      </c>
      <c r="J264">
        <v>1</v>
      </c>
      <c r="K264">
        <v>1</v>
      </c>
      <c r="L264">
        <v>1</v>
      </c>
      <c r="M264" t="s">
        <v>3186</v>
      </c>
    </row>
    <row r="265" spans="1:13" x14ac:dyDescent="0.25">
      <c r="A265" t="s">
        <v>752</v>
      </c>
      <c r="B265" t="s">
        <v>753</v>
      </c>
      <c r="C265" t="s">
        <v>754</v>
      </c>
      <c r="D265" t="s">
        <v>2052</v>
      </c>
      <c r="E265" t="s">
        <v>3566</v>
      </c>
      <c r="F265" t="s">
        <v>38</v>
      </c>
      <c r="G265" t="s">
        <v>1777</v>
      </c>
      <c r="J265">
        <v>1</v>
      </c>
      <c r="K265">
        <v>1</v>
      </c>
      <c r="L265">
        <v>1</v>
      </c>
      <c r="M265" t="s">
        <v>3187</v>
      </c>
    </row>
    <row r="266" spans="1:13" x14ac:dyDescent="0.25">
      <c r="A266" t="s">
        <v>755</v>
      </c>
      <c r="B266" t="s">
        <v>756</v>
      </c>
      <c r="C266" t="s">
        <v>757</v>
      </c>
      <c r="D266" t="s">
        <v>2053</v>
      </c>
      <c r="E266" t="s">
        <v>3566</v>
      </c>
      <c r="F266" t="s">
        <v>1781</v>
      </c>
      <c r="J266">
        <v>0</v>
      </c>
      <c r="M266" t="s">
        <v>3188</v>
      </c>
    </row>
    <row r="267" spans="1:13" x14ac:dyDescent="0.25">
      <c r="A267" t="s">
        <v>758</v>
      </c>
      <c r="B267" t="s">
        <v>759</v>
      </c>
      <c r="C267" t="s">
        <v>760</v>
      </c>
      <c r="D267" t="s">
        <v>2054</v>
      </c>
      <c r="E267" t="s">
        <v>3566</v>
      </c>
      <c r="F267" t="s">
        <v>1781</v>
      </c>
      <c r="J267">
        <v>0</v>
      </c>
      <c r="M267" t="s">
        <v>3189</v>
      </c>
    </row>
    <row r="268" spans="1:13" x14ac:dyDescent="0.25">
      <c r="A268" t="s">
        <v>761</v>
      </c>
      <c r="B268" t="s">
        <v>762</v>
      </c>
      <c r="C268" t="s">
        <v>763</v>
      </c>
      <c r="D268" t="s">
        <v>2055</v>
      </c>
      <c r="E268" t="s">
        <v>42</v>
      </c>
      <c r="F268" t="s">
        <v>1837</v>
      </c>
      <c r="I268" t="s">
        <v>90</v>
      </c>
      <c r="J268">
        <v>1</v>
      </c>
      <c r="K268">
        <v>1</v>
      </c>
      <c r="L268">
        <v>0</v>
      </c>
      <c r="M268" t="s">
        <v>3190</v>
      </c>
    </row>
    <row r="269" spans="1:13" x14ac:dyDescent="0.25">
      <c r="A269" t="s">
        <v>764</v>
      </c>
      <c r="B269" t="s">
        <v>765</v>
      </c>
      <c r="C269" t="s">
        <v>766</v>
      </c>
      <c r="D269" t="s">
        <v>2056</v>
      </c>
      <c r="E269" t="s">
        <v>320</v>
      </c>
      <c r="F269" t="s">
        <v>1837</v>
      </c>
      <c r="J269">
        <v>1</v>
      </c>
      <c r="K269">
        <v>0</v>
      </c>
      <c r="L269">
        <v>1</v>
      </c>
      <c r="M269" t="s">
        <v>3191</v>
      </c>
    </row>
    <row r="270" spans="1:13" x14ac:dyDescent="0.25">
      <c r="A270" t="s">
        <v>767</v>
      </c>
      <c r="B270" t="s">
        <v>768</v>
      </c>
      <c r="C270" t="s">
        <v>769</v>
      </c>
      <c r="D270" t="s">
        <v>2057</v>
      </c>
      <c r="E270" t="s">
        <v>42</v>
      </c>
      <c r="F270" t="s">
        <v>1837</v>
      </c>
      <c r="J270">
        <v>1</v>
      </c>
      <c r="K270">
        <v>1</v>
      </c>
      <c r="L270">
        <v>1</v>
      </c>
      <c r="M270" t="s">
        <v>3192</v>
      </c>
    </row>
    <row r="271" spans="1:13" x14ac:dyDescent="0.25">
      <c r="A271" t="s">
        <v>770</v>
      </c>
      <c r="B271" t="s">
        <v>771</v>
      </c>
      <c r="C271" t="s">
        <v>772</v>
      </c>
      <c r="D271" t="s">
        <v>2058</v>
      </c>
      <c r="E271" t="s">
        <v>42</v>
      </c>
      <c r="F271" t="s">
        <v>1837</v>
      </c>
      <c r="I271" t="s">
        <v>90</v>
      </c>
      <c r="J271">
        <v>1</v>
      </c>
      <c r="K271">
        <v>1</v>
      </c>
      <c r="L271">
        <v>0</v>
      </c>
      <c r="M271" t="s">
        <v>3193</v>
      </c>
    </row>
    <row r="272" spans="1:13" x14ac:dyDescent="0.25">
      <c r="A272" t="s">
        <v>773</v>
      </c>
      <c r="B272" t="s">
        <v>774</v>
      </c>
      <c r="C272" t="s">
        <v>775</v>
      </c>
      <c r="D272" t="s">
        <v>2059</v>
      </c>
      <c r="E272" t="s">
        <v>320</v>
      </c>
      <c r="F272" t="s">
        <v>1837</v>
      </c>
      <c r="J272">
        <v>1</v>
      </c>
      <c r="K272">
        <v>0</v>
      </c>
      <c r="L272">
        <v>1</v>
      </c>
      <c r="M272" t="s">
        <v>3194</v>
      </c>
    </row>
    <row r="273" spans="1:13" x14ac:dyDescent="0.25">
      <c r="A273" t="s">
        <v>776</v>
      </c>
      <c r="B273" t="s">
        <v>777</v>
      </c>
      <c r="C273" t="s">
        <v>778</v>
      </c>
      <c r="D273" t="s">
        <v>2060</v>
      </c>
      <c r="E273" t="s">
        <v>42</v>
      </c>
      <c r="F273" t="s">
        <v>1837</v>
      </c>
      <c r="I273" t="s">
        <v>723</v>
      </c>
      <c r="J273">
        <v>1</v>
      </c>
      <c r="K273">
        <v>1</v>
      </c>
      <c r="L273">
        <v>0</v>
      </c>
      <c r="M273" t="s">
        <v>3195</v>
      </c>
    </row>
    <row r="274" spans="1:13" x14ac:dyDescent="0.25">
      <c r="A274" t="s">
        <v>779</v>
      </c>
      <c r="B274" t="s">
        <v>780</v>
      </c>
      <c r="C274" t="s">
        <v>781</v>
      </c>
      <c r="D274" t="s">
        <v>2061</v>
      </c>
      <c r="E274" t="s">
        <v>42</v>
      </c>
      <c r="F274" t="s">
        <v>1837</v>
      </c>
      <c r="J274">
        <v>1</v>
      </c>
      <c r="K274">
        <v>1</v>
      </c>
      <c r="L274">
        <v>1</v>
      </c>
      <c r="M274" t="s">
        <v>3196</v>
      </c>
    </row>
    <row r="275" spans="1:13" x14ac:dyDescent="0.25">
      <c r="A275" t="s">
        <v>782</v>
      </c>
      <c r="B275" t="s">
        <v>783</v>
      </c>
      <c r="C275" t="s">
        <v>784</v>
      </c>
      <c r="D275" t="s">
        <v>2062</v>
      </c>
      <c r="E275" t="s">
        <v>3566</v>
      </c>
      <c r="F275" t="s">
        <v>1818</v>
      </c>
      <c r="G275" t="s">
        <v>1804</v>
      </c>
      <c r="J275">
        <v>1</v>
      </c>
      <c r="K275">
        <v>1</v>
      </c>
      <c r="L275">
        <v>1</v>
      </c>
      <c r="M275" t="s">
        <v>3197</v>
      </c>
    </row>
    <row r="276" spans="1:13" x14ac:dyDescent="0.25">
      <c r="A276" t="s">
        <v>785</v>
      </c>
      <c r="B276" t="s">
        <v>786</v>
      </c>
      <c r="C276" t="s">
        <v>787</v>
      </c>
      <c r="D276" t="s">
        <v>2063</v>
      </c>
      <c r="E276" t="s">
        <v>3566</v>
      </c>
      <c r="F276" t="s">
        <v>2064</v>
      </c>
      <c r="J276">
        <v>1</v>
      </c>
      <c r="K276">
        <v>1</v>
      </c>
      <c r="L276">
        <v>1</v>
      </c>
      <c r="M276" t="s">
        <v>3198</v>
      </c>
    </row>
    <row r="277" spans="1:13" x14ac:dyDescent="0.25">
      <c r="A277" t="s">
        <v>788</v>
      </c>
      <c r="B277" t="s">
        <v>789</v>
      </c>
      <c r="C277" t="s">
        <v>790</v>
      </c>
      <c r="D277" t="s">
        <v>2065</v>
      </c>
      <c r="E277" t="s">
        <v>3566</v>
      </c>
      <c r="F277" t="s">
        <v>1925</v>
      </c>
      <c r="I277" t="s">
        <v>90</v>
      </c>
      <c r="J277">
        <v>1</v>
      </c>
      <c r="K277">
        <v>1</v>
      </c>
      <c r="L277">
        <v>1</v>
      </c>
      <c r="M277" t="s">
        <v>3199</v>
      </c>
    </row>
    <row r="278" spans="1:13" x14ac:dyDescent="0.25">
      <c r="A278" t="s">
        <v>791</v>
      </c>
      <c r="B278" t="s">
        <v>792</v>
      </c>
      <c r="C278" t="s">
        <v>793</v>
      </c>
      <c r="D278" t="s">
        <v>2066</v>
      </c>
      <c r="E278" t="s">
        <v>320</v>
      </c>
      <c r="F278" t="s">
        <v>1814</v>
      </c>
      <c r="G278" t="s">
        <v>1815</v>
      </c>
      <c r="J278">
        <v>1</v>
      </c>
      <c r="K278">
        <v>1</v>
      </c>
      <c r="L278">
        <v>1</v>
      </c>
      <c r="M278" t="s">
        <v>3200</v>
      </c>
    </row>
    <row r="279" spans="1:13" x14ac:dyDescent="0.25">
      <c r="A279" t="s">
        <v>794</v>
      </c>
      <c r="B279" t="s">
        <v>795</v>
      </c>
      <c r="C279" t="s">
        <v>796</v>
      </c>
      <c r="D279" t="s">
        <v>2067</v>
      </c>
      <c r="E279" t="s">
        <v>320</v>
      </c>
      <c r="F279" t="s">
        <v>1814</v>
      </c>
      <c r="J279">
        <v>1</v>
      </c>
      <c r="K279">
        <v>1</v>
      </c>
      <c r="L279">
        <v>1</v>
      </c>
      <c r="M279" t="s">
        <v>3201</v>
      </c>
    </row>
    <row r="280" spans="1:13" x14ac:dyDescent="0.25">
      <c r="A280" t="s">
        <v>797</v>
      </c>
      <c r="B280" t="s">
        <v>798</v>
      </c>
      <c r="C280" t="s">
        <v>799</v>
      </c>
      <c r="D280" t="s">
        <v>2068</v>
      </c>
      <c r="E280" t="s">
        <v>3566</v>
      </c>
      <c r="F280" t="s">
        <v>1818</v>
      </c>
      <c r="G280" t="s">
        <v>1817</v>
      </c>
      <c r="J280">
        <v>1</v>
      </c>
      <c r="K280">
        <v>1</v>
      </c>
      <c r="L280">
        <v>1</v>
      </c>
      <c r="M280" t="s">
        <v>3202</v>
      </c>
    </row>
    <row r="281" spans="1:13" x14ac:dyDescent="0.25">
      <c r="A281" t="s">
        <v>800</v>
      </c>
      <c r="B281" t="s">
        <v>801</v>
      </c>
      <c r="C281" t="s">
        <v>802</v>
      </c>
      <c r="D281" t="s">
        <v>2069</v>
      </c>
      <c r="E281" t="s">
        <v>3566</v>
      </c>
      <c r="F281" t="s">
        <v>1814</v>
      </c>
      <c r="G281" t="s">
        <v>1815</v>
      </c>
      <c r="J281">
        <v>1</v>
      </c>
      <c r="K281">
        <v>1</v>
      </c>
      <c r="L281">
        <v>1</v>
      </c>
      <c r="M281" t="s">
        <v>3203</v>
      </c>
    </row>
    <row r="282" spans="1:13" x14ac:dyDescent="0.25">
      <c r="A282" t="s">
        <v>803</v>
      </c>
      <c r="B282" t="s">
        <v>804</v>
      </c>
      <c r="C282" t="s">
        <v>805</v>
      </c>
      <c r="D282" t="s">
        <v>2070</v>
      </c>
      <c r="E282" t="s">
        <v>3566</v>
      </c>
      <c r="F282" t="s">
        <v>1815</v>
      </c>
      <c r="G282" t="s">
        <v>1814</v>
      </c>
      <c r="J282">
        <v>1</v>
      </c>
      <c r="K282">
        <v>1</v>
      </c>
      <c r="L282">
        <v>1</v>
      </c>
      <c r="M282" t="s">
        <v>3204</v>
      </c>
    </row>
    <row r="283" spans="1:13" x14ac:dyDescent="0.25">
      <c r="A283" t="s">
        <v>806</v>
      </c>
      <c r="B283" t="s">
        <v>807</v>
      </c>
      <c r="C283" t="s">
        <v>808</v>
      </c>
      <c r="D283" t="s">
        <v>2071</v>
      </c>
      <c r="E283" t="s">
        <v>7</v>
      </c>
      <c r="F283" t="s">
        <v>1799</v>
      </c>
      <c r="J283">
        <v>1</v>
      </c>
      <c r="K283">
        <v>1</v>
      </c>
      <c r="L283">
        <v>0</v>
      </c>
      <c r="M283" t="s">
        <v>3205</v>
      </c>
    </row>
    <row r="284" spans="1:13" x14ac:dyDescent="0.25">
      <c r="A284" t="s">
        <v>809</v>
      </c>
      <c r="B284" t="s">
        <v>810</v>
      </c>
      <c r="C284" t="s">
        <v>811</v>
      </c>
      <c r="D284" t="s">
        <v>2072</v>
      </c>
      <c r="E284" t="s">
        <v>3566</v>
      </c>
      <c r="F284" t="s">
        <v>1951</v>
      </c>
      <c r="I284" t="s">
        <v>22</v>
      </c>
      <c r="J284">
        <v>1</v>
      </c>
      <c r="K284">
        <v>1</v>
      </c>
      <c r="L284">
        <v>0</v>
      </c>
      <c r="M284" t="s">
        <v>3206</v>
      </c>
    </row>
    <row r="285" spans="1:13" x14ac:dyDescent="0.25">
      <c r="A285" t="s">
        <v>2841</v>
      </c>
      <c r="B285" t="s">
        <v>812</v>
      </c>
      <c r="C285" t="s">
        <v>813</v>
      </c>
      <c r="D285" t="s">
        <v>2073</v>
      </c>
      <c r="E285" t="s">
        <v>7</v>
      </c>
      <c r="F285" t="s">
        <v>1837</v>
      </c>
      <c r="I285" t="s">
        <v>22</v>
      </c>
      <c r="J285">
        <v>1</v>
      </c>
      <c r="K285">
        <v>1</v>
      </c>
      <c r="L285">
        <v>1</v>
      </c>
      <c r="M285" t="s">
        <v>3207</v>
      </c>
    </row>
    <row r="286" spans="1:13" x14ac:dyDescent="0.25">
      <c r="A286" t="s">
        <v>2842</v>
      </c>
      <c r="B286" t="s">
        <v>814</v>
      </c>
      <c r="C286" t="s">
        <v>815</v>
      </c>
      <c r="D286" t="s">
        <v>2074</v>
      </c>
      <c r="E286" t="s">
        <v>7</v>
      </c>
      <c r="F286" t="s">
        <v>1837</v>
      </c>
      <c r="I286" t="s">
        <v>22</v>
      </c>
      <c r="J286">
        <v>1</v>
      </c>
      <c r="K286">
        <v>1</v>
      </c>
      <c r="L286">
        <v>1</v>
      </c>
      <c r="M286" t="s">
        <v>3208</v>
      </c>
    </row>
    <row r="287" spans="1:13" x14ac:dyDescent="0.25">
      <c r="A287" t="s">
        <v>816</v>
      </c>
      <c r="B287" t="s">
        <v>817</v>
      </c>
      <c r="C287" t="s">
        <v>818</v>
      </c>
      <c r="D287" t="s">
        <v>2075</v>
      </c>
      <c r="E287" t="s">
        <v>111</v>
      </c>
      <c r="F287" t="s">
        <v>1749</v>
      </c>
      <c r="G287" t="s">
        <v>1747</v>
      </c>
      <c r="H287" t="s">
        <v>1818</v>
      </c>
      <c r="I287" t="s">
        <v>22</v>
      </c>
      <c r="J287">
        <v>1</v>
      </c>
      <c r="K287">
        <v>1</v>
      </c>
      <c r="L287">
        <v>1</v>
      </c>
      <c r="M287" t="s">
        <v>3209</v>
      </c>
    </row>
    <row r="288" spans="1:13" x14ac:dyDescent="0.25">
      <c r="A288" t="s">
        <v>819</v>
      </c>
      <c r="B288" t="s">
        <v>820</v>
      </c>
      <c r="C288" t="s">
        <v>821</v>
      </c>
      <c r="D288" t="s">
        <v>2076</v>
      </c>
      <c r="E288" t="s">
        <v>38</v>
      </c>
      <c r="F288" t="s">
        <v>38</v>
      </c>
      <c r="J288">
        <v>1</v>
      </c>
      <c r="K288">
        <v>1</v>
      </c>
      <c r="L288">
        <v>0</v>
      </c>
      <c r="M288" t="s">
        <v>3210</v>
      </c>
    </row>
    <row r="289" spans="1:13" x14ac:dyDescent="0.25">
      <c r="A289" t="s">
        <v>2843</v>
      </c>
      <c r="B289" t="s">
        <v>822</v>
      </c>
      <c r="C289" t="s">
        <v>823</v>
      </c>
      <c r="D289" t="s">
        <v>2411</v>
      </c>
      <c r="E289" t="s">
        <v>42</v>
      </c>
      <c r="F289" t="s">
        <v>2077</v>
      </c>
      <c r="J289">
        <v>1</v>
      </c>
      <c r="K289">
        <v>0</v>
      </c>
      <c r="L289">
        <v>1</v>
      </c>
      <c r="M289" t="s">
        <v>3211</v>
      </c>
    </row>
    <row r="290" spans="1:13" x14ac:dyDescent="0.25">
      <c r="A290" t="s">
        <v>824</v>
      </c>
      <c r="B290" t="s">
        <v>825</v>
      </c>
      <c r="C290" t="s">
        <v>826</v>
      </c>
      <c r="D290" t="s">
        <v>2078</v>
      </c>
      <c r="E290" t="s">
        <v>111</v>
      </c>
      <c r="F290" t="s">
        <v>1951</v>
      </c>
      <c r="I290" t="s">
        <v>290</v>
      </c>
      <c r="J290">
        <v>1</v>
      </c>
      <c r="K290">
        <v>1</v>
      </c>
      <c r="L290">
        <v>0</v>
      </c>
      <c r="M290" t="s">
        <v>3212</v>
      </c>
    </row>
    <row r="291" spans="1:13" x14ac:dyDescent="0.25">
      <c r="A291" t="s">
        <v>827</v>
      </c>
      <c r="B291" t="s">
        <v>828</v>
      </c>
      <c r="C291" t="s">
        <v>829</v>
      </c>
      <c r="D291" t="s">
        <v>2079</v>
      </c>
      <c r="E291" t="s">
        <v>119</v>
      </c>
      <c r="F291" t="s">
        <v>1802</v>
      </c>
      <c r="J291">
        <v>1</v>
      </c>
      <c r="M291" t="s">
        <v>3213</v>
      </c>
    </row>
    <row r="292" spans="1:13" x14ac:dyDescent="0.25">
      <c r="A292" t="s">
        <v>830</v>
      </c>
      <c r="B292" t="s">
        <v>831</v>
      </c>
      <c r="C292" t="s">
        <v>832</v>
      </c>
      <c r="D292" t="s">
        <v>2080</v>
      </c>
      <c r="E292" t="s">
        <v>104</v>
      </c>
      <c r="F292" t="s">
        <v>1754</v>
      </c>
      <c r="J292">
        <v>1</v>
      </c>
      <c r="K292">
        <v>1</v>
      </c>
      <c r="L292">
        <v>0</v>
      </c>
      <c r="M292" t="s">
        <v>3214</v>
      </c>
    </row>
    <row r="293" spans="1:13" x14ac:dyDescent="0.25">
      <c r="A293" t="s">
        <v>833</v>
      </c>
      <c r="B293" t="s">
        <v>834</v>
      </c>
      <c r="C293" t="s">
        <v>835</v>
      </c>
      <c r="D293" t="s">
        <v>2081</v>
      </c>
      <c r="E293" t="s">
        <v>104</v>
      </c>
      <c r="F293" t="s">
        <v>1754</v>
      </c>
      <c r="J293">
        <v>1</v>
      </c>
      <c r="K293">
        <v>1</v>
      </c>
      <c r="L293">
        <v>0</v>
      </c>
      <c r="M293" t="s">
        <v>3215</v>
      </c>
    </row>
    <row r="294" spans="1:13" x14ac:dyDescent="0.25">
      <c r="A294" t="s">
        <v>836</v>
      </c>
      <c r="B294" s="38" t="s">
        <v>837</v>
      </c>
      <c r="C294" t="s">
        <v>838</v>
      </c>
      <c r="D294" t="s">
        <v>2082</v>
      </c>
      <c r="E294" t="s">
        <v>3566</v>
      </c>
      <c r="F294" t="s">
        <v>1761</v>
      </c>
      <c r="G294" t="s">
        <v>1762</v>
      </c>
      <c r="J294">
        <v>1</v>
      </c>
      <c r="K294">
        <v>1</v>
      </c>
      <c r="L294">
        <v>1</v>
      </c>
      <c r="M294" t="s">
        <v>3216</v>
      </c>
    </row>
    <row r="295" spans="1:13" x14ac:dyDescent="0.25">
      <c r="A295" t="s">
        <v>839</v>
      </c>
      <c r="B295" t="s">
        <v>840</v>
      </c>
      <c r="C295" t="s">
        <v>841</v>
      </c>
      <c r="D295" t="s">
        <v>2083</v>
      </c>
      <c r="E295" t="s">
        <v>111</v>
      </c>
      <c r="F295" t="s">
        <v>1797</v>
      </c>
      <c r="J295">
        <v>1</v>
      </c>
      <c r="K295">
        <v>1</v>
      </c>
      <c r="L295">
        <v>0</v>
      </c>
      <c r="M295" t="s">
        <v>3217</v>
      </c>
    </row>
    <row r="296" spans="1:13" x14ac:dyDescent="0.25">
      <c r="A296" t="s">
        <v>842</v>
      </c>
      <c r="B296" t="s">
        <v>843</v>
      </c>
      <c r="C296" t="s">
        <v>844</v>
      </c>
      <c r="D296" t="s">
        <v>2084</v>
      </c>
      <c r="E296" t="s">
        <v>320</v>
      </c>
      <c r="F296" t="s">
        <v>1879</v>
      </c>
      <c r="J296">
        <v>1</v>
      </c>
      <c r="K296">
        <v>1</v>
      </c>
      <c r="L296">
        <v>1</v>
      </c>
      <c r="M296" t="s">
        <v>3218</v>
      </c>
    </row>
    <row r="297" spans="1:13" x14ac:dyDescent="0.25">
      <c r="A297" t="s">
        <v>845</v>
      </c>
      <c r="B297" t="s">
        <v>846</v>
      </c>
      <c r="C297" t="s">
        <v>847</v>
      </c>
      <c r="D297" t="s">
        <v>2085</v>
      </c>
      <c r="E297" t="s">
        <v>3566</v>
      </c>
      <c r="F297" t="s">
        <v>1761</v>
      </c>
      <c r="G297" t="s">
        <v>1762</v>
      </c>
      <c r="J297">
        <v>1</v>
      </c>
      <c r="K297">
        <v>1</v>
      </c>
      <c r="L297">
        <v>1</v>
      </c>
      <c r="M297" t="s">
        <v>3219</v>
      </c>
    </row>
    <row r="298" spans="1:13" x14ac:dyDescent="0.25">
      <c r="A298" t="s">
        <v>2844</v>
      </c>
      <c r="B298" t="s">
        <v>848</v>
      </c>
      <c r="C298" t="s">
        <v>849</v>
      </c>
      <c r="D298" t="s">
        <v>2086</v>
      </c>
      <c r="E298" t="s">
        <v>21</v>
      </c>
      <c r="F298" t="s">
        <v>1770</v>
      </c>
      <c r="I298" t="s">
        <v>22</v>
      </c>
      <c r="J298">
        <v>1</v>
      </c>
      <c r="K298">
        <v>1</v>
      </c>
      <c r="L298">
        <v>0</v>
      </c>
      <c r="M298" t="s">
        <v>3220</v>
      </c>
    </row>
    <row r="299" spans="1:13" x14ac:dyDescent="0.25">
      <c r="A299" t="s">
        <v>2845</v>
      </c>
      <c r="B299" t="s">
        <v>850</v>
      </c>
      <c r="C299" t="s">
        <v>851</v>
      </c>
      <c r="D299" t="s">
        <v>2087</v>
      </c>
      <c r="E299" t="s">
        <v>21</v>
      </c>
      <c r="F299" t="s">
        <v>1770</v>
      </c>
      <c r="I299" t="s">
        <v>22</v>
      </c>
      <c r="J299">
        <v>1</v>
      </c>
      <c r="K299">
        <v>1</v>
      </c>
      <c r="L299">
        <v>1</v>
      </c>
      <c r="M299" t="s">
        <v>3221</v>
      </c>
    </row>
    <row r="300" spans="1:13" x14ac:dyDescent="0.25">
      <c r="A300" t="s">
        <v>852</v>
      </c>
      <c r="B300" t="s">
        <v>853</v>
      </c>
      <c r="C300" t="s">
        <v>854</v>
      </c>
      <c r="D300" t="s">
        <v>2088</v>
      </c>
      <c r="E300" t="s">
        <v>3566</v>
      </c>
      <c r="F300" t="s">
        <v>1777</v>
      </c>
      <c r="G300" t="s">
        <v>1804</v>
      </c>
      <c r="J300">
        <v>1</v>
      </c>
      <c r="K300">
        <v>1</v>
      </c>
      <c r="L300">
        <v>1</v>
      </c>
      <c r="M300" t="s">
        <v>3222</v>
      </c>
    </row>
    <row r="301" spans="1:13" x14ac:dyDescent="0.25">
      <c r="A301" t="s">
        <v>2846</v>
      </c>
      <c r="B301" t="s">
        <v>855</v>
      </c>
      <c r="C301" t="s">
        <v>856</v>
      </c>
      <c r="D301" t="s">
        <v>2089</v>
      </c>
      <c r="E301" t="s">
        <v>21</v>
      </c>
      <c r="F301" t="s">
        <v>1757</v>
      </c>
      <c r="I301" t="s">
        <v>22</v>
      </c>
      <c r="J301">
        <v>1</v>
      </c>
      <c r="K301">
        <v>1</v>
      </c>
      <c r="L301">
        <v>1</v>
      </c>
      <c r="M301" t="s">
        <v>3223</v>
      </c>
    </row>
    <row r="302" spans="1:13" x14ac:dyDescent="0.25">
      <c r="A302" t="s">
        <v>857</v>
      </c>
      <c r="B302" t="s">
        <v>858</v>
      </c>
      <c r="C302" t="s">
        <v>859</v>
      </c>
      <c r="D302" t="s">
        <v>2090</v>
      </c>
      <c r="E302" t="s">
        <v>3566</v>
      </c>
      <c r="F302" t="s">
        <v>1788</v>
      </c>
      <c r="I302" t="s">
        <v>22</v>
      </c>
      <c r="J302">
        <v>1</v>
      </c>
      <c r="K302">
        <v>1</v>
      </c>
      <c r="L302">
        <v>1</v>
      </c>
      <c r="M302" t="s">
        <v>3224</v>
      </c>
    </row>
    <row r="303" spans="1:13" x14ac:dyDescent="0.25">
      <c r="A303" t="s">
        <v>860</v>
      </c>
      <c r="B303" t="s">
        <v>861</v>
      </c>
      <c r="C303" t="s">
        <v>862</v>
      </c>
      <c r="D303" t="s">
        <v>2091</v>
      </c>
      <c r="E303" t="s">
        <v>320</v>
      </c>
      <c r="F303" t="s">
        <v>1879</v>
      </c>
      <c r="J303">
        <v>1</v>
      </c>
      <c r="K303">
        <v>1</v>
      </c>
      <c r="L303">
        <v>1</v>
      </c>
      <c r="M303" t="s">
        <v>3225</v>
      </c>
    </row>
    <row r="304" spans="1:13" x14ac:dyDescent="0.25">
      <c r="B304" t="s">
        <v>863</v>
      </c>
      <c r="C304" t="s">
        <v>864</v>
      </c>
      <c r="D304" t="s">
        <v>3570</v>
      </c>
      <c r="E304" t="s">
        <v>3566</v>
      </c>
      <c r="M304" t="s">
        <v>3226</v>
      </c>
    </row>
    <row r="305" spans="1:13" x14ac:dyDescent="0.25">
      <c r="A305" t="s">
        <v>865</v>
      </c>
      <c r="B305" t="s">
        <v>866</v>
      </c>
      <c r="C305" t="s">
        <v>867</v>
      </c>
      <c r="D305" t="s">
        <v>2092</v>
      </c>
      <c r="E305" t="s">
        <v>89</v>
      </c>
      <c r="F305" t="s">
        <v>1788</v>
      </c>
      <c r="I305" t="s">
        <v>90</v>
      </c>
      <c r="J305">
        <v>1</v>
      </c>
      <c r="K305">
        <v>1</v>
      </c>
      <c r="L305">
        <v>0</v>
      </c>
      <c r="M305" t="s">
        <v>3227</v>
      </c>
    </row>
    <row r="306" spans="1:13" x14ac:dyDescent="0.25">
      <c r="A306" t="s">
        <v>868</v>
      </c>
      <c r="B306" t="s">
        <v>869</v>
      </c>
      <c r="C306" t="s">
        <v>870</v>
      </c>
      <c r="D306" t="s">
        <v>2093</v>
      </c>
      <c r="E306" t="s">
        <v>89</v>
      </c>
      <c r="F306" t="s">
        <v>1790</v>
      </c>
      <c r="I306" t="s">
        <v>90</v>
      </c>
      <c r="J306">
        <v>1</v>
      </c>
      <c r="K306">
        <v>1</v>
      </c>
      <c r="L306">
        <v>0</v>
      </c>
      <c r="M306" t="s">
        <v>3228</v>
      </c>
    </row>
    <row r="307" spans="1:13" x14ac:dyDescent="0.25">
      <c r="A307" t="s">
        <v>871</v>
      </c>
      <c r="B307" t="s">
        <v>872</v>
      </c>
      <c r="C307" t="s">
        <v>873</v>
      </c>
      <c r="D307" t="s">
        <v>2094</v>
      </c>
      <c r="E307" t="s">
        <v>42</v>
      </c>
      <c r="F307" t="s">
        <v>1788</v>
      </c>
      <c r="I307" t="s">
        <v>8</v>
      </c>
      <c r="J307">
        <v>1</v>
      </c>
      <c r="K307">
        <v>1</v>
      </c>
      <c r="L307">
        <v>1</v>
      </c>
      <c r="M307" t="s">
        <v>3229</v>
      </c>
    </row>
    <row r="308" spans="1:13" x14ac:dyDescent="0.25">
      <c r="A308" t="s">
        <v>874</v>
      </c>
      <c r="B308" t="s">
        <v>875</v>
      </c>
      <c r="C308" t="s">
        <v>876</v>
      </c>
      <c r="D308" t="s">
        <v>2095</v>
      </c>
      <c r="E308" t="s">
        <v>89</v>
      </c>
      <c r="F308" t="s">
        <v>1788</v>
      </c>
      <c r="I308" t="s">
        <v>8</v>
      </c>
      <c r="J308">
        <v>1</v>
      </c>
      <c r="K308">
        <v>1</v>
      </c>
      <c r="L308">
        <v>0</v>
      </c>
      <c r="M308" t="s">
        <v>3230</v>
      </c>
    </row>
    <row r="309" spans="1:13" x14ac:dyDescent="0.25">
      <c r="A309" t="s">
        <v>877</v>
      </c>
      <c r="B309" t="s">
        <v>878</v>
      </c>
      <c r="C309" t="s">
        <v>879</v>
      </c>
      <c r="D309" t="s">
        <v>2096</v>
      </c>
      <c r="E309" t="s">
        <v>3566</v>
      </c>
      <c r="F309" t="s">
        <v>1940</v>
      </c>
      <c r="I309" t="s">
        <v>22</v>
      </c>
      <c r="J309">
        <v>1</v>
      </c>
      <c r="K309">
        <v>1</v>
      </c>
      <c r="L309">
        <v>0</v>
      </c>
      <c r="M309" t="s">
        <v>3231</v>
      </c>
    </row>
    <row r="310" spans="1:13" x14ac:dyDescent="0.25">
      <c r="A310" t="s">
        <v>880</v>
      </c>
      <c r="B310" t="s">
        <v>881</v>
      </c>
      <c r="C310" t="s">
        <v>882</v>
      </c>
      <c r="D310" t="s">
        <v>2097</v>
      </c>
      <c r="E310" t="s">
        <v>7</v>
      </c>
      <c r="F310" t="s">
        <v>1799</v>
      </c>
      <c r="I310" t="s">
        <v>90</v>
      </c>
      <c r="J310">
        <v>1</v>
      </c>
      <c r="K310">
        <v>1</v>
      </c>
      <c r="L310">
        <v>0</v>
      </c>
      <c r="M310" t="s">
        <v>3232</v>
      </c>
    </row>
    <row r="311" spans="1:13" x14ac:dyDescent="0.25">
      <c r="A311" t="s">
        <v>883</v>
      </c>
      <c r="B311" t="s">
        <v>884</v>
      </c>
      <c r="C311" t="s">
        <v>885</v>
      </c>
      <c r="D311" t="s">
        <v>2098</v>
      </c>
      <c r="E311" t="s">
        <v>38</v>
      </c>
      <c r="F311" t="s">
        <v>38</v>
      </c>
      <c r="I311" t="s">
        <v>22</v>
      </c>
      <c r="J311">
        <v>1</v>
      </c>
      <c r="K311">
        <v>1</v>
      </c>
      <c r="L311">
        <v>0</v>
      </c>
      <c r="M311" t="s">
        <v>3233</v>
      </c>
    </row>
    <row r="312" spans="1:13" x14ac:dyDescent="0.25">
      <c r="A312" t="s">
        <v>886</v>
      </c>
      <c r="B312" t="s">
        <v>887</v>
      </c>
      <c r="C312" t="s">
        <v>888</v>
      </c>
      <c r="D312" t="s">
        <v>2099</v>
      </c>
      <c r="E312" t="s">
        <v>3566</v>
      </c>
      <c r="F312" t="s">
        <v>1761</v>
      </c>
      <c r="G312" t="s">
        <v>1762</v>
      </c>
      <c r="J312">
        <v>1</v>
      </c>
      <c r="K312">
        <v>1</v>
      </c>
      <c r="L312">
        <v>1</v>
      </c>
      <c r="M312" t="s">
        <v>3234</v>
      </c>
    </row>
    <row r="313" spans="1:13" x14ac:dyDescent="0.25">
      <c r="A313" t="s">
        <v>889</v>
      </c>
      <c r="B313" t="s">
        <v>890</v>
      </c>
      <c r="C313" t="s">
        <v>891</v>
      </c>
      <c r="D313" t="s">
        <v>2100</v>
      </c>
      <c r="E313" t="s">
        <v>3566</v>
      </c>
      <c r="F313" t="s">
        <v>1818</v>
      </c>
      <c r="G313" t="s">
        <v>1817</v>
      </c>
      <c r="J313">
        <v>1</v>
      </c>
      <c r="K313">
        <v>1</v>
      </c>
      <c r="L313">
        <v>1</v>
      </c>
      <c r="M313" t="s">
        <v>3235</v>
      </c>
    </row>
    <row r="314" spans="1:13" x14ac:dyDescent="0.25">
      <c r="A314" t="s">
        <v>892</v>
      </c>
      <c r="B314" t="s">
        <v>893</v>
      </c>
      <c r="C314" t="s">
        <v>894</v>
      </c>
      <c r="D314" t="s">
        <v>2101</v>
      </c>
      <c r="E314" t="s">
        <v>3566</v>
      </c>
      <c r="F314" t="s">
        <v>1754</v>
      </c>
      <c r="I314" t="s">
        <v>22</v>
      </c>
      <c r="J314">
        <v>1</v>
      </c>
      <c r="K314">
        <v>1</v>
      </c>
      <c r="L314">
        <v>1</v>
      </c>
      <c r="M314" t="s">
        <v>3236</v>
      </c>
    </row>
    <row r="315" spans="1:13" x14ac:dyDescent="0.25">
      <c r="A315" t="s">
        <v>895</v>
      </c>
      <c r="B315" t="s">
        <v>896</v>
      </c>
      <c r="C315" t="s">
        <v>897</v>
      </c>
      <c r="D315" t="s">
        <v>2102</v>
      </c>
      <c r="E315" t="s">
        <v>38</v>
      </c>
      <c r="F315" t="s">
        <v>1814</v>
      </c>
      <c r="G315" t="s">
        <v>1815</v>
      </c>
      <c r="J315">
        <v>1</v>
      </c>
      <c r="K315">
        <v>1</v>
      </c>
      <c r="L315">
        <v>1</v>
      </c>
      <c r="M315" t="s">
        <v>3237</v>
      </c>
    </row>
    <row r="316" spans="1:13" x14ac:dyDescent="0.25">
      <c r="A316" t="s">
        <v>898</v>
      </c>
      <c r="B316" t="s">
        <v>899</v>
      </c>
      <c r="C316" t="s">
        <v>900</v>
      </c>
      <c r="D316" t="s">
        <v>2103</v>
      </c>
      <c r="E316" t="s">
        <v>104</v>
      </c>
      <c r="F316" t="s">
        <v>1802</v>
      </c>
      <c r="J316">
        <v>1</v>
      </c>
      <c r="K316">
        <v>1</v>
      </c>
      <c r="L316">
        <v>0</v>
      </c>
      <c r="M316" t="s">
        <v>3238</v>
      </c>
    </row>
    <row r="317" spans="1:13" x14ac:dyDescent="0.25">
      <c r="A317" t="s">
        <v>901</v>
      </c>
      <c r="B317" t="s">
        <v>902</v>
      </c>
      <c r="C317" t="s">
        <v>903</v>
      </c>
      <c r="D317" t="s">
        <v>2104</v>
      </c>
      <c r="E317" t="s">
        <v>104</v>
      </c>
      <c r="J317">
        <v>1</v>
      </c>
      <c r="L317">
        <v>1</v>
      </c>
      <c r="M317" t="s">
        <v>3239</v>
      </c>
    </row>
    <row r="318" spans="1:13" x14ac:dyDescent="0.25">
      <c r="A318" t="s">
        <v>3571</v>
      </c>
      <c r="B318" s="38" t="s">
        <v>904</v>
      </c>
      <c r="C318" t="s">
        <v>905</v>
      </c>
      <c r="D318" t="s">
        <v>3572</v>
      </c>
      <c r="E318" t="s">
        <v>3566</v>
      </c>
      <c r="F318" t="s">
        <v>1919</v>
      </c>
      <c r="J318">
        <v>1</v>
      </c>
      <c r="K318">
        <v>0</v>
      </c>
      <c r="L318">
        <v>1</v>
      </c>
      <c r="M318" t="s">
        <v>3240</v>
      </c>
    </row>
    <row r="319" spans="1:13" x14ac:dyDescent="0.25">
      <c r="A319" t="s">
        <v>906</v>
      </c>
      <c r="B319" t="s">
        <v>907</v>
      </c>
      <c r="C319" t="s">
        <v>908</v>
      </c>
      <c r="D319" t="s">
        <v>2105</v>
      </c>
      <c r="E319" t="s">
        <v>111</v>
      </c>
      <c r="F319" t="s">
        <v>2106</v>
      </c>
      <c r="J319">
        <v>1</v>
      </c>
      <c r="K319">
        <v>1</v>
      </c>
      <c r="L319">
        <v>0</v>
      </c>
      <c r="M319" t="s">
        <v>3241</v>
      </c>
    </row>
    <row r="320" spans="1:13" x14ac:dyDescent="0.25">
      <c r="A320" t="s">
        <v>909</v>
      </c>
      <c r="B320" t="s">
        <v>910</v>
      </c>
      <c r="C320" t="s">
        <v>911</v>
      </c>
      <c r="D320" t="s">
        <v>2107</v>
      </c>
      <c r="E320" t="s">
        <v>3566</v>
      </c>
      <c r="F320" t="s">
        <v>2108</v>
      </c>
      <c r="J320">
        <v>1</v>
      </c>
      <c r="K320">
        <v>1</v>
      </c>
      <c r="L320">
        <v>1</v>
      </c>
      <c r="M320" t="s">
        <v>3242</v>
      </c>
    </row>
    <row r="321" spans="1:13" x14ac:dyDescent="0.25">
      <c r="A321" t="s">
        <v>912</v>
      </c>
      <c r="B321" t="s">
        <v>913</v>
      </c>
      <c r="C321" t="s">
        <v>914</v>
      </c>
      <c r="D321" t="s">
        <v>2109</v>
      </c>
      <c r="E321" t="s">
        <v>3566</v>
      </c>
      <c r="F321" t="s">
        <v>2108</v>
      </c>
      <c r="J321">
        <v>1</v>
      </c>
      <c r="K321">
        <v>1</v>
      </c>
      <c r="L321">
        <v>1</v>
      </c>
      <c r="M321" t="s">
        <v>3243</v>
      </c>
    </row>
    <row r="322" spans="1:13" x14ac:dyDescent="0.25">
      <c r="A322" t="s">
        <v>915</v>
      </c>
      <c r="B322" t="s">
        <v>916</v>
      </c>
      <c r="C322" t="s">
        <v>917</v>
      </c>
      <c r="D322" t="s">
        <v>2110</v>
      </c>
      <c r="E322" t="s">
        <v>3566</v>
      </c>
      <c r="F322" t="s">
        <v>2108</v>
      </c>
      <c r="J322">
        <v>1</v>
      </c>
      <c r="K322">
        <v>1</v>
      </c>
      <c r="L322">
        <v>1</v>
      </c>
      <c r="M322" t="s">
        <v>3244</v>
      </c>
    </row>
    <row r="323" spans="1:13" x14ac:dyDescent="0.25">
      <c r="A323" t="s">
        <v>918</v>
      </c>
      <c r="B323" t="s">
        <v>919</v>
      </c>
      <c r="C323" t="s">
        <v>920</v>
      </c>
      <c r="D323" t="s">
        <v>2111</v>
      </c>
      <c r="E323" t="s">
        <v>3566</v>
      </c>
      <c r="F323" t="s">
        <v>2108</v>
      </c>
      <c r="J323">
        <v>1</v>
      </c>
      <c r="K323">
        <v>1</v>
      </c>
      <c r="L323">
        <v>1</v>
      </c>
      <c r="M323" t="s">
        <v>3245</v>
      </c>
    </row>
    <row r="324" spans="1:13" x14ac:dyDescent="0.25">
      <c r="A324" t="s">
        <v>921</v>
      </c>
      <c r="B324" t="s">
        <v>922</v>
      </c>
      <c r="C324" t="s">
        <v>923</v>
      </c>
      <c r="D324" t="s">
        <v>2112</v>
      </c>
      <c r="E324" t="s">
        <v>3566</v>
      </c>
      <c r="F324" t="s">
        <v>2108</v>
      </c>
      <c r="J324">
        <v>1</v>
      </c>
      <c r="K324">
        <v>1</v>
      </c>
      <c r="L324">
        <v>1</v>
      </c>
      <c r="M324" t="s">
        <v>3246</v>
      </c>
    </row>
    <row r="325" spans="1:13" x14ac:dyDescent="0.25">
      <c r="A325" t="s">
        <v>924</v>
      </c>
      <c r="B325" t="s">
        <v>925</v>
      </c>
      <c r="C325" t="s">
        <v>926</v>
      </c>
      <c r="D325" t="s">
        <v>2113</v>
      </c>
      <c r="E325" t="s">
        <v>3566</v>
      </c>
      <c r="F325" t="s">
        <v>2108</v>
      </c>
      <c r="J325">
        <v>1</v>
      </c>
      <c r="K325">
        <v>1</v>
      </c>
      <c r="L325">
        <v>1</v>
      </c>
      <c r="M325" t="s">
        <v>3247</v>
      </c>
    </row>
    <row r="326" spans="1:13" x14ac:dyDescent="0.25">
      <c r="A326" t="s">
        <v>927</v>
      </c>
      <c r="B326" t="s">
        <v>928</v>
      </c>
      <c r="C326" t="s">
        <v>929</v>
      </c>
      <c r="D326" t="s">
        <v>2114</v>
      </c>
      <c r="E326" t="s">
        <v>320</v>
      </c>
      <c r="F326" t="s">
        <v>1814</v>
      </c>
      <c r="J326">
        <v>1</v>
      </c>
      <c r="K326">
        <v>1</v>
      </c>
      <c r="L326">
        <v>1</v>
      </c>
      <c r="M326" t="s">
        <v>3248</v>
      </c>
    </row>
    <row r="327" spans="1:13" x14ac:dyDescent="0.25">
      <c r="A327" t="s">
        <v>930</v>
      </c>
      <c r="B327" t="s">
        <v>931</v>
      </c>
      <c r="C327" t="s">
        <v>932</v>
      </c>
      <c r="D327" t="s">
        <v>2115</v>
      </c>
      <c r="E327" t="s">
        <v>3566</v>
      </c>
      <c r="F327" t="s">
        <v>2108</v>
      </c>
      <c r="J327">
        <v>1</v>
      </c>
      <c r="K327">
        <v>1</v>
      </c>
      <c r="L327">
        <v>1</v>
      </c>
      <c r="M327" t="s">
        <v>3249</v>
      </c>
    </row>
    <row r="328" spans="1:13" x14ac:dyDescent="0.25">
      <c r="A328" t="s">
        <v>933</v>
      </c>
      <c r="B328" t="s">
        <v>934</v>
      </c>
      <c r="C328" t="s">
        <v>935</v>
      </c>
      <c r="D328" t="s">
        <v>2116</v>
      </c>
      <c r="E328" t="s">
        <v>320</v>
      </c>
      <c r="F328" t="s">
        <v>1814</v>
      </c>
      <c r="J328">
        <v>1</v>
      </c>
      <c r="K328">
        <v>1</v>
      </c>
      <c r="L328">
        <v>1</v>
      </c>
      <c r="M328" t="s">
        <v>3250</v>
      </c>
    </row>
    <row r="329" spans="1:13" x14ac:dyDescent="0.25">
      <c r="A329" t="s">
        <v>936</v>
      </c>
      <c r="B329" t="s">
        <v>937</v>
      </c>
      <c r="C329" t="s">
        <v>938</v>
      </c>
      <c r="D329" t="s">
        <v>2117</v>
      </c>
      <c r="E329" t="s">
        <v>3566</v>
      </c>
      <c r="F329" t="s">
        <v>2108</v>
      </c>
      <c r="J329">
        <v>1</v>
      </c>
      <c r="K329">
        <v>1</v>
      </c>
      <c r="L329">
        <v>1</v>
      </c>
      <c r="M329" t="s">
        <v>3251</v>
      </c>
    </row>
    <row r="330" spans="1:13" x14ac:dyDescent="0.25">
      <c r="A330" t="s">
        <v>939</v>
      </c>
      <c r="B330" t="s">
        <v>940</v>
      </c>
      <c r="C330" t="s">
        <v>941</v>
      </c>
      <c r="D330" t="s">
        <v>2118</v>
      </c>
      <c r="E330" t="s">
        <v>320</v>
      </c>
      <c r="F330" t="s">
        <v>1817</v>
      </c>
      <c r="J330">
        <v>1</v>
      </c>
      <c r="K330">
        <v>1</v>
      </c>
      <c r="L330">
        <v>1</v>
      </c>
      <c r="M330" t="s">
        <v>3252</v>
      </c>
    </row>
    <row r="331" spans="1:13" x14ac:dyDescent="0.25">
      <c r="A331" t="s">
        <v>2847</v>
      </c>
      <c r="B331" t="s">
        <v>942</v>
      </c>
      <c r="C331" t="s">
        <v>943</v>
      </c>
      <c r="D331" t="s">
        <v>2119</v>
      </c>
      <c r="E331" t="s">
        <v>21</v>
      </c>
      <c r="F331" t="s">
        <v>1757</v>
      </c>
      <c r="I331" t="s">
        <v>22</v>
      </c>
      <c r="J331">
        <v>1</v>
      </c>
      <c r="K331">
        <v>1</v>
      </c>
      <c r="L331">
        <v>0</v>
      </c>
      <c r="M331" t="s">
        <v>3253</v>
      </c>
    </row>
    <row r="332" spans="1:13" x14ac:dyDescent="0.25">
      <c r="A332" t="s">
        <v>2848</v>
      </c>
      <c r="B332" t="s">
        <v>945</v>
      </c>
      <c r="C332" t="s">
        <v>946</v>
      </c>
      <c r="D332" t="s">
        <v>2120</v>
      </c>
      <c r="E332" t="s">
        <v>7</v>
      </c>
      <c r="F332" t="s">
        <v>1751</v>
      </c>
      <c r="I332" t="s">
        <v>8</v>
      </c>
      <c r="J332">
        <v>1</v>
      </c>
      <c r="K332">
        <v>1</v>
      </c>
      <c r="L332">
        <v>0</v>
      </c>
      <c r="M332" t="s">
        <v>3254</v>
      </c>
    </row>
    <row r="333" spans="1:13" x14ac:dyDescent="0.25">
      <c r="A333" t="s">
        <v>944</v>
      </c>
      <c r="B333" t="s">
        <v>947</v>
      </c>
      <c r="C333" t="s">
        <v>948</v>
      </c>
      <c r="D333" t="s">
        <v>2121</v>
      </c>
      <c r="E333" t="s">
        <v>7</v>
      </c>
      <c r="F333" t="s">
        <v>1799</v>
      </c>
      <c r="G333" t="s">
        <v>1800</v>
      </c>
      <c r="I333" t="s">
        <v>8</v>
      </c>
      <c r="J333">
        <v>1</v>
      </c>
      <c r="K333">
        <v>1</v>
      </c>
      <c r="L333">
        <v>1</v>
      </c>
      <c r="M333" t="s">
        <v>3255</v>
      </c>
    </row>
    <row r="334" spans="1:13" x14ac:dyDescent="0.25">
      <c r="A334" t="s">
        <v>949</v>
      </c>
      <c r="B334" t="s">
        <v>950</v>
      </c>
      <c r="C334" t="s">
        <v>951</v>
      </c>
      <c r="D334" t="s">
        <v>2122</v>
      </c>
      <c r="E334" t="s">
        <v>7</v>
      </c>
      <c r="F334" t="s">
        <v>1799</v>
      </c>
      <c r="I334" t="s">
        <v>8</v>
      </c>
      <c r="J334">
        <v>1</v>
      </c>
      <c r="K334">
        <v>1</v>
      </c>
      <c r="L334">
        <v>0</v>
      </c>
      <c r="M334" t="s">
        <v>3256</v>
      </c>
    </row>
    <row r="335" spans="1:13" x14ac:dyDescent="0.25">
      <c r="A335" t="s">
        <v>952</v>
      </c>
      <c r="B335" t="s">
        <v>953</v>
      </c>
      <c r="C335" t="s">
        <v>954</v>
      </c>
      <c r="D335" t="s">
        <v>2123</v>
      </c>
      <c r="E335" t="s">
        <v>89</v>
      </c>
      <c r="F335" t="s">
        <v>1788</v>
      </c>
      <c r="I335" t="s">
        <v>90</v>
      </c>
      <c r="J335">
        <v>1</v>
      </c>
      <c r="K335">
        <v>1</v>
      </c>
      <c r="L335">
        <v>0</v>
      </c>
      <c r="M335" t="s">
        <v>3257</v>
      </c>
    </row>
    <row r="336" spans="1:13" x14ac:dyDescent="0.25">
      <c r="A336" t="s">
        <v>955</v>
      </c>
      <c r="B336" t="s">
        <v>956</v>
      </c>
      <c r="C336" t="s">
        <v>957</v>
      </c>
      <c r="D336" t="s">
        <v>2124</v>
      </c>
      <c r="E336" t="s">
        <v>38</v>
      </c>
      <c r="F336" t="s">
        <v>38</v>
      </c>
      <c r="J336">
        <v>1</v>
      </c>
      <c r="K336">
        <v>1</v>
      </c>
      <c r="L336">
        <v>0</v>
      </c>
      <c r="M336" t="s">
        <v>3258</v>
      </c>
    </row>
    <row r="337" spans="1:13" x14ac:dyDescent="0.25">
      <c r="A337" t="s">
        <v>958</v>
      </c>
      <c r="B337" t="s">
        <v>959</v>
      </c>
      <c r="C337" t="s">
        <v>960</v>
      </c>
      <c r="D337" t="s">
        <v>2125</v>
      </c>
      <c r="E337" t="s">
        <v>119</v>
      </c>
      <c r="F337" t="s">
        <v>1809</v>
      </c>
      <c r="J337">
        <v>1</v>
      </c>
      <c r="K337">
        <v>1</v>
      </c>
      <c r="L337">
        <v>1</v>
      </c>
      <c r="M337" t="s">
        <v>3259</v>
      </c>
    </row>
    <row r="338" spans="1:13" x14ac:dyDescent="0.25">
      <c r="A338" t="s">
        <v>961</v>
      </c>
      <c r="B338" t="s">
        <v>962</v>
      </c>
      <c r="C338" t="s">
        <v>963</v>
      </c>
      <c r="D338" t="s">
        <v>2126</v>
      </c>
      <c r="E338" t="s">
        <v>3566</v>
      </c>
      <c r="F338" t="s">
        <v>2127</v>
      </c>
      <c r="I338" t="s">
        <v>22</v>
      </c>
      <c r="J338">
        <v>1</v>
      </c>
      <c r="K338">
        <v>1</v>
      </c>
      <c r="L338">
        <v>0</v>
      </c>
      <c r="M338" t="s">
        <v>3260</v>
      </c>
    </row>
    <row r="339" spans="1:13" x14ac:dyDescent="0.25">
      <c r="A339" t="s">
        <v>964</v>
      </c>
      <c r="B339" s="38" t="s">
        <v>965</v>
      </c>
      <c r="C339" t="s">
        <v>966</v>
      </c>
      <c r="D339" t="s">
        <v>2128</v>
      </c>
      <c r="E339" t="s">
        <v>3566</v>
      </c>
      <c r="F339" t="s">
        <v>1781</v>
      </c>
      <c r="J339">
        <v>1</v>
      </c>
      <c r="K339">
        <v>1</v>
      </c>
      <c r="L339">
        <v>1</v>
      </c>
      <c r="M339" t="s">
        <v>3261</v>
      </c>
    </row>
    <row r="340" spans="1:13" x14ac:dyDescent="0.25">
      <c r="A340" t="s">
        <v>967</v>
      </c>
      <c r="B340" t="s">
        <v>968</v>
      </c>
      <c r="C340" t="s">
        <v>969</v>
      </c>
      <c r="D340" t="s">
        <v>2129</v>
      </c>
      <c r="E340" t="s">
        <v>3566</v>
      </c>
      <c r="F340" t="s">
        <v>1804</v>
      </c>
      <c r="J340">
        <v>1</v>
      </c>
      <c r="K340">
        <v>1</v>
      </c>
      <c r="L340">
        <v>1</v>
      </c>
      <c r="M340" t="s">
        <v>3262</v>
      </c>
    </row>
    <row r="341" spans="1:13" x14ac:dyDescent="0.25">
      <c r="A341" t="s">
        <v>2849</v>
      </c>
      <c r="B341" t="s">
        <v>970</v>
      </c>
      <c r="C341" t="s">
        <v>971</v>
      </c>
      <c r="D341" t="s">
        <v>2130</v>
      </c>
      <c r="E341" t="s">
        <v>104</v>
      </c>
      <c r="F341" t="s">
        <v>1790</v>
      </c>
      <c r="J341">
        <v>1</v>
      </c>
      <c r="K341">
        <v>1</v>
      </c>
      <c r="L341">
        <v>0</v>
      </c>
      <c r="M341" t="s">
        <v>3263</v>
      </c>
    </row>
    <row r="342" spans="1:13" x14ac:dyDescent="0.25">
      <c r="A342" t="s">
        <v>972</v>
      </c>
      <c r="B342" t="s">
        <v>973</v>
      </c>
      <c r="C342" t="s">
        <v>974</v>
      </c>
      <c r="D342" t="s">
        <v>2131</v>
      </c>
      <c r="E342" t="s">
        <v>104</v>
      </c>
      <c r="F342" t="s">
        <v>104</v>
      </c>
      <c r="J342">
        <v>1</v>
      </c>
      <c r="K342">
        <v>1</v>
      </c>
      <c r="L342">
        <v>0</v>
      </c>
      <c r="M342" t="s">
        <v>3264</v>
      </c>
    </row>
    <row r="343" spans="1:13" x14ac:dyDescent="0.25">
      <c r="A343" t="s">
        <v>2850</v>
      </c>
      <c r="B343" t="s">
        <v>975</v>
      </c>
      <c r="C343" t="s">
        <v>976</v>
      </c>
      <c r="D343" t="s">
        <v>2132</v>
      </c>
      <c r="E343" t="s">
        <v>111</v>
      </c>
      <c r="F343" t="s">
        <v>1877</v>
      </c>
      <c r="J343">
        <v>1</v>
      </c>
      <c r="K343">
        <v>1</v>
      </c>
      <c r="L343">
        <v>0</v>
      </c>
      <c r="M343" t="s">
        <v>3265</v>
      </c>
    </row>
    <row r="344" spans="1:13" x14ac:dyDescent="0.25">
      <c r="A344" t="s">
        <v>977</v>
      </c>
      <c r="B344" t="s">
        <v>978</v>
      </c>
      <c r="C344" t="s">
        <v>979</v>
      </c>
      <c r="D344" t="s">
        <v>2133</v>
      </c>
      <c r="E344" t="s">
        <v>3566</v>
      </c>
      <c r="F344" t="s">
        <v>1783</v>
      </c>
      <c r="J344">
        <v>1</v>
      </c>
      <c r="K344">
        <v>1</v>
      </c>
      <c r="L344">
        <v>1</v>
      </c>
      <c r="M344" t="s">
        <v>3266</v>
      </c>
    </row>
    <row r="345" spans="1:13" x14ac:dyDescent="0.25">
      <c r="A345" t="s">
        <v>980</v>
      </c>
      <c r="B345" t="s">
        <v>981</v>
      </c>
      <c r="C345" t="s">
        <v>982</v>
      </c>
      <c r="D345" t="s">
        <v>2134</v>
      </c>
      <c r="E345" t="s">
        <v>3566</v>
      </c>
      <c r="F345" t="s">
        <v>1802</v>
      </c>
      <c r="J345">
        <v>1</v>
      </c>
      <c r="K345">
        <v>1</v>
      </c>
      <c r="L345">
        <v>0</v>
      </c>
      <c r="M345" t="s">
        <v>3267</v>
      </c>
    </row>
    <row r="346" spans="1:13" x14ac:dyDescent="0.25">
      <c r="A346" t="s">
        <v>983</v>
      </c>
      <c r="B346" t="s">
        <v>984</v>
      </c>
      <c r="C346" t="s">
        <v>985</v>
      </c>
      <c r="D346" t="s">
        <v>2135</v>
      </c>
      <c r="E346" t="s">
        <v>3566</v>
      </c>
      <c r="J346">
        <v>1</v>
      </c>
      <c r="K346">
        <v>1</v>
      </c>
      <c r="L346">
        <v>1</v>
      </c>
      <c r="M346" t="s">
        <v>3268</v>
      </c>
    </row>
    <row r="347" spans="1:13" x14ac:dyDescent="0.25">
      <c r="A347" t="s">
        <v>986</v>
      </c>
      <c r="B347" t="s">
        <v>987</v>
      </c>
      <c r="C347" t="s">
        <v>988</v>
      </c>
      <c r="D347" t="s">
        <v>2136</v>
      </c>
      <c r="E347" t="s">
        <v>3566</v>
      </c>
      <c r="F347" t="s">
        <v>1916</v>
      </c>
      <c r="J347">
        <v>1</v>
      </c>
      <c r="K347">
        <v>1</v>
      </c>
      <c r="L347">
        <v>1</v>
      </c>
      <c r="M347" t="s">
        <v>3269</v>
      </c>
    </row>
    <row r="348" spans="1:13" x14ac:dyDescent="0.25">
      <c r="A348" t="s">
        <v>989</v>
      </c>
      <c r="B348" t="s">
        <v>990</v>
      </c>
      <c r="C348" t="s">
        <v>991</v>
      </c>
      <c r="D348" t="s">
        <v>2137</v>
      </c>
      <c r="E348" t="s">
        <v>38</v>
      </c>
      <c r="F348" t="s">
        <v>1797</v>
      </c>
      <c r="I348" t="s">
        <v>290</v>
      </c>
      <c r="J348">
        <v>1</v>
      </c>
      <c r="K348">
        <v>1</v>
      </c>
      <c r="L348">
        <v>0</v>
      </c>
      <c r="M348" t="s">
        <v>3270</v>
      </c>
    </row>
    <row r="349" spans="1:13" x14ac:dyDescent="0.25">
      <c r="A349" t="s">
        <v>992</v>
      </c>
      <c r="B349" t="s">
        <v>993</v>
      </c>
      <c r="C349" t="s">
        <v>994</v>
      </c>
      <c r="D349" t="s">
        <v>2138</v>
      </c>
      <c r="E349" t="s">
        <v>3566</v>
      </c>
      <c r="F349" t="s">
        <v>1783</v>
      </c>
      <c r="J349">
        <v>1</v>
      </c>
      <c r="K349">
        <v>1</v>
      </c>
      <c r="L349">
        <v>1</v>
      </c>
      <c r="M349" t="s">
        <v>3271</v>
      </c>
    </row>
    <row r="350" spans="1:13" x14ac:dyDescent="0.25">
      <c r="A350" t="s">
        <v>995</v>
      </c>
      <c r="B350" t="s">
        <v>996</v>
      </c>
      <c r="C350" t="s">
        <v>997</v>
      </c>
      <c r="D350" t="s">
        <v>2139</v>
      </c>
      <c r="E350" t="s">
        <v>38</v>
      </c>
      <c r="F350" t="s">
        <v>38</v>
      </c>
      <c r="G350" t="s">
        <v>1777</v>
      </c>
      <c r="J350">
        <v>1</v>
      </c>
      <c r="K350">
        <v>1</v>
      </c>
      <c r="L350">
        <v>1</v>
      </c>
      <c r="M350" t="s">
        <v>3272</v>
      </c>
    </row>
    <row r="351" spans="1:13" x14ac:dyDescent="0.25">
      <c r="A351" t="s">
        <v>998</v>
      </c>
      <c r="B351" t="s">
        <v>999</v>
      </c>
      <c r="C351" t="s">
        <v>1000</v>
      </c>
      <c r="D351" t="s">
        <v>2140</v>
      </c>
      <c r="E351" t="s">
        <v>320</v>
      </c>
      <c r="F351" t="s">
        <v>1814</v>
      </c>
      <c r="J351">
        <v>1</v>
      </c>
      <c r="K351">
        <v>1</v>
      </c>
      <c r="L351">
        <v>1</v>
      </c>
      <c r="M351" t="s">
        <v>3273</v>
      </c>
    </row>
    <row r="352" spans="1:13" x14ac:dyDescent="0.25">
      <c r="A352" t="s">
        <v>1001</v>
      </c>
      <c r="B352" t="s">
        <v>1002</v>
      </c>
      <c r="C352" t="s">
        <v>1003</v>
      </c>
      <c r="D352" t="s">
        <v>2141</v>
      </c>
      <c r="E352" t="s">
        <v>38</v>
      </c>
      <c r="F352" t="s">
        <v>38</v>
      </c>
      <c r="G352" t="s">
        <v>1777</v>
      </c>
      <c r="J352">
        <v>1</v>
      </c>
      <c r="K352">
        <v>1</v>
      </c>
      <c r="L352">
        <v>1</v>
      </c>
      <c r="M352" t="s">
        <v>3274</v>
      </c>
    </row>
    <row r="353" spans="1:13" x14ac:dyDescent="0.25">
      <c r="A353" t="s">
        <v>1004</v>
      </c>
      <c r="B353" t="s">
        <v>1005</v>
      </c>
      <c r="C353" t="s">
        <v>1006</v>
      </c>
      <c r="D353" t="s">
        <v>2142</v>
      </c>
      <c r="E353" t="s">
        <v>3566</v>
      </c>
      <c r="F353" t="s">
        <v>1817</v>
      </c>
      <c r="G353" t="s">
        <v>1818</v>
      </c>
      <c r="J353">
        <v>1</v>
      </c>
      <c r="K353">
        <v>1</v>
      </c>
      <c r="L353">
        <v>1</v>
      </c>
      <c r="M353" t="s">
        <v>3275</v>
      </c>
    </row>
    <row r="354" spans="1:13" x14ac:dyDescent="0.25">
      <c r="A354" t="s">
        <v>2851</v>
      </c>
      <c r="B354" t="s">
        <v>1007</v>
      </c>
      <c r="C354" t="s">
        <v>1008</v>
      </c>
      <c r="D354" t="s">
        <v>2143</v>
      </c>
      <c r="E354" t="s">
        <v>3566</v>
      </c>
      <c r="F354" t="s">
        <v>1790</v>
      </c>
      <c r="J354">
        <v>1</v>
      </c>
      <c r="K354">
        <v>1</v>
      </c>
      <c r="L354">
        <v>0</v>
      </c>
      <c r="M354" t="s">
        <v>3276</v>
      </c>
    </row>
    <row r="355" spans="1:13" x14ac:dyDescent="0.25">
      <c r="A355" t="s">
        <v>2852</v>
      </c>
      <c r="B355" t="s">
        <v>1010</v>
      </c>
      <c r="C355" t="s">
        <v>1011</v>
      </c>
      <c r="D355" t="s">
        <v>2144</v>
      </c>
      <c r="E355" t="s">
        <v>7</v>
      </c>
      <c r="F355" t="s">
        <v>2064</v>
      </c>
      <c r="I355" t="s">
        <v>8</v>
      </c>
      <c r="J355">
        <v>1</v>
      </c>
      <c r="K355">
        <v>1</v>
      </c>
      <c r="L355">
        <v>0</v>
      </c>
      <c r="M355" t="s">
        <v>3277</v>
      </c>
    </row>
    <row r="356" spans="1:13" x14ac:dyDescent="0.25">
      <c r="A356" t="s">
        <v>1012</v>
      </c>
      <c r="B356" t="s">
        <v>1013</v>
      </c>
      <c r="C356" t="s">
        <v>1014</v>
      </c>
      <c r="D356" t="s">
        <v>2145</v>
      </c>
      <c r="E356" t="s">
        <v>3566</v>
      </c>
      <c r="F356" t="s">
        <v>2064</v>
      </c>
      <c r="J356">
        <v>1</v>
      </c>
      <c r="K356">
        <v>1</v>
      </c>
      <c r="L356">
        <v>1</v>
      </c>
      <c r="M356" t="s">
        <v>3278</v>
      </c>
    </row>
    <row r="357" spans="1:13" x14ac:dyDescent="0.25">
      <c r="A357" t="s">
        <v>2853</v>
      </c>
      <c r="B357" t="s">
        <v>1015</v>
      </c>
      <c r="C357" t="s">
        <v>1016</v>
      </c>
      <c r="D357" t="s">
        <v>2146</v>
      </c>
      <c r="E357" t="s">
        <v>7</v>
      </c>
      <c r="F357" t="s">
        <v>2064</v>
      </c>
      <c r="I357" t="s">
        <v>22</v>
      </c>
      <c r="J357">
        <v>1</v>
      </c>
      <c r="K357">
        <v>1</v>
      </c>
      <c r="L357">
        <v>0</v>
      </c>
      <c r="M357" t="s">
        <v>3279</v>
      </c>
    </row>
    <row r="358" spans="1:13" x14ac:dyDescent="0.25">
      <c r="A358" t="s">
        <v>2854</v>
      </c>
      <c r="B358" t="s">
        <v>1017</v>
      </c>
      <c r="C358" t="s">
        <v>1018</v>
      </c>
      <c r="D358" t="s">
        <v>2147</v>
      </c>
      <c r="E358" t="s">
        <v>7</v>
      </c>
      <c r="F358" t="s">
        <v>1751</v>
      </c>
      <c r="I358" t="s">
        <v>22</v>
      </c>
      <c r="J358">
        <v>1</v>
      </c>
      <c r="K358">
        <v>1</v>
      </c>
      <c r="L358">
        <v>0</v>
      </c>
      <c r="M358" t="s">
        <v>3280</v>
      </c>
    </row>
    <row r="359" spans="1:13" x14ac:dyDescent="0.25">
      <c r="A359" t="s">
        <v>2855</v>
      </c>
      <c r="B359" t="s">
        <v>1019</v>
      </c>
      <c r="C359" t="s">
        <v>1020</v>
      </c>
      <c r="D359" t="s">
        <v>2148</v>
      </c>
      <c r="E359" t="s">
        <v>7</v>
      </c>
      <c r="F359" t="s">
        <v>2064</v>
      </c>
      <c r="I359" t="s">
        <v>8</v>
      </c>
      <c r="J359">
        <v>1</v>
      </c>
      <c r="K359">
        <v>1</v>
      </c>
      <c r="L359">
        <v>0</v>
      </c>
      <c r="M359" t="s">
        <v>3281</v>
      </c>
    </row>
    <row r="360" spans="1:13" x14ac:dyDescent="0.25">
      <c r="A360" t="s">
        <v>2856</v>
      </c>
      <c r="B360" t="s">
        <v>1021</v>
      </c>
      <c r="C360" t="s">
        <v>1022</v>
      </c>
      <c r="D360" t="s">
        <v>2149</v>
      </c>
      <c r="E360" t="s">
        <v>7</v>
      </c>
      <c r="F360" t="s">
        <v>1751</v>
      </c>
      <c r="I360" t="s">
        <v>8</v>
      </c>
      <c r="J360">
        <v>1</v>
      </c>
      <c r="K360">
        <v>1</v>
      </c>
      <c r="L360">
        <v>0</v>
      </c>
      <c r="M360" t="s">
        <v>3282</v>
      </c>
    </row>
    <row r="361" spans="1:13" x14ac:dyDescent="0.25">
      <c r="A361" t="s">
        <v>2857</v>
      </c>
      <c r="B361" t="s">
        <v>1023</v>
      </c>
      <c r="C361" t="s">
        <v>1024</v>
      </c>
      <c r="D361" t="s">
        <v>2150</v>
      </c>
      <c r="E361" t="s">
        <v>7</v>
      </c>
      <c r="F361" t="s">
        <v>2064</v>
      </c>
      <c r="J361">
        <v>1</v>
      </c>
      <c r="K361">
        <v>1</v>
      </c>
      <c r="L361">
        <v>0</v>
      </c>
      <c r="M361" t="s">
        <v>3283</v>
      </c>
    </row>
    <row r="362" spans="1:13" x14ac:dyDescent="0.25">
      <c r="A362" t="s">
        <v>2858</v>
      </c>
      <c r="B362" t="s">
        <v>1025</v>
      </c>
      <c r="C362" t="s">
        <v>1026</v>
      </c>
      <c r="D362" t="s">
        <v>2151</v>
      </c>
      <c r="E362" t="s">
        <v>42</v>
      </c>
      <c r="F362" t="s">
        <v>2064</v>
      </c>
      <c r="I362" t="s">
        <v>8</v>
      </c>
      <c r="J362">
        <v>1</v>
      </c>
      <c r="K362">
        <v>1</v>
      </c>
      <c r="L362">
        <v>0</v>
      </c>
      <c r="M362" t="s">
        <v>3284</v>
      </c>
    </row>
    <row r="363" spans="1:13" x14ac:dyDescent="0.25">
      <c r="A363" t="s">
        <v>2859</v>
      </c>
      <c r="B363" t="s">
        <v>1027</v>
      </c>
      <c r="C363" t="s">
        <v>1028</v>
      </c>
      <c r="D363" t="s">
        <v>2412</v>
      </c>
      <c r="E363" t="s">
        <v>42</v>
      </c>
      <c r="F363" t="s">
        <v>2077</v>
      </c>
      <c r="J363">
        <v>1</v>
      </c>
      <c r="K363">
        <v>0</v>
      </c>
      <c r="L363">
        <v>1</v>
      </c>
      <c r="M363" t="s">
        <v>3285</v>
      </c>
    </row>
    <row r="364" spans="1:13" x14ac:dyDescent="0.25">
      <c r="A364" t="s">
        <v>2860</v>
      </c>
      <c r="B364" t="s">
        <v>1029</v>
      </c>
      <c r="C364" t="s">
        <v>1030</v>
      </c>
      <c r="D364" t="s">
        <v>2152</v>
      </c>
      <c r="E364" t="s">
        <v>111</v>
      </c>
      <c r="F364" t="s">
        <v>1877</v>
      </c>
      <c r="J364">
        <v>1</v>
      </c>
      <c r="K364">
        <v>1</v>
      </c>
      <c r="L364">
        <v>0</v>
      </c>
      <c r="M364" t="s">
        <v>3286</v>
      </c>
    </row>
    <row r="365" spans="1:13" x14ac:dyDescent="0.25">
      <c r="A365" t="s">
        <v>2861</v>
      </c>
      <c r="B365" t="s">
        <v>1031</v>
      </c>
      <c r="C365" t="s">
        <v>1032</v>
      </c>
      <c r="D365" t="s">
        <v>2153</v>
      </c>
      <c r="E365" t="s">
        <v>111</v>
      </c>
      <c r="F365" t="s">
        <v>1877</v>
      </c>
      <c r="J365">
        <v>1</v>
      </c>
      <c r="K365">
        <v>1</v>
      </c>
      <c r="L365">
        <v>0</v>
      </c>
      <c r="M365" t="s">
        <v>3287</v>
      </c>
    </row>
    <row r="366" spans="1:13" x14ac:dyDescent="0.25">
      <c r="A366" t="s">
        <v>2862</v>
      </c>
      <c r="B366" t="s">
        <v>1033</v>
      </c>
      <c r="C366" t="s">
        <v>1034</v>
      </c>
      <c r="D366" t="s">
        <v>2413</v>
      </c>
      <c r="E366" t="s">
        <v>42</v>
      </c>
      <c r="F366" t="s">
        <v>2077</v>
      </c>
      <c r="J366">
        <v>1</v>
      </c>
      <c r="K366">
        <v>0</v>
      </c>
      <c r="L366">
        <v>1</v>
      </c>
      <c r="M366" t="s">
        <v>3288</v>
      </c>
    </row>
    <row r="367" spans="1:13" x14ac:dyDescent="0.25">
      <c r="A367" t="s">
        <v>1035</v>
      </c>
      <c r="B367" t="s">
        <v>1036</v>
      </c>
      <c r="C367" t="s">
        <v>1037</v>
      </c>
      <c r="D367" t="s">
        <v>2154</v>
      </c>
      <c r="E367" t="s">
        <v>3566</v>
      </c>
      <c r="F367" t="s">
        <v>1761</v>
      </c>
      <c r="G367" t="s">
        <v>1762</v>
      </c>
      <c r="J367">
        <v>1</v>
      </c>
      <c r="K367">
        <v>1</v>
      </c>
      <c r="L367">
        <v>1</v>
      </c>
      <c r="M367" t="s">
        <v>3289</v>
      </c>
    </row>
    <row r="368" spans="1:13" x14ac:dyDescent="0.25">
      <c r="A368" t="s">
        <v>1038</v>
      </c>
      <c r="B368" t="s">
        <v>1039</v>
      </c>
      <c r="C368" t="s">
        <v>1040</v>
      </c>
      <c r="D368" t="s">
        <v>2155</v>
      </c>
      <c r="E368" t="s">
        <v>3566</v>
      </c>
      <c r="F368" t="s">
        <v>1785</v>
      </c>
      <c r="J368">
        <v>1</v>
      </c>
      <c r="K368">
        <v>1</v>
      </c>
      <c r="L368">
        <v>1</v>
      </c>
      <c r="M368" t="s">
        <v>3290</v>
      </c>
    </row>
    <row r="369" spans="1:13" x14ac:dyDescent="0.25">
      <c r="A369" t="s">
        <v>336</v>
      </c>
      <c r="B369" t="s">
        <v>1041</v>
      </c>
      <c r="C369" t="s">
        <v>1042</v>
      </c>
      <c r="D369" t="s">
        <v>2156</v>
      </c>
      <c r="E369" t="s">
        <v>21</v>
      </c>
      <c r="F369" t="s">
        <v>1770</v>
      </c>
      <c r="J369">
        <v>1</v>
      </c>
      <c r="K369">
        <v>1</v>
      </c>
      <c r="L369">
        <v>0</v>
      </c>
      <c r="M369" t="s">
        <v>3291</v>
      </c>
    </row>
    <row r="370" spans="1:13" x14ac:dyDescent="0.25">
      <c r="A370" t="s">
        <v>1043</v>
      </c>
      <c r="B370" t="s">
        <v>1044</v>
      </c>
      <c r="C370" t="s">
        <v>1045</v>
      </c>
      <c r="D370" t="s">
        <v>2157</v>
      </c>
      <c r="E370" t="s">
        <v>21</v>
      </c>
      <c r="F370" t="s">
        <v>21</v>
      </c>
      <c r="J370">
        <v>1</v>
      </c>
      <c r="M370" t="s">
        <v>3292</v>
      </c>
    </row>
    <row r="371" spans="1:13" x14ac:dyDescent="0.25">
      <c r="A371" t="s">
        <v>1046</v>
      </c>
      <c r="B371" t="s">
        <v>1047</v>
      </c>
      <c r="C371" t="s">
        <v>1048</v>
      </c>
      <c r="D371" t="s">
        <v>2158</v>
      </c>
      <c r="E371" t="s">
        <v>3566</v>
      </c>
      <c r="F371" t="s">
        <v>1804</v>
      </c>
      <c r="G371" t="s">
        <v>1777</v>
      </c>
      <c r="J371">
        <v>1</v>
      </c>
      <c r="K371">
        <v>1</v>
      </c>
      <c r="L371">
        <v>1</v>
      </c>
      <c r="M371" t="s">
        <v>3293</v>
      </c>
    </row>
    <row r="372" spans="1:13" x14ac:dyDescent="0.25">
      <c r="A372" t="s">
        <v>1049</v>
      </c>
      <c r="B372" t="s">
        <v>1050</v>
      </c>
      <c r="C372" t="s">
        <v>1051</v>
      </c>
      <c r="D372" t="s">
        <v>2159</v>
      </c>
      <c r="E372" t="s">
        <v>38</v>
      </c>
      <c r="F372" t="s">
        <v>38</v>
      </c>
      <c r="J372">
        <v>1</v>
      </c>
      <c r="K372">
        <v>1</v>
      </c>
      <c r="L372">
        <v>0</v>
      </c>
      <c r="M372" t="s">
        <v>3294</v>
      </c>
    </row>
    <row r="373" spans="1:13" x14ac:dyDescent="0.25">
      <c r="A373" t="s">
        <v>1052</v>
      </c>
      <c r="B373" t="s">
        <v>1053</v>
      </c>
      <c r="C373" t="s">
        <v>1054</v>
      </c>
      <c r="D373" t="s">
        <v>2160</v>
      </c>
      <c r="E373" t="s">
        <v>3566</v>
      </c>
      <c r="F373" t="s">
        <v>1804</v>
      </c>
      <c r="G373" t="s">
        <v>1815</v>
      </c>
      <c r="J373">
        <v>0</v>
      </c>
      <c r="K373">
        <v>1</v>
      </c>
      <c r="L373">
        <v>1</v>
      </c>
      <c r="M373" t="s">
        <v>3295</v>
      </c>
    </row>
    <row r="374" spans="1:13" x14ac:dyDescent="0.25">
      <c r="A374" t="s">
        <v>1055</v>
      </c>
      <c r="B374" t="s">
        <v>1056</v>
      </c>
      <c r="C374" t="s">
        <v>1057</v>
      </c>
      <c r="D374" t="s">
        <v>2161</v>
      </c>
      <c r="E374" t="s">
        <v>3566</v>
      </c>
      <c r="F374" t="s">
        <v>1802</v>
      </c>
      <c r="J374">
        <v>1</v>
      </c>
      <c r="M374" t="s">
        <v>3296</v>
      </c>
    </row>
    <row r="375" spans="1:13" x14ac:dyDescent="0.25">
      <c r="A375" t="s">
        <v>1058</v>
      </c>
      <c r="B375" t="s">
        <v>1059</v>
      </c>
      <c r="C375" t="s">
        <v>1060</v>
      </c>
      <c r="D375" t="s">
        <v>2162</v>
      </c>
      <c r="E375" t="s">
        <v>119</v>
      </c>
      <c r="F375" t="s">
        <v>1802</v>
      </c>
      <c r="J375">
        <v>1</v>
      </c>
      <c r="K375">
        <v>1</v>
      </c>
      <c r="L375">
        <v>1</v>
      </c>
      <c r="M375" t="s">
        <v>3297</v>
      </c>
    </row>
    <row r="376" spans="1:13" x14ac:dyDescent="0.25">
      <c r="A376" t="s">
        <v>1061</v>
      </c>
      <c r="B376" t="s">
        <v>1062</v>
      </c>
      <c r="C376" t="s">
        <v>1063</v>
      </c>
      <c r="D376" t="s">
        <v>2163</v>
      </c>
      <c r="E376" t="s">
        <v>38</v>
      </c>
      <c r="F376" t="s">
        <v>38</v>
      </c>
      <c r="G376" t="s">
        <v>1777</v>
      </c>
      <c r="J376">
        <v>1</v>
      </c>
      <c r="K376">
        <v>1</v>
      </c>
      <c r="L376">
        <v>1</v>
      </c>
      <c r="M376" t="s">
        <v>3298</v>
      </c>
    </row>
    <row r="377" spans="1:13" x14ac:dyDescent="0.25">
      <c r="A377" t="s">
        <v>1064</v>
      </c>
      <c r="B377" t="s">
        <v>1065</v>
      </c>
      <c r="C377" t="s">
        <v>1066</v>
      </c>
      <c r="D377" t="s">
        <v>2164</v>
      </c>
      <c r="E377" t="s">
        <v>42</v>
      </c>
      <c r="F377" t="s">
        <v>2165</v>
      </c>
      <c r="I377" t="s">
        <v>723</v>
      </c>
      <c r="J377">
        <v>1</v>
      </c>
      <c r="K377">
        <v>1</v>
      </c>
      <c r="L377">
        <v>0</v>
      </c>
      <c r="M377" t="s">
        <v>3299</v>
      </c>
    </row>
    <row r="378" spans="1:13" x14ac:dyDescent="0.25">
      <c r="A378" t="s">
        <v>1067</v>
      </c>
      <c r="B378" t="s">
        <v>1068</v>
      </c>
      <c r="C378" t="s">
        <v>1069</v>
      </c>
      <c r="D378" t="s">
        <v>2166</v>
      </c>
      <c r="E378" t="s">
        <v>42</v>
      </c>
      <c r="F378" t="s">
        <v>2165</v>
      </c>
      <c r="I378" t="s">
        <v>723</v>
      </c>
      <c r="J378">
        <v>1</v>
      </c>
      <c r="K378">
        <v>1</v>
      </c>
      <c r="L378">
        <v>0</v>
      </c>
      <c r="M378" t="s">
        <v>3300</v>
      </c>
    </row>
    <row r="379" spans="1:13" x14ac:dyDescent="0.25">
      <c r="A379" t="s">
        <v>1070</v>
      </c>
      <c r="B379" t="s">
        <v>1071</v>
      </c>
      <c r="C379" t="s">
        <v>1072</v>
      </c>
      <c r="D379" t="s">
        <v>2167</v>
      </c>
      <c r="E379" t="s">
        <v>42</v>
      </c>
      <c r="F379" t="s">
        <v>2165</v>
      </c>
      <c r="I379" t="s">
        <v>723</v>
      </c>
      <c r="J379">
        <v>1</v>
      </c>
      <c r="K379">
        <v>1</v>
      </c>
      <c r="L379">
        <v>0</v>
      </c>
      <c r="M379" t="s">
        <v>3301</v>
      </c>
    </row>
    <row r="380" spans="1:13" x14ac:dyDescent="0.25">
      <c r="A380" t="s">
        <v>1073</v>
      </c>
      <c r="B380" t="s">
        <v>1074</v>
      </c>
      <c r="C380" t="s">
        <v>1075</v>
      </c>
      <c r="D380" t="s">
        <v>2168</v>
      </c>
      <c r="E380" t="s">
        <v>42</v>
      </c>
      <c r="F380" t="s">
        <v>2165</v>
      </c>
      <c r="I380" t="s">
        <v>723</v>
      </c>
      <c r="J380">
        <v>1</v>
      </c>
      <c r="K380">
        <v>1</v>
      </c>
      <c r="L380">
        <v>0</v>
      </c>
      <c r="M380" t="s">
        <v>3302</v>
      </c>
    </row>
    <row r="381" spans="1:13" x14ac:dyDescent="0.25">
      <c r="A381" t="s">
        <v>1076</v>
      </c>
      <c r="B381" t="s">
        <v>1077</v>
      </c>
      <c r="C381" t="s">
        <v>1078</v>
      </c>
      <c r="D381" t="s">
        <v>2169</v>
      </c>
      <c r="E381" t="s">
        <v>42</v>
      </c>
      <c r="F381" t="s">
        <v>1799</v>
      </c>
      <c r="J381">
        <v>1</v>
      </c>
      <c r="K381">
        <v>1</v>
      </c>
      <c r="L381">
        <v>0</v>
      </c>
      <c r="M381" t="s">
        <v>3303</v>
      </c>
    </row>
    <row r="382" spans="1:13" x14ac:dyDescent="0.25">
      <c r="A382" t="s">
        <v>1079</v>
      </c>
      <c r="B382" t="s">
        <v>1080</v>
      </c>
      <c r="C382" t="s">
        <v>1081</v>
      </c>
      <c r="D382" t="s">
        <v>2170</v>
      </c>
      <c r="E382" t="s">
        <v>7</v>
      </c>
      <c r="F382" t="s">
        <v>1837</v>
      </c>
      <c r="I382" t="s">
        <v>90</v>
      </c>
      <c r="J382">
        <v>1</v>
      </c>
      <c r="K382">
        <v>1</v>
      </c>
      <c r="L382">
        <v>0</v>
      </c>
      <c r="M382" t="s">
        <v>3304</v>
      </c>
    </row>
    <row r="383" spans="1:13" x14ac:dyDescent="0.25">
      <c r="A383" t="s">
        <v>1082</v>
      </c>
      <c r="B383" t="s">
        <v>1083</v>
      </c>
      <c r="C383" t="s">
        <v>1084</v>
      </c>
      <c r="D383" t="s">
        <v>2171</v>
      </c>
      <c r="E383" t="s">
        <v>38</v>
      </c>
      <c r="F383" t="s">
        <v>38</v>
      </c>
      <c r="G383" t="s">
        <v>1815</v>
      </c>
      <c r="J383">
        <v>1</v>
      </c>
      <c r="K383">
        <v>1</v>
      </c>
      <c r="L383">
        <v>1</v>
      </c>
      <c r="M383" t="s">
        <v>3305</v>
      </c>
    </row>
    <row r="384" spans="1:13" x14ac:dyDescent="0.25">
      <c r="A384" t="s">
        <v>1085</v>
      </c>
      <c r="B384" t="s">
        <v>1086</v>
      </c>
      <c r="C384" t="s">
        <v>1087</v>
      </c>
      <c r="D384" t="s">
        <v>2172</v>
      </c>
      <c r="E384" t="s">
        <v>89</v>
      </c>
      <c r="F384" t="s">
        <v>2064</v>
      </c>
      <c r="I384" t="s">
        <v>90</v>
      </c>
      <c r="J384">
        <v>1</v>
      </c>
      <c r="K384">
        <v>1</v>
      </c>
      <c r="L384">
        <v>0</v>
      </c>
      <c r="M384" t="s">
        <v>3306</v>
      </c>
    </row>
    <row r="385" spans="1:13" x14ac:dyDescent="0.25">
      <c r="A385" t="s">
        <v>2863</v>
      </c>
      <c r="B385" t="s">
        <v>1088</v>
      </c>
      <c r="C385" t="s">
        <v>1089</v>
      </c>
      <c r="D385" t="s">
        <v>2173</v>
      </c>
      <c r="E385" t="s">
        <v>89</v>
      </c>
      <c r="F385" t="s">
        <v>2064</v>
      </c>
      <c r="I385" t="s">
        <v>90</v>
      </c>
      <c r="J385">
        <v>1</v>
      </c>
      <c r="K385">
        <v>1</v>
      </c>
      <c r="L385">
        <v>0</v>
      </c>
      <c r="M385" t="s">
        <v>3307</v>
      </c>
    </row>
    <row r="386" spans="1:13" x14ac:dyDescent="0.25">
      <c r="A386" t="s">
        <v>2864</v>
      </c>
      <c r="B386" t="s">
        <v>1090</v>
      </c>
      <c r="C386" t="s">
        <v>1091</v>
      </c>
      <c r="D386" t="s">
        <v>2174</v>
      </c>
      <c r="E386" t="s">
        <v>89</v>
      </c>
      <c r="F386" t="s">
        <v>1790</v>
      </c>
      <c r="I386" t="s">
        <v>90</v>
      </c>
      <c r="J386">
        <v>1</v>
      </c>
      <c r="K386">
        <v>1</v>
      </c>
      <c r="L386">
        <v>0</v>
      </c>
      <c r="M386" t="s">
        <v>3308</v>
      </c>
    </row>
    <row r="387" spans="1:13" x14ac:dyDescent="0.25">
      <c r="A387" t="s">
        <v>2865</v>
      </c>
      <c r="B387" t="s">
        <v>1092</v>
      </c>
      <c r="C387" t="s">
        <v>1093</v>
      </c>
      <c r="D387" t="s">
        <v>2175</v>
      </c>
      <c r="E387" t="s">
        <v>3566</v>
      </c>
      <c r="F387" t="s">
        <v>2064</v>
      </c>
      <c r="J387">
        <v>1</v>
      </c>
      <c r="K387">
        <v>1</v>
      </c>
      <c r="L387">
        <v>0</v>
      </c>
      <c r="M387" t="s">
        <v>3309</v>
      </c>
    </row>
    <row r="388" spans="1:13" x14ac:dyDescent="0.25">
      <c r="A388" t="s">
        <v>2866</v>
      </c>
      <c r="B388" t="s">
        <v>1094</v>
      </c>
      <c r="C388" t="s">
        <v>1095</v>
      </c>
      <c r="D388" t="s">
        <v>2176</v>
      </c>
      <c r="E388" t="s">
        <v>89</v>
      </c>
      <c r="F388" t="s">
        <v>2064</v>
      </c>
      <c r="I388" t="s">
        <v>90</v>
      </c>
      <c r="J388">
        <v>1</v>
      </c>
      <c r="K388">
        <v>1</v>
      </c>
      <c r="L388">
        <v>0</v>
      </c>
      <c r="M388" t="s">
        <v>3310</v>
      </c>
    </row>
    <row r="389" spans="1:13" x14ac:dyDescent="0.25">
      <c r="A389" t="s">
        <v>2867</v>
      </c>
      <c r="B389" t="s">
        <v>1096</v>
      </c>
      <c r="C389" t="s">
        <v>1097</v>
      </c>
      <c r="D389" t="s">
        <v>2177</v>
      </c>
      <c r="E389" t="s">
        <v>89</v>
      </c>
      <c r="F389" t="s">
        <v>1751</v>
      </c>
      <c r="I389" t="s">
        <v>90</v>
      </c>
      <c r="J389">
        <v>1</v>
      </c>
      <c r="K389">
        <v>1</v>
      </c>
      <c r="L389">
        <v>0</v>
      </c>
      <c r="M389" t="s">
        <v>3311</v>
      </c>
    </row>
    <row r="390" spans="1:13" x14ac:dyDescent="0.25">
      <c r="A390" t="s">
        <v>1098</v>
      </c>
      <c r="B390" t="s">
        <v>1099</v>
      </c>
      <c r="C390" t="s">
        <v>1100</v>
      </c>
      <c r="D390" t="s">
        <v>2178</v>
      </c>
      <c r="E390" t="s">
        <v>42</v>
      </c>
      <c r="F390" t="s">
        <v>2064</v>
      </c>
      <c r="J390">
        <v>1</v>
      </c>
      <c r="K390">
        <v>1</v>
      </c>
      <c r="L390">
        <v>1</v>
      </c>
      <c r="M390" t="s">
        <v>3312</v>
      </c>
    </row>
    <row r="391" spans="1:13" x14ac:dyDescent="0.25">
      <c r="A391" t="s">
        <v>1101</v>
      </c>
      <c r="B391" t="s">
        <v>1102</v>
      </c>
      <c r="C391" t="s">
        <v>1103</v>
      </c>
      <c r="D391" t="s">
        <v>2179</v>
      </c>
      <c r="E391" t="s">
        <v>7</v>
      </c>
      <c r="F391" t="s">
        <v>2064</v>
      </c>
      <c r="I391" t="s">
        <v>22</v>
      </c>
      <c r="J391">
        <v>1</v>
      </c>
      <c r="K391">
        <v>1</v>
      </c>
      <c r="L391">
        <v>0</v>
      </c>
      <c r="M391" t="s">
        <v>3313</v>
      </c>
    </row>
    <row r="392" spans="1:13" x14ac:dyDescent="0.25">
      <c r="A392" t="s">
        <v>2868</v>
      </c>
      <c r="B392" t="s">
        <v>1104</v>
      </c>
      <c r="C392" t="s">
        <v>1105</v>
      </c>
      <c r="D392" t="s">
        <v>2180</v>
      </c>
      <c r="E392" t="s">
        <v>7</v>
      </c>
      <c r="F392" t="s">
        <v>1751</v>
      </c>
      <c r="I392" t="s">
        <v>22</v>
      </c>
      <c r="J392">
        <v>1</v>
      </c>
      <c r="K392">
        <v>1</v>
      </c>
      <c r="L392">
        <v>0</v>
      </c>
      <c r="M392" t="s">
        <v>3314</v>
      </c>
    </row>
    <row r="393" spans="1:13" x14ac:dyDescent="0.25">
      <c r="A393" t="s">
        <v>2869</v>
      </c>
      <c r="B393" t="s">
        <v>1106</v>
      </c>
      <c r="C393" t="s">
        <v>1107</v>
      </c>
      <c r="D393" t="s">
        <v>2181</v>
      </c>
      <c r="E393" t="s">
        <v>7</v>
      </c>
      <c r="F393" t="s">
        <v>2064</v>
      </c>
      <c r="I393" t="s">
        <v>8</v>
      </c>
      <c r="J393">
        <v>1</v>
      </c>
      <c r="K393">
        <v>1</v>
      </c>
      <c r="L393">
        <v>0</v>
      </c>
      <c r="M393" t="s">
        <v>3315</v>
      </c>
    </row>
    <row r="394" spans="1:13" x14ac:dyDescent="0.25">
      <c r="A394" t="s">
        <v>2870</v>
      </c>
      <c r="B394" t="s">
        <v>1108</v>
      </c>
      <c r="C394" t="s">
        <v>1109</v>
      </c>
      <c r="D394" t="s">
        <v>2182</v>
      </c>
      <c r="E394" t="s">
        <v>7</v>
      </c>
      <c r="F394" t="s">
        <v>1751</v>
      </c>
      <c r="I394" t="s">
        <v>8</v>
      </c>
      <c r="J394">
        <v>1</v>
      </c>
      <c r="K394">
        <v>1</v>
      </c>
      <c r="L394">
        <v>0</v>
      </c>
      <c r="M394" t="s">
        <v>3316</v>
      </c>
    </row>
    <row r="395" spans="1:13" x14ac:dyDescent="0.25">
      <c r="A395" t="s">
        <v>2871</v>
      </c>
      <c r="B395" t="s">
        <v>1110</v>
      </c>
      <c r="C395" t="s">
        <v>1111</v>
      </c>
      <c r="D395" t="s">
        <v>2183</v>
      </c>
      <c r="E395" t="s">
        <v>42</v>
      </c>
      <c r="F395" t="s">
        <v>2064</v>
      </c>
      <c r="I395" t="s">
        <v>8</v>
      </c>
      <c r="J395">
        <v>1</v>
      </c>
      <c r="K395">
        <v>1</v>
      </c>
      <c r="L395">
        <v>0</v>
      </c>
      <c r="M395" t="s">
        <v>3317</v>
      </c>
    </row>
    <row r="396" spans="1:13" x14ac:dyDescent="0.25">
      <c r="A396" t="s">
        <v>1112</v>
      </c>
      <c r="B396" t="s">
        <v>1113</v>
      </c>
      <c r="C396" t="s">
        <v>1114</v>
      </c>
      <c r="D396" t="s">
        <v>2184</v>
      </c>
      <c r="E396" t="s">
        <v>3566</v>
      </c>
      <c r="F396" t="s">
        <v>1935</v>
      </c>
      <c r="G396" t="s">
        <v>1757</v>
      </c>
      <c r="I396" t="s">
        <v>22</v>
      </c>
      <c r="J396">
        <v>1</v>
      </c>
      <c r="K396">
        <v>1</v>
      </c>
      <c r="L396">
        <v>1</v>
      </c>
      <c r="M396" t="s">
        <v>3318</v>
      </c>
    </row>
    <row r="397" spans="1:13" x14ac:dyDescent="0.25">
      <c r="A397" t="s">
        <v>1115</v>
      </c>
      <c r="B397" t="s">
        <v>1116</v>
      </c>
      <c r="C397" t="s">
        <v>1117</v>
      </c>
      <c r="D397" t="s">
        <v>2185</v>
      </c>
      <c r="E397" t="s">
        <v>111</v>
      </c>
      <c r="F397" t="s">
        <v>1747</v>
      </c>
      <c r="J397">
        <v>1</v>
      </c>
      <c r="K397">
        <v>1</v>
      </c>
      <c r="L397">
        <v>0</v>
      </c>
      <c r="M397" t="s">
        <v>3319</v>
      </c>
    </row>
    <row r="398" spans="1:13" x14ac:dyDescent="0.25">
      <c r="A398" t="s">
        <v>1118</v>
      </c>
      <c r="B398" t="s">
        <v>1119</v>
      </c>
      <c r="C398" t="s">
        <v>1120</v>
      </c>
      <c r="D398" t="s">
        <v>2186</v>
      </c>
      <c r="E398" t="s">
        <v>21</v>
      </c>
      <c r="F398" t="s">
        <v>1911</v>
      </c>
      <c r="I398" t="s">
        <v>8</v>
      </c>
      <c r="J398">
        <v>1</v>
      </c>
      <c r="K398">
        <v>1</v>
      </c>
      <c r="L398">
        <v>0</v>
      </c>
      <c r="M398" t="s">
        <v>3320</v>
      </c>
    </row>
    <row r="399" spans="1:13" x14ac:dyDescent="0.25">
      <c r="A399" t="s">
        <v>1121</v>
      </c>
      <c r="B399" t="s">
        <v>1122</v>
      </c>
      <c r="C399" t="s">
        <v>1123</v>
      </c>
      <c r="D399" t="s">
        <v>2187</v>
      </c>
      <c r="E399" t="s">
        <v>3566</v>
      </c>
      <c r="F399" t="s">
        <v>1781</v>
      </c>
      <c r="J399">
        <v>0</v>
      </c>
      <c r="M399" t="s">
        <v>3321</v>
      </c>
    </row>
    <row r="400" spans="1:13" x14ac:dyDescent="0.25">
      <c r="A400" t="s">
        <v>1124</v>
      </c>
      <c r="B400" t="s">
        <v>1125</v>
      </c>
      <c r="C400" t="s">
        <v>1126</v>
      </c>
      <c r="D400" t="s">
        <v>2188</v>
      </c>
      <c r="E400" t="s">
        <v>82</v>
      </c>
      <c r="F400" t="s">
        <v>1785</v>
      </c>
      <c r="J400">
        <v>1</v>
      </c>
      <c r="K400">
        <v>1</v>
      </c>
      <c r="L400">
        <v>1</v>
      </c>
      <c r="M400" t="s">
        <v>3322</v>
      </c>
    </row>
    <row r="401" spans="1:13" x14ac:dyDescent="0.25">
      <c r="A401" t="s">
        <v>1127</v>
      </c>
      <c r="B401" t="s">
        <v>1128</v>
      </c>
      <c r="C401" t="s">
        <v>1129</v>
      </c>
      <c r="D401" t="s">
        <v>2189</v>
      </c>
      <c r="E401" t="s">
        <v>3566</v>
      </c>
      <c r="F401" t="s">
        <v>1930</v>
      </c>
      <c r="J401">
        <v>1</v>
      </c>
      <c r="K401">
        <v>1</v>
      </c>
      <c r="L401">
        <v>0</v>
      </c>
      <c r="M401" t="s">
        <v>3323</v>
      </c>
    </row>
    <row r="402" spans="1:13" x14ac:dyDescent="0.25">
      <c r="A402" t="s">
        <v>1130</v>
      </c>
      <c r="B402" t="s">
        <v>1131</v>
      </c>
      <c r="C402" t="s">
        <v>1132</v>
      </c>
      <c r="D402" t="s">
        <v>2190</v>
      </c>
      <c r="E402" t="s">
        <v>89</v>
      </c>
      <c r="F402" t="s">
        <v>1788</v>
      </c>
      <c r="I402" t="s">
        <v>90</v>
      </c>
      <c r="J402">
        <v>1</v>
      </c>
      <c r="K402">
        <v>1</v>
      </c>
      <c r="L402">
        <v>0</v>
      </c>
      <c r="M402" t="s">
        <v>3324</v>
      </c>
    </row>
    <row r="403" spans="1:13" x14ac:dyDescent="0.25">
      <c r="A403" t="s">
        <v>1133</v>
      </c>
      <c r="B403" t="s">
        <v>1134</v>
      </c>
      <c r="C403" t="s">
        <v>1135</v>
      </c>
      <c r="D403" t="s">
        <v>2191</v>
      </c>
      <c r="E403" t="s">
        <v>3566</v>
      </c>
      <c r="F403" t="s">
        <v>1749</v>
      </c>
      <c r="I403" t="s">
        <v>157</v>
      </c>
      <c r="J403">
        <v>1</v>
      </c>
      <c r="K403">
        <v>1</v>
      </c>
      <c r="L403">
        <v>0</v>
      </c>
      <c r="M403" t="s">
        <v>3325</v>
      </c>
    </row>
    <row r="404" spans="1:13" x14ac:dyDescent="0.25">
      <c r="A404" t="s">
        <v>1136</v>
      </c>
      <c r="B404" t="s">
        <v>1137</v>
      </c>
      <c r="C404" t="s">
        <v>1138</v>
      </c>
      <c r="D404" t="s">
        <v>2192</v>
      </c>
      <c r="E404" t="s">
        <v>3566</v>
      </c>
      <c r="F404" t="s">
        <v>1781</v>
      </c>
      <c r="J404">
        <v>1</v>
      </c>
      <c r="K404">
        <v>1</v>
      </c>
      <c r="L404">
        <v>1</v>
      </c>
      <c r="M404" t="s">
        <v>3326</v>
      </c>
    </row>
    <row r="405" spans="1:13" x14ac:dyDescent="0.25">
      <c r="A405" t="s">
        <v>1139</v>
      </c>
      <c r="B405" t="s">
        <v>1140</v>
      </c>
      <c r="C405" t="s">
        <v>1141</v>
      </c>
      <c r="D405" t="s">
        <v>2193</v>
      </c>
      <c r="E405" t="s">
        <v>3566</v>
      </c>
      <c r="F405" t="s">
        <v>1809</v>
      </c>
      <c r="J405">
        <v>1</v>
      </c>
      <c r="K405">
        <v>1</v>
      </c>
      <c r="L405">
        <v>1</v>
      </c>
      <c r="M405" t="s">
        <v>3327</v>
      </c>
    </row>
    <row r="406" spans="1:13" x14ac:dyDescent="0.25">
      <c r="A406" t="s">
        <v>1142</v>
      </c>
      <c r="B406" t="s">
        <v>1143</v>
      </c>
      <c r="C406" t="s">
        <v>1144</v>
      </c>
      <c r="D406" t="s">
        <v>2194</v>
      </c>
      <c r="E406" t="s">
        <v>3566</v>
      </c>
      <c r="J406">
        <v>1</v>
      </c>
      <c r="K406">
        <v>1</v>
      </c>
      <c r="L406">
        <v>1</v>
      </c>
      <c r="M406" t="s">
        <v>3328</v>
      </c>
    </row>
    <row r="407" spans="1:13" x14ac:dyDescent="0.25">
      <c r="A407" t="s">
        <v>1145</v>
      </c>
      <c r="B407" t="s">
        <v>1146</v>
      </c>
      <c r="C407" t="s">
        <v>1147</v>
      </c>
      <c r="D407" t="s">
        <v>2195</v>
      </c>
      <c r="E407" t="s">
        <v>3566</v>
      </c>
      <c r="J407">
        <v>0</v>
      </c>
      <c r="K407">
        <v>1</v>
      </c>
      <c r="L407">
        <v>1</v>
      </c>
      <c r="M407" t="s">
        <v>3329</v>
      </c>
    </row>
    <row r="408" spans="1:13" x14ac:dyDescent="0.25">
      <c r="A408" t="s">
        <v>1148</v>
      </c>
      <c r="B408" t="s">
        <v>1149</v>
      </c>
      <c r="C408" t="s">
        <v>1150</v>
      </c>
      <c r="D408" t="s">
        <v>2196</v>
      </c>
      <c r="E408" t="s">
        <v>111</v>
      </c>
      <c r="J408">
        <v>1</v>
      </c>
      <c r="K408">
        <v>1</v>
      </c>
      <c r="L408">
        <v>0</v>
      </c>
      <c r="M408" t="s">
        <v>3330</v>
      </c>
    </row>
    <row r="409" spans="1:13" x14ac:dyDescent="0.25">
      <c r="A409" t="s">
        <v>1151</v>
      </c>
      <c r="B409" t="s">
        <v>1152</v>
      </c>
      <c r="C409" t="s">
        <v>1153</v>
      </c>
      <c r="D409" t="s">
        <v>2197</v>
      </c>
      <c r="E409" t="s">
        <v>21</v>
      </c>
      <c r="F409" t="s">
        <v>1754</v>
      </c>
      <c r="J409">
        <v>1</v>
      </c>
      <c r="K409">
        <v>1</v>
      </c>
      <c r="L409">
        <v>0</v>
      </c>
      <c r="M409" t="s">
        <v>3331</v>
      </c>
    </row>
    <row r="410" spans="1:13" x14ac:dyDescent="0.25">
      <c r="A410" t="s">
        <v>1154</v>
      </c>
      <c r="B410" t="s">
        <v>1155</v>
      </c>
      <c r="C410" t="s">
        <v>1156</v>
      </c>
      <c r="D410" t="s">
        <v>2198</v>
      </c>
      <c r="E410" t="s">
        <v>3566</v>
      </c>
      <c r="F410" t="s">
        <v>1809</v>
      </c>
      <c r="J410">
        <v>1</v>
      </c>
      <c r="L410">
        <v>1</v>
      </c>
      <c r="M410" t="s">
        <v>3332</v>
      </c>
    </row>
    <row r="411" spans="1:13" x14ac:dyDescent="0.25">
      <c r="A411" t="s">
        <v>1157</v>
      </c>
      <c r="B411" t="s">
        <v>1158</v>
      </c>
      <c r="C411" t="s">
        <v>1159</v>
      </c>
      <c r="D411" t="s">
        <v>2199</v>
      </c>
      <c r="E411" t="s">
        <v>89</v>
      </c>
      <c r="F411" t="s">
        <v>1788</v>
      </c>
      <c r="I411" t="s">
        <v>90</v>
      </c>
      <c r="J411">
        <v>1</v>
      </c>
      <c r="K411">
        <v>1</v>
      </c>
      <c r="L411">
        <v>0</v>
      </c>
      <c r="M411" t="s">
        <v>3333</v>
      </c>
    </row>
    <row r="412" spans="1:13" x14ac:dyDescent="0.25">
      <c r="A412" t="s">
        <v>2872</v>
      </c>
      <c r="B412" t="s">
        <v>1160</v>
      </c>
      <c r="C412" t="s">
        <v>1161</v>
      </c>
      <c r="D412" t="s">
        <v>2200</v>
      </c>
      <c r="E412" t="s">
        <v>3566</v>
      </c>
      <c r="F412" t="s">
        <v>1781</v>
      </c>
      <c r="I412" t="s">
        <v>157</v>
      </c>
      <c r="J412">
        <v>1</v>
      </c>
      <c r="K412">
        <v>1</v>
      </c>
      <c r="L412">
        <v>0</v>
      </c>
      <c r="M412" t="s">
        <v>3334</v>
      </c>
    </row>
    <row r="413" spans="1:13" x14ac:dyDescent="0.25">
      <c r="A413" t="s">
        <v>2873</v>
      </c>
      <c r="B413" t="s">
        <v>1162</v>
      </c>
      <c r="C413" t="s">
        <v>1163</v>
      </c>
      <c r="D413" t="s">
        <v>2202</v>
      </c>
      <c r="E413" t="s">
        <v>7</v>
      </c>
      <c r="F413" t="s">
        <v>1781</v>
      </c>
      <c r="I413" t="s">
        <v>2203</v>
      </c>
      <c r="J413">
        <v>1</v>
      </c>
      <c r="K413">
        <v>1</v>
      </c>
      <c r="L413">
        <v>1</v>
      </c>
      <c r="M413" t="s">
        <v>3335</v>
      </c>
    </row>
    <row r="414" spans="1:13" x14ac:dyDescent="0.25">
      <c r="A414" t="s">
        <v>1164</v>
      </c>
      <c r="B414" t="s">
        <v>1165</v>
      </c>
      <c r="C414" t="s">
        <v>1166</v>
      </c>
      <c r="D414" t="s">
        <v>2204</v>
      </c>
      <c r="E414" t="s">
        <v>3566</v>
      </c>
      <c r="F414" t="s">
        <v>2201</v>
      </c>
      <c r="J414">
        <v>1</v>
      </c>
      <c r="K414">
        <v>1</v>
      </c>
      <c r="L414">
        <v>0</v>
      </c>
      <c r="M414" t="s">
        <v>3336</v>
      </c>
    </row>
    <row r="415" spans="1:13" x14ac:dyDescent="0.25">
      <c r="A415" t="s">
        <v>2874</v>
      </c>
      <c r="B415" t="s">
        <v>1168</v>
      </c>
      <c r="C415" t="s">
        <v>1169</v>
      </c>
      <c r="D415" t="s">
        <v>2205</v>
      </c>
      <c r="E415" t="s">
        <v>38</v>
      </c>
      <c r="F415" t="s">
        <v>1781</v>
      </c>
      <c r="J415">
        <v>1</v>
      </c>
      <c r="K415">
        <v>1</v>
      </c>
      <c r="L415">
        <v>0</v>
      </c>
      <c r="M415" t="s">
        <v>3337</v>
      </c>
    </row>
    <row r="416" spans="1:13" x14ac:dyDescent="0.25">
      <c r="A416" t="s">
        <v>1170</v>
      </c>
      <c r="B416" t="s">
        <v>1171</v>
      </c>
      <c r="C416" t="s">
        <v>1172</v>
      </c>
      <c r="D416" t="s">
        <v>2206</v>
      </c>
      <c r="E416" t="s">
        <v>3566</v>
      </c>
      <c r="F416" t="s">
        <v>2201</v>
      </c>
      <c r="J416">
        <v>1</v>
      </c>
      <c r="K416">
        <v>1</v>
      </c>
      <c r="L416">
        <v>0</v>
      </c>
      <c r="M416" t="s">
        <v>3338</v>
      </c>
    </row>
    <row r="417" spans="1:13" x14ac:dyDescent="0.25">
      <c r="A417" t="s">
        <v>2875</v>
      </c>
      <c r="B417" t="s">
        <v>1173</v>
      </c>
      <c r="C417" t="s">
        <v>1174</v>
      </c>
      <c r="D417" t="s">
        <v>2207</v>
      </c>
      <c r="E417" t="s">
        <v>3566</v>
      </c>
      <c r="F417" t="s">
        <v>1781</v>
      </c>
      <c r="J417">
        <v>1</v>
      </c>
      <c r="K417">
        <v>1</v>
      </c>
      <c r="L417">
        <v>0</v>
      </c>
      <c r="M417" t="s">
        <v>3339</v>
      </c>
    </row>
    <row r="418" spans="1:13" x14ac:dyDescent="0.25">
      <c r="A418" t="s">
        <v>2876</v>
      </c>
      <c r="B418" t="s">
        <v>1176</v>
      </c>
      <c r="C418" t="s">
        <v>1177</v>
      </c>
      <c r="D418" t="s">
        <v>2208</v>
      </c>
      <c r="E418" t="s">
        <v>3566</v>
      </c>
      <c r="F418" t="s">
        <v>1781</v>
      </c>
      <c r="I418" t="s">
        <v>22</v>
      </c>
      <c r="J418">
        <v>1</v>
      </c>
      <c r="K418">
        <v>1</v>
      </c>
      <c r="L418">
        <v>1</v>
      </c>
      <c r="M418" t="s">
        <v>3340</v>
      </c>
    </row>
    <row r="419" spans="1:13" x14ac:dyDescent="0.25">
      <c r="A419" t="s">
        <v>2877</v>
      </c>
      <c r="B419" t="s">
        <v>1178</v>
      </c>
      <c r="C419" t="s">
        <v>1179</v>
      </c>
      <c r="D419" t="s">
        <v>2209</v>
      </c>
      <c r="E419" t="s">
        <v>3566</v>
      </c>
      <c r="F419" t="s">
        <v>1781</v>
      </c>
      <c r="I419" t="s">
        <v>290</v>
      </c>
      <c r="J419">
        <v>1</v>
      </c>
      <c r="K419">
        <v>1</v>
      </c>
      <c r="L419">
        <v>0</v>
      </c>
      <c r="M419" t="s">
        <v>3341</v>
      </c>
    </row>
    <row r="420" spans="1:13" x14ac:dyDescent="0.25">
      <c r="A420" t="s">
        <v>2878</v>
      </c>
      <c r="B420" t="s">
        <v>1181</v>
      </c>
      <c r="C420" t="s">
        <v>1182</v>
      </c>
      <c r="D420" t="s">
        <v>2210</v>
      </c>
      <c r="E420" t="s">
        <v>3566</v>
      </c>
      <c r="F420" t="s">
        <v>1781</v>
      </c>
      <c r="I420" t="s">
        <v>8</v>
      </c>
      <c r="J420">
        <v>1</v>
      </c>
      <c r="K420">
        <v>1</v>
      </c>
      <c r="L420">
        <v>1</v>
      </c>
      <c r="M420" t="s">
        <v>3342</v>
      </c>
    </row>
    <row r="421" spans="1:13" x14ac:dyDescent="0.25">
      <c r="A421" t="s">
        <v>2879</v>
      </c>
      <c r="B421" t="s">
        <v>1184</v>
      </c>
      <c r="C421" t="s">
        <v>1185</v>
      </c>
      <c r="D421" t="s">
        <v>2211</v>
      </c>
      <c r="E421" t="s">
        <v>3566</v>
      </c>
      <c r="F421" t="s">
        <v>1781</v>
      </c>
      <c r="I421" t="s">
        <v>90</v>
      </c>
      <c r="J421">
        <v>1</v>
      </c>
      <c r="K421">
        <v>1</v>
      </c>
      <c r="L421">
        <v>0</v>
      </c>
      <c r="M421" t="s">
        <v>3343</v>
      </c>
    </row>
    <row r="422" spans="1:13" x14ac:dyDescent="0.25">
      <c r="A422" t="s">
        <v>1186</v>
      </c>
      <c r="B422" t="s">
        <v>1187</v>
      </c>
      <c r="C422" t="s">
        <v>1188</v>
      </c>
      <c r="D422" t="s">
        <v>2212</v>
      </c>
      <c r="E422" t="s">
        <v>3566</v>
      </c>
      <c r="F422" t="s">
        <v>1781</v>
      </c>
      <c r="J422">
        <v>1</v>
      </c>
      <c r="K422">
        <v>1</v>
      </c>
      <c r="L422">
        <v>1</v>
      </c>
      <c r="M422" t="s">
        <v>3344</v>
      </c>
    </row>
    <row r="423" spans="1:13" x14ac:dyDescent="0.25">
      <c r="A423" t="s">
        <v>1189</v>
      </c>
      <c r="B423" t="s">
        <v>1190</v>
      </c>
      <c r="C423" t="s">
        <v>1191</v>
      </c>
      <c r="D423" t="s">
        <v>2213</v>
      </c>
      <c r="E423" t="s">
        <v>21</v>
      </c>
      <c r="F423" t="s">
        <v>21</v>
      </c>
      <c r="J423">
        <v>1</v>
      </c>
      <c r="K423">
        <v>1</v>
      </c>
      <c r="L423">
        <v>0</v>
      </c>
      <c r="M423" t="s">
        <v>3345</v>
      </c>
    </row>
    <row r="424" spans="1:13" x14ac:dyDescent="0.25">
      <c r="A424" t="s">
        <v>1192</v>
      </c>
      <c r="B424" t="s">
        <v>1193</v>
      </c>
      <c r="C424" t="s">
        <v>1194</v>
      </c>
      <c r="D424" t="s">
        <v>2214</v>
      </c>
      <c r="E424" t="s">
        <v>3566</v>
      </c>
      <c r="F424" t="s">
        <v>1781</v>
      </c>
      <c r="J424">
        <v>1</v>
      </c>
      <c r="K424">
        <v>1</v>
      </c>
      <c r="L424">
        <v>1</v>
      </c>
      <c r="M424" t="s">
        <v>3346</v>
      </c>
    </row>
    <row r="425" spans="1:13" x14ac:dyDescent="0.25">
      <c r="A425" t="s">
        <v>1195</v>
      </c>
      <c r="B425" t="s">
        <v>1196</v>
      </c>
      <c r="C425" t="s">
        <v>1197</v>
      </c>
      <c r="D425" t="s">
        <v>2215</v>
      </c>
      <c r="E425" t="s">
        <v>3566</v>
      </c>
      <c r="F425" t="s">
        <v>2216</v>
      </c>
      <c r="J425">
        <v>1</v>
      </c>
      <c r="M425" t="s">
        <v>3347</v>
      </c>
    </row>
    <row r="426" spans="1:13" x14ac:dyDescent="0.25">
      <c r="A426" t="s">
        <v>1198</v>
      </c>
      <c r="B426" t="s">
        <v>1199</v>
      </c>
      <c r="C426" t="s">
        <v>1200</v>
      </c>
      <c r="D426" t="s">
        <v>2217</v>
      </c>
      <c r="E426" t="s">
        <v>3566</v>
      </c>
      <c r="F426" t="s">
        <v>2007</v>
      </c>
      <c r="J426">
        <v>1</v>
      </c>
      <c r="K426">
        <v>1</v>
      </c>
      <c r="L426">
        <v>1</v>
      </c>
      <c r="M426" t="s">
        <v>3348</v>
      </c>
    </row>
    <row r="427" spans="1:13" x14ac:dyDescent="0.25">
      <c r="A427" t="s">
        <v>1201</v>
      </c>
      <c r="B427" t="s">
        <v>1202</v>
      </c>
      <c r="C427" t="s">
        <v>1203</v>
      </c>
      <c r="D427" t="s">
        <v>2218</v>
      </c>
      <c r="E427" t="s">
        <v>3566</v>
      </c>
      <c r="J427">
        <v>1</v>
      </c>
      <c r="K427">
        <v>1</v>
      </c>
      <c r="L427">
        <v>1</v>
      </c>
      <c r="M427" t="s">
        <v>3349</v>
      </c>
    </row>
    <row r="428" spans="1:13" x14ac:dyDescent="0.25">
      <c r="A428" t="s">
        <v>1204</v>
      </c>
      <c r="B428" t="s">
        <v>1205</v>
      </c>
      <c r="C428" t="s">
        <v>1206</v>
      </c>
      <c r="D428" t="s">
        <v>2219</v>
      </c>
      <c r="E428" t="s">
        <v>119</v>
      </c>
      <c r="F428" t="s">
        <v>1781</v>
      </c>
      <c r="J428">
        <v>1</v>
      </c>
      <c r="K428">
        <v>1</v>
      </c>
      <c r="L428">
        <v>1</v>
      </c>
      <c r="M428" t="s">
        <v>3350</v>
      </c>
    </row>
    <row r="429" spans="1:13" x14ac:dyDescent="0.25">
      <c r="A429" t="s">
        <v>1207</v>
      </c>
      <c r="B429" t="s">
        <v>1208</v>
      </c>
      <c r="C429" t="s">
        <v>1209</v>
      </c>
      <c r="D429" t="s">
        <v>2220</v>
      </c>
      <c r="E429" t="s">
        <v>119</v>
      </c>
      <c r="F429" t="s">
        <v>1809</v>
      </c>
      <c r="J429">
        <v>1</v>
      </c>
      <c r="K429">
        <v>1</v>
      </c>
      <c r="L429">
        <v>1</v>
      </c>
      <c r="M429" t="s">
        <v>3351</v>
      </c>
    </row>
    <row r="430" spans="1:13" x14ac:dyDescent="0.25">
      <c r="A430" t="s">
        <v>2880</v>
      </c>
      <c r="B430" t="s">
        <v>1210</v>
      </c>
      <c r="C430" t="s">
        <v>1211</v>
      </c>
      <c r="D430" t="s">
        <v>2881</v>
      </c>
      <c r="E430" t="s">
        <v>3566</v>
      </c>
      <c r="F430" t="s">
        <v>1809</v>
      </c>
      <c r="J430">
        <v>1</v>
      </c>
      <c r="K430">
        <v>1</v>
      </c>
      <c r="L430">
        <v>1</v>
      </c>
      <c r="M430" t="s">
        <v>3352</v>
      </c>
    </row>
    <row r="431" spans="1:13" x14ac:dyDescent="0.25">
      <c r="A431" t="s">
        <v>1212</v>
      </c>
      <c r="B431" t="s">
        <v>1213</v>
      </c>
      <c r="C431" t="s">
        <v>1214</v>
      </c>
      <c r="D431" t="s">
        <v>2221</v>
      </c>
      <c r="E431" t="s">
        <v>111</v>
      </c>
      <c r="J431">
        <v>1</v>
      </c>
      <c r="K431">
        <v>1</v>
      </c>
      <c r="L431">
        <v>0</v>
      </c>
      <c r="M431" t="s">
        <v>3353</v>
      </c>
    </row>
    <row r="432" spans="1:13" x14ac:dyDescent="0.25">
      <c r="A432" t="s">
        <v>1215</v>
      </c>
      <c r="B432" t="s">
        <v>1216</v>
      </c>
      <c r="C432" t="s">
        <v>1217</v>
      </c>
      <c r="D432" t="s">
        <v>2222</v>
      </c>
      <c r="E432" t="s">
        <v>119</v>
      </c>
      <c r="J432">
        <v>1</v>
      </c>
      <c r="K432">
        <v>1</v>
      </c>
      <c r="L432">
        <v>1</v>
      </c>
      <c r="M432" t="s">
        <v>3354</v>
      </c>
    </row>
    <row r="433" spans="1:13" x14ac:dyDescent="0.25">
      <c r="A433" t="s">
        <v>1218</v>
      </c>
      <c r="B433" t="s">
        <v>1219</v>
      </c>
      <c r="C433" t="s">
        <v>1220</v>
      </c>
      <c r="D433" t="s">
        <v>2223</v>
      </c>
      <c r="E433" t="s">
        <v>119</v>
      </c>
      <c r="J433">
        <v>1</v>
      </c>
      <c r="K433">
        <v>1</v>
      </c>
      <c r="L433">
        <v>0</v>
      </c>
      <c r="M433" t="s">
        <v>3355</v>
      </c>
    </row>
    <row r="434" spans="1:13" x14ac:dyDescent="0.25">
      <c r="A434" t="s">
        <v>1221</v>
      </c>
      <c r="B434" t="s">
        <v>1222</v>
      </c>
      <c r="C434" t="s">
        <v>1223</v>
      </c>
      <c r="D434" t="s">
        <v>2224</v>
      </c>
      <c r="E434" t="s">
        <v>119</v>
      </c>
      <c r="J434">
        <v>1</v>
      </c>
      <c r="K434">
        <v>1</v>
      </c>
      <c r="L434">
        <v>1</v>
      </c>
      <c r="M434" t="s">
        <v>3356</v>
      </c>
    </row>
    <row r="435" spans="1:13" x14ac:dyDescent="0.25">
      <c r="A435" t="s">
        <v>1224</v>
      </c>
      <c r="B435" t="s">
        <v>1225</v>
      </c>
      <c r="C435" t="s">
        <v>1226</v>
      </c>
      <c r="D435" t="s">
        <v>2225</v>
      </c>
      <c r="E435" t="s">
        <v>119</v>
      </c>
      <c r="J435">
        <v>1</v>
      </c>
      <c r="K435">
        <v>1</v>
      </c>
      <c r="L435">
        <v>1</v>
      </c>
      <c r="M435" t="s">
        <v>3357</v>
      </c>
    </row>
    <row r="436" spans="1:13" x14ac:dyDescent="0.25">
      <c r="A436" t="s">
        <v>1227</v>
      </c>
      <c r="B436" t="s">
        <v>1228</v>
      </c>
      <c r="C436" t="s">
        <v>1229</v>
      </c>
      <c r="D436" t="s">
        <v>2226</v>
      </c>
      <c r="E436" t="s">
        <v>3566</v>
      </c>
      <c r="J436">
        <v>1</v>
      </c>
      <c r="K436">
        <v>1</v>
      </c>
      <c r="L436">
        <v>1</v>
      </c>
      <c r="M436" t="s">
        <v>3358</v>
      </c>
    </row>
    <row r="437" spans="1:13" x14ac:dyDescent="0.25">
      <c r="A437" t="s">
        <v>1230</v>
      </c>
      <c r="B437" t="s">
        <v>1231</v>
      </c>
      <c r="C437" t="s">
        <v>1232</v>
      </c>
      <c r="D437" t="s">
        <v>2227</v>
      </c>
      <c r="E437" t="s">
        <v>111</v>
      </c>
      <c r="J437">
        <v>1</v>
      </c>
      <c r="K437">
        <v>1</v>
      </c>
      <c r="L437">
        <v>0</v>
      </c>
      <c r="M437" t="s">
        <v>3359</v>
      </c>
    </row>
    <row r="438" spans="1:13" x14ac:dyDescent="0.25">
      <c r="A438" t="s">
        <v>1233</v>
      </c>
      <c r="B438" t="s">
        <v>1234</v>
      </c>
      <c r="C438" t="s">
        <v>1235</v>
      </c>
      <c r="D438" t="s">
        <v>2228</v>
      </c>
      <c r="E438" t="s">
        <v>119</v>
      </c>
      <c r="F438" t="s">
        <v>1804</v>
      </c>
      <c r="G438" t="s">
        <v>1814</v>
      </c>
      <c r="J438">
        <v>1</v>
      </c>
      <c r="K438">
        <v>1</v>
      </c>
      <c r="L438">
        <v>1</v>
      </c>
      <c r="M438" t="s">
        <v>3360</v>
      </c>
    </row>
    <row r="439" spans="1:13" x14ac:dyDescent="0.25">
      <c r="A439" t="s">
        <v>1167</v>
      </c>
      <c r="B439" t="s">
        <v>1236</v>
      </c>
      <c r="C439" t="s">
        <v>1237</v>
      </c>
      <c r="D439" t="s">
        <v>2229</v>
      </c>
      <c r="E439" t="s">
        <v>38</v>
      </c>
      <c r="F439" t="s">
        <v>38</v>
      </c>
      <c r="J439">
        <v>1</v>
      </c>
      <c r="K439">
        <v>1</v>
      </c>
      <c r="L439">
        <v>0</v>
      </c>
      <c r="M439" t="s">
        <v>3361</v>
      </c>
    </row>
    <row r="440" spans="1:13" x14ac:dyDescent="0.25">
      <c r="A440" t="s">
        <v>1238</v>
      </c>
      <c r="B440" t="s">
        <v>1239</v>
      </c>
      <c r="C440" t="s">
        <v>1240</v>
      </c>
      <c r="D440" t="s">
        <v>2230</v>
      </c>
      <c r="E440" t="s">
        <v>3566</v>
      </c>
      <c r="F440" t="s">
        <v>1874</v>
      </c>
      <c r="J440">
        <v>1</v>
      </c>
      <c r="K440">
        <v>1</v>
      </c>
      <c r="L440">
        <v>1</v>
      </c>
      <c r="M440" t="s">
        <v>3362</v>
      </c>
    </row>
    <row r="441" spans="1:13" x14ac:dyDescent="0.25">
      <c r="A441" t="s">
        <v>1241</v>
      </c>
      <c r="B441" t="s">
        <v>1242</v>
      </c>
      <c r="C441" t="s">
        <v>1243</v>
      </c>
      <c r="D441" t="s">
        <v>2231</v>
      </c>
      <c r="E441" t="s">
        <v>82</v>
      </c>
      <c r="F441" t="s">
        <v>1925</v>
      </c>
      <c r="I441" t="s">
        <v>90</v>
      </c>
      <c r="J441">
        <v>1</v>
      </c>
      <c r="K441">
        <v>1</v>
      </c>
      <c r="L441">
        <v>0</v>
      </c>
      <c r="M441" t="s">
        <v>3363</v>
      </c>
    </row>
    <row r="442" spans="1:13" x14ac:dyDescent="0.25">
      <c r="A442" t="s">
        <v>1244</v>
      </c>
      <c r="B442" t="s">
        <v>1245</v>
      </c>
      <c r="C442" t="s">
        <v>1246</v>
      </c>
      <c r="D442" t="s">
        <v>2232</v>
      </c>
      <c r="E442" t="s">
        <v>82</v>
      </c>
      <c r="F442" t="s">
        <v>1925</v>
      </c>
      <c r="I442" t="s">
        <v>90</v>
      </c>
      <c r="J442">
        <v>1</v>
      </c>
      <c r="K442">
        <v>1</v>
      </c>
      <c r="L442">
        <v>0</v>
      </c>
      <c r="M442" t="s">
        <v>3364</v>
      </c>
    </row>
    <row r="443" spans="1:13" x14ac:dyDescent="0.25">
      <c r="A443" t="s">
        <v>1247</v>
      </c>
      <c r="B443" t="s">
        <v>1248</v>
      </c>
      <c r="C443" t="s">
        <v>1249</v>
      </c>
      <c r="D443" t="s">
        <v>2233</v>
      </c>
      <c r="E443" t="s">
        <v>82</v>
      </c>
      <c r="F443" t="s">
        <v>1925</v>
      </c>
      <c r="I443" t="s">
        <v>90</v>
      </c>
      <c r="J443">
        <v>1</v>
      </c>
      <c r="K443">
        <v>1</v>
      </c>
      <c r="L443">
        <v>0</v>
      </c>
      <c r="M443" t="s">
        <v>3365</v>
      </c>
    </row>
    <row r="444" spans="1:13" x14ac:dyDescent="0.25">
      <c r="A444" t="s">
        <v>2882</v>
      </c>
      <c r="B444" t="s">
        <v>1250</v>
      </c>
      <c r="C444" t="s">
        <v>1251</v>
      </c>
      <c r="D444" t="s">
        <v>2234</v>
      </c>
      <c r="E444" t="s">
        <v>82</v>
      </c>
      <c r="F444" t="s">
        <v>1790</v>
      </c>
      <c r="J444">
        <v>1</v>
      </c>
      <c r="K444">
        <v>1</v>
      </c>
      <c r="L444">
        <v>0</v>
      </c>
      <c r="M444" t="s">
        <v>3366</v>
      </c>
    </row>
    <row r="445" spans="1:13" x14ac:dyDescent="0.25">
      <c r="A445" t="s">
        <v>1252</v>
      </c>
      <c r="B445" t="s">
        <v>1253</v>
      </c>
      <c r="C445" t="s">
        <v>1254</v>
      </c>
      <c r="D445" t="s">
        <v>2235</v>
      </c>
      <c r="E445" t="s">
        <v>3566</v>
      </c>
      <c r="F445" t="s">
        <v>1790</v>
      </c>
      <c r="J445">
        <v>1</v>
      </c>
      <c r="K445">
        <v>1</v>
      </c>
      <c r="L445">
        <v>0</v>
      </c>
      <c r="M445" t="s">
        <v>3367</v>
      </c>
    </row>
    <row r="446" spans="1:13" x14ac:dyDescent="0.25">
      <c r="A446" t="s">
        <v>1255</v>
      </c>
      <c r="B446" t="s">
        <v>1256</v>
      </c>
      <c r="C446" t="s">
        <v>1257</v>
      </c>
      <c r="D446" t="s">
        <v>2236</v>
      </c>
      <c r="E446" t="s">
        <v>82</v>
      </c>
      <c r="F446" t="s">
        <v>1751</v>
      </c>
      <c r="J446">
        <v>1</v>
      </c>
      <c r="K446">
        <v>1</v>
      </c>
      <c r="L446">
        <v>0</v>
      </c>
      <c r="M446" t="s">
        <v>3368</v>
      </c>
    </row>
    <row r="447" spans="1:13" x14ac:dyDescent="0.25">
      <c r="A447" t="s">
        <v>1258</v>
      </c>
      <c r="B447" t="s">
        <v>1259</v>
      </c>
      <c r="C447" t="s">
        <v>1260</v>
      </c>
      <c r="D447" t="s">
        <v>2237</v>
      </c>
      <c r="E447" t="s">
        <v>82</v>
      </c>
      <c r="F447" t="s">
        <v>1751</v>
      </c>
      <c r="J447">
        <v>1</v>
      </c>
      <c r="K447">
        <v>1</v>
      </c>
      <c r="L447">
        <v>0</v>
      </c>
      <c r="M447" t="s">
        <v>3369</v>
      </c>
    </row>
    <row r="448" spans="1:13" x14ac:dyDescent="0.25">
      <c r="A448" t="s">
        <v>2883</v>
      </c>
      <c r="B448" t="s">
        <v>1262</v>
      </c>
      <c r="C448" t="s">
        <v>1263</v>
      </c>
      <c r="D448" t="s">
        <v>2238</v>
      </c>
      <c r="E448" t="s">
        <v>82</v>
      </c>
      <c r="F448" t="s">
        <v>1751</v>
      </c>
      <c r="I448" t="s">
        <v>8</v>
      </c>
      <c r="J448">
        <v>1</v>
      </c>
      <c r="K448">
        <v>1</v>
      </c>
      <c r="L448">
        <v>0</v>
      </c>
      <c r="M448" t="s">
        <v>3370</v>
      </c>
    </row>
    <row r="449" spans="1:13" x14ac:dyDescent="0.25">
      <c r="A449" t="s">
        <v>1264</v>
      </c>
      <c r="B449" t="s">
        <v>1265</v>
      </c>
      <c r="C449" t="s">
        <v>1266</v>
      </c>
      <c r="D449" t="s">
        <v>2239</v>
      </c>
      <c r="E449" t="s">
        <v>82</v>
      </c>
      <c r="F449" t="s">
        <v>1751</v>
      </c>
      <c r="I449" t="s">
        <v>90</v>
      </c>
      <c r="J449">
        <v>1</v>
      </c>
      <c r="K449">
        <v>1</v>
      </c>
      <c r="L449">
        <v>0</v>
      </c>
      <c r="M449" t="s">
        <v>3371</v>
      </c>
    </row>
    <row r="450" spans="1:13" x14ac:dyDescent="0.25">
      <c r="A450" t="s">
        <v>1267</v>
      </c>
      <c r="B450" t="s">
        <v>1268</v>
      </c>
      <c r="C450" t="s">
        <v>1269</v>
      </c>
      <c r="D450" t="s">
        <v>2240</v>
      </c>
      <c r="E450" t="s">
        <v>82</v>
      </c>
      <c r="F450" t="s">
        <v>1751</v>
      </c>
      <c r="I450" t="s">
        <v>90</v>
      </c>
      <c r="J450">
        <v>1</v>
      </c>
      <c r="K450">
        <v>1</v>
      </c>
      <c r="L450">
        <v>0</v>
      </c>
      <c r="M450" t="s">
        <v>3372</v>
      </c>
    </row>
    <row r="451" spans="1:13" x14ac:dyDescent="0.25">
      <c r="A451" t="s">
        <v>1270</v>
      </c>
      <c r="B451" t="s">
        <v>1271</v>
      </c>
      <c r="C451" t="s">
        <v>1272</v>
      </c>
      <c r="D451" t="s">
        <v>2241</v>
      </c>
      <c r="E451" t="s">
        <v>82</v>
      </c>
      <c r="F451" t="s">
        <v>1751</v>
      </c>
      <c r="I451" t="s">
        <v>90</v>
      </c>
      <c r="J451">
        <v>1</v>
      </c>
      <c r="K451">
        <v>1</v>
      </c>
      <c r="L451">
        <v>0</v>
      </c>
      <c r="M451" t="s">
        <v>3373</v>
      </c>
    </row>
    <row r="452" spans="1:13" x14ac:dyDescent="0.25">
      <c r="A452" t="s">
        <v>1273</v>
      </c>
      <c r="B452" t="s">
        <v>1274</v>
      </c>
      <c r="C452" t="s">
        <v>1275</v>
      </c>
      <c r="D452" t="s">
        <v>2242</v>
      </c>
      <c r="E452" t="s">
        <v>3566</v>
      </c>
      <c r="F452" t="s">
        <v>1886</v>
      </c>
      <c r="J452">
        <v>1</v>
      </c>
      <c r="K452">
        <v>1</v>
      </c>
      <c r="L452">
        <v>0</v>
      </c>
      <c r="M452" t="s">
        <v>3374</v>
      </c>
    </row>
    <row r="453" spans="1:13" x14ac:dyDescent="0.25">
      <c r="A453" t="s">
        <v>1276</v>
      </c>
      <c r="B453" t="s">
        <v>1277</v>
      </c>
      <c r="C453" t="s">
        <v>1278</v>
      </c>
      <c r="D453" t="s">
        <v>2243</v>
      </c>
      <c r="E453" t="s">
        <v>3566</v>
      </c>
      <c r="F453" t="s">
        <v>1785</v>
      </c>
      <c r="J453">
        <v>1</v>
      </c>
      <c r="K453">
        <v>1</v>
      </c>
      <c r="L453">
        <v>1</v>
      </c>
      <c r="M453" t="s">
        <v>3375</v>
      </c>
    </row>
    <row r="454" spans="1:13" x14ac:dyDescent="0.25">
      <c r="A454" t="s">
        <v>1279</v>
      </c>
      <c r="B454" t="s">
        <v>1280</v>
      </c>
      <c r="C454" t="s">
        <v>1281</v>
      </c>
      <c r="D454" t="s">
        <v>2244</v>
      </c>
      <c r="E454" t="s">
        <v>82</v>
      </c>
      <c r="F454" t="s">
        <v>1925</v>
      </c>
      <c r="J454">
        <v>1</v>
      </c>
      <c r="K454">
        <v>1</v>
      </c>
      <c r="L454">
        <v>0</v>
      </c>
      <c r="M454" t="s">
        <v>3376</v>
      </c>
    </row>
    <row r="455" spans="1:13" x14ac:dyDescent="0.25">
      <c r="A455" t="s">
        <v>1282</v>
      </c>
      <c r="B455" t="s">
        <v>1283</v>
      </c>
      <c r="C455" t="s">
        <v>1284</v>
      </c>
      <c r="D455" t="s">
        <v>2245</v>
      </c>
      <c r="E455" t="s">
        <v>82</v>
      </c>
      <c r="F455" t="s">
        <v>1925</v>
      </c>
      <c r="J455">
        <v>1</v>
      </c>
      <c r="K455">
        <v>1</v>
      </c>
      <c r="L455">
        <v>0</v>
      </c>
      <c r="M455" t="s">
        <v>3377</v>
      </c>
    </row>
    <row r="456" spans="1:13" x14ac:dyDescent="0.25">
      <c r="A456" t="s">
        <v>1285</v>
      </c>
      <c r="B456" t="s">
        <v>1286</v>
      </c>
      <c r="C456" t="s">
        <v>1287</v>
      </c>
      <c r="D456" t="s">
        <v>2246</v>
      </c>
      <c r="E456" t="s">
        <v>82</v>
      </c>
      <c r="F456" t="s">
        <v>1925</v>
      </c>
      <c r="I456" t="s">
        <v>8</v>
      </c>
      <c r="J456">
        <v>1</v>
      </c>
      <c r="K456">
        <v>1</v>
      </c>
      <c r="L456">
        <v>0</v>
      </c>
      <c r="M456" t="s">
        <v>3378</v>
      </c>
    </row>
    <row r="457" spans="1:13" x14ac:dyDescent="0.25">
      <c r="A457" t="s">
        <v>1288</v>
      </c>
      <c r="B457" t="s">
        <v>1289</v>
      </c>
      <c r="C457" t="s">
        <v>1290</v>
      </c>
      <c r="D457" t="s">
        <v>2247</v>
      </c>
      <c r="E457" t="s">
        <v>82</v>
      </c>
      <c r="F457" t="s">
        <v>1925</v>
      </c>
      <c r="J457">
        <v>1</v>
      </c>
      <c r="K457">
        <v>1</v>
      </c>
      <c r="L457">
        <v>0</v>
      </c>
      <c r="M457" t="s">
        <v>3379</v>
      </c>
    </row>
    <row r="458" spans="1:13" x14ac:dyDescent="0.25">
      <c r="A458" t="s">
        <v>1291</v>
      </c>
      <c r="B458" t="s">
        <v>1292</v>
      </c>
      <c r="C458" t="s">
        <v>1293</v>
      </c>
      <c r="D458" t="s">
        <v>2248</v>
      </c>
      <c r="E458" t="s">
        <v>82</v>
      </c>
      <c r="F458" t="s">
        <v>1925</v>
      </c>
      <c r="I458" t="s">
        <v>8</v>
      </c>
      <c r="J458">
        <v>1</v>
      </c>
      <c r="K458">
        <v>1</v>
      </c>
      <c r="L458">
        <v>0</v>
      </c>
      <c r="M458" t="s">
        <v>3380</v>
      </c>
    </row>
    <row r="459" spans="1:13" x14ac:dyDescent="0.25">
      <c r="A459" t="s">
        <v>1294</v>
      </c>
      <c r="B459" t="s">
        <v>1295</v>
      </c>
      <c r="C459" t="s">
        <v>1296</v>
      </c>
      <c r="D459" t="s">
        <v>2249</v>
      </c>
      <c r="E459" t="s">
        <v>82</v>
      </c>
      <c r="F459" t="s">
        <v>2250</v>
      </c>
      <c r="J459">
        <v>1</v>
      </c>
      <c r="K459">
        <v>1</v>
      </c>
      <c r="L459">
        <v>0</v>
      </c>
      <c r="M459" t="s">
        <v>3381</v>
      </c>
    </row>
    <row r="460" spans="1:13" x14ac:dyDescent="0.25">
      <c r="A460" t="s">
        <v>1297</v>
      </c>
      <c r="B460" t="s">
        <v>1298</v>
      </c>
      <c r="C460" t="s">
        <v>1299</v>
      </c>
      <c r="D460" t="s">
        <v>2251</v>
      </c>
      <c r="E460" t="s">
        <v>82</v>
      </c>
      <c r="F460" t="s">
        <v>1925</v>
      </c>
      <c r="J460">
        <v>1</v>
      </c>
      <c r="K460">
        <v>1</v>
      </c>
      <c r="L460">
        <v>0</v>
      </c>
      <c r="M460" t="s">
        <v>3382</v>
      </c>
    </row>
    <row r="461" spans="1:13" x14ac:dyDescent="0.25">
      <c r="A461" t="s">
        <v>1300</v>
      </c>
      <c r="B461" t="s">
        <v>1301</v>
      </c>
      <c r="C461" t="s">
        <v>1302</v>
      </c>
      <c r="D461" t="s">
        <v>2252</v>
      </c>
      <c r="E461" t="s">
        <v>82</v>
      </c>
      <c r="F461" t="s">
        <v>2250</v>
      </c>
      <c r="J461">
        <v>1</v>
      </c>
      <c r="K461">
        <v>1</v>
      </c>
      <c r="L461">
        <v>0</v>
      </c>
      <c r="M461" t="s">
        <v>3383</v>
      </c>
    </row>
    <row r="462" spans="1:13" x14ac:dyDescent="0.25">
      <c r="A462" t="s">
        <v>1303</v>
      </c>
      <c r="B462" t="s">
        <v>1304</v>
      </c>
      <c r="C462" t="s">
        <v>1305</v>
      </c>
      <c r="D462" t="s">
        <v>2253</v>
      </c>
      <c r="E462" t="s">
        <v>320</v>
      </c>
      <c r="F462" t="s">
        <v>1925</v>
      </c>
      <c r="J462">
        <v>1</v>
      </c>
      <c r="K462">
        <v>0</v>
      </c>
      <c r="L462">
        <v>1</v>
      </c>
      <c r="M462" t="s">
        <v>3384</v>
      </c>
    </row>
    <row r="463" spans="1:13" x14ac:dyDescent="0.25">
      <c r="A463" t="s">
        <v>1306</v>
      </c>
      <c r="B463" t="s">
        <v>1307</v>
      </c>
      <c r="C463" t="s">
        <v>1308</v>
      </c>
      <c r="D463" t="s">
        <v>2254</v>
      </c>
      <c r="E463" t="s">
        <v>82</v>
      </c>
      <c r="F463" t="s">
        <v>2250</v>
      </c>
      <c r="I463" t="s">
        <v>22</v>
      </c>
      <c r="J463">
        <v>1</v>
      </c>
      <c r="K463">
        <v>1</v>
      </c>
      <c r="L463">
        <v>0</v>
      </c>
      <c r="M463" t="s">
        <v>3385</v>
      </c>
    </row>
    <row r="464" spans="1:13" x14ac:dyDescent="0.25">
      <c r="A464" t="s">
        <v>1309</v>
      </c>
      <c r="B464" t="s">
        <v>1310</v>
      </c>
      <c r="C464" t="s">
        <v>1311</v>
      </c>
      <c r="D464" t="s">
        <v>2255</v>
      </c>
      <c r="E464" t="s">
        <v>82</v>
      </c>
      <c r="F464" t="s">
        <v>2250</v>
      </c>
      <c r="I464" t="s">
        <v>8</v>
      </c>
      <c r="J464">
        <v>1</v>
      </c>
      <c r="K464">
        <v>1</v>
      </c>
      <c r="L464">
        <v>0</v>
      </c>
      <c r="M464" t="s">
        <v>3386</v>
      </c>
    </row>
    <row r="465" spans="1:13" x14ac:dyDescent="0.25">
      <c r="A465" t="s">
        <v>1312</v>
      </c>
      <c r="B465" t="s">
        <v>1313</v>
      </c>
      <c r="C465" t="s">
        <v>1314</v>
      </c>
      <c r="D465" t="s">
        <v>2256</v>
      </c>
      <c r="E465" t="s">
        <v>82</v>
      </c>
      <c r="F465" t="s">
        <v>1925</v>
      </c>
      <c r="J465">
        <v>1</v>
      </c>
      <c r="K465">
        <v>1</v>
      </c>
      <c r="L465">
        <v>0</v>
      </c>
      <c r="M465" t="s">
        <v>3387</v>
      </c>
    </row>
    <row r="466" spans="1:13" x14ac:dyDescent="0.25">
      <c r="A466" t="s">
        <v>1315</v>
      </c>
      <c r="B466" t="s">
        <v>1316</v>
      </c>
      <c r="C466" t="s">
        <v>1317</v>
      </c>
      <c r="D466" t="s">
        <v>2257</v>
      </c>
      <c r="E466" t="s">
        <v>82</v>
      </c>
      <c r="F466" t="s">
        <v>2250</v>
      </c>
      <c r="J466">
        <v>1</v>
      </c>
      <c r="K466">
        <v>1</v>
      </c>
      <c r="L466">
        <v>0</v>
      </c>
      <c r="M466" t="s">
        <v>3388</v>
      </c>
    </row>
    <row r="467" spans="1:13" x14ac:dyDescent="0.25">
      <c r="A467" t="s">
        <v>1318</v>
      </c>
      <c r="B467" t="s">
        <v>1319</v>
      </c>
      <c r="C467" t="s">
        <v>1320</v>
      </c>
      <c r="D467" t="s">
        <v>2258</v>
      </c>
      <c r="E467" t="s">
        <v>82</v>
      </c>
      <c r="F467" t="s">
        <v>2250</v>
      </c>
      <c r="J467">
        <v>1</v>
      </c>
      <c r="K467">
        <v>1</v>
      </c>
      <c r="L467">
        <v>0</v>
      </c>
      <c r="M467" t="s">
        <v>3389</v>
      </c>
    </row>
    <row r="468" spans="1:13" x14ac:dyDescent="0.25">
      <c r="A468" t="s">
        <v>1321</v>
      </c>
      <c r="B468" t="s">
        <v>1322</v>
      </c>
      <c r="C468" t="s">
        <v>1323</v>
      </c>
      <c r="D468" t="s">
        <v>2259</v>
      </c>
      <c r="E468" t="s">
        <v>82</v>
      </c>
      <c r="F468" t="s">
        <v>2250</v>
      </c>
      <c r="J468">
        <v>1</v>
      </c>
      <c r="K468">
        <v>1</v>
      </c>
      <c r="L468">
        <v>0</v>
      </c>
      <c r="M468" t="s">
        <v>3390</v>
      </c>
    </row>
    <row r="469" spans="1:13" x14ac:dyDescent="0.25">
      <c r="A469" t="s">
        <v>1324</v>
      </c>
      <c r="B469" t="s">
        <v>1325</v>
      </c>
      <c r="C469" t="s">
        <v>1326</v>
      </c>
      <c r="D469" t="s">
        <v>2260</v>
      </c>
      <c r="E469" t="s">
        <v>3566</v>
      </c>
      <c r="F469" t="s">
        <v>2250</v>
      </c>
      <c r="J469">
        <v>1</v>
      </c>
      <c r="K469">
        <v>1</v>
      </c>
      <c r="L469">
        <v>0</v>
      </c>
      <c r="M469" t="s">
        <v>3391</v>
      </c>
    </row>
    <row r="470" spans="1:13" x14ac:dyDescent="0.25">
      <c r="A470" t="s">
        <v>1327</v>
      </c>
      <c r="B470" s="38" t="s">
        <v>1328</v>
      </c>
      <c r="C470" t="s">
        <v>1329</v>
      </c>
      <c r="D470" t="s">
        <v>2261</v>
      </c>
      <c r="E470" t="s">
        <v>82</v>
      </c>
      <c r="F470" t="s">
        <v>2250</v>
      </c>
      <c r="J470">
        <v>1</v>
      </c>
      <c r="K470">
        <v>1</v>
      </c>
      <c r="L470">
        <v>0</v>
      </c>
      <c r="M470" t="s">
        <v>3392</v>
      </c>
    </row>
    <row r="471" spans="1:13" x14ac:dyDescent="0.25">
      <c r="A471" t="s">
        <v>1330</v>
      </c>
      <c r="B471" t="s">
        <v>1331</v>
      </c>
      <c r="C471" t="s">
        <v>1332</v>
      </c>
      <c r="D471" t="s">
        <v>2262</v>
      </c>
      <c r="E471" t="s">
        <v>82</v>
      </c>
      <c r="F471" t="s">
        <v>2250</v>
      </c>
      <c r="I471" t="s">
        <v>22</v>
      </c>
      <c r="J471">
        <v>1</v>
      </c>
      <c r="K471">
        <v>1</v>
      </c>
      <c r="L471">
        <v>0</v>
      </c>
      <c r="M471" t="s">
        <v>3393</v>
      </c>
    </row>
    <row r="472" spans="1:13" x14ac:dyDescent="0.25">
      <c r="A472" t="s">
        <v>1333</v>
      </c>
      <c r="B472" t="s">
        <v>1334</v>
      </c>
      <c r="C472" t="s">
        <v>1335</v>
      </c>
      <c r="D472" t="s">
        <v>2263</v>
      </c>
      <c r="E472" t="s">
        <v>82</v>
      </c>
      <c r="F472" t="s">
        <v>2250</v>
      </c>
      <c r="J472">
        <v>1</v>
      </c>
      <c r="K472">
        <v>1</v>
      </c>
      <c r="L472">
        <v>0</v>
      </c>
      <c r="M472" t="s">
        <v>3394</v>
      </c>
    </row>
    <row r="473" spans="1:13" x14ac:dyDescent="0.25">
      <c r="A473" t="s">
        <v>1336</v>
      </c>
      <c r="B473" t="s">
        <v>1337</v>
      </c>
      <c r="C473" t="s">
        <v>1338</v>
      </c>
      <c r="D473" t="s">
        <v>2264</v>
      </c>
      <c r="E473" t="s">
        <v>82</v>
      </c>
      <c r="F473" t="s">
        <v>2250</v>
      </c>
      <c r="J473">
        <v>1</v>
      </c>
      <c r="K473">
        <v>1</v>
      </c>
      <c r="L473">
        <v>0</v>
      </c>
      <c r="M473" t="s">
        <v>3395</v>
      </c>
    </row>
    <row r="474" spans="1:13" x14ac:dyDescent="0.25">
      <c r="A474" t="s">
        <v>1339</v>
      </c>
      <c r="B474" t="s">
        <v>1340</v>
      </c>
      <c r="C474" t="s">
        <v>1341</v>
      </c>
      <c r="D474" t="s">
        <v>2265</v>
      </c>
      <c r="E474" t="s">
        <v>82</v>
      </c>
      <c r="F474" t="s">
        <v>2250</v>
      </c>
      <c r="I474" t="s">
        <v>22</v>
      </c>
      <c r="J474">
        <v>1</v>
      </c>
      <c r="K474">
        <v>1</v>
      </c>
      <c r="L474">
        <v>0</v>
      </c>
      <c r="M474" t="s">
        <v>3396</v>
      </c>
    </row>
    <row r="475" spans="1:13" x14ac:dyDescent="0.25">
      <c r="A475" t="s">
        <v>1342</v>
      </c>
      <c r="B475" t="s">
        <v>1343</v>
      </c>
      <c r="C475" t="s">
        <v>1344</v>
      </c>
      <c r="D475" t="s">
        <v>2266</v>
      </c>
      <c r="E475" t="s">
        <v>82</v>
      </c>
      <c r="F475" t="s">
        <v>1925</v>
      </c>
      <c r="I475" t="s">
        <v>8</v>
      </c>
      <c r="J475">
        <v>1</v>
      </c>
      <c r="K475">
        <v>1</v>
      </c>
      <c r="L475">
        <v>0</v>
      </c>
      <c r="M475" t="s">
        <v>3397</v>
      </c>
    </row>
    <row r="476" spans="1:13" x14ac:dyDescent="0.25">
      <c r="A476" t="s">
        <v>1345</v>
      </c>
      <c r="B476" t="s">
        <v>1346</v>
      </c>
      <c r="C476" t="s">
        <v>1347</v>
      </c>
      <c r="D476" t="s">
        <v>2267</v>
      </c>
      <c r="E476" t="s">
        <v>82</v>
      </c>
      <c r="F476" t="s">
        <v>1925</v>
      </c>
      <c r="J476">
        <v>1</v>
      </c>
      <c r="K476">
        <v>1</v>
      </c>
      <c r="L476">
        <v>0</v>
      </c>
      <c r="M476" t="s">
        <v>3398</v>
      </c>
    </row>
    <row r="477" spans="1:13" x14ac:dyDescent="0.25">
      <c r="A477" t="s">
        <v>1348</v>
      </c>
      <c r="B477" t="s">
        <v>1349</v>
      </c>
      <c r="C477" t="s">
        <v>1350</v>
      </c>
      <c r="D477" t="s">
        <v>2268</v>
      </c>
      <c r="E477" t="s">
        <v>82</v>
      </c>
      <c r="F477" t="s">
        <v>1925</v>
      </c>
      <c r="I477" t="s">
        <v>8</v>
      </c>
      <c r="J477">
        <v>1</v>
      </c>
      <c r="K477">
        <v>1</v>
      </c>
      <c r="L477">
        <v>0</v>
      </c>
      <c r="M477" t="s">
        <v>3399</v>
      </c>
    </row>
    <row r="478" spans="1:13" x14ac:dyDescent="0.25">
      <c r="A478" t="s">
        <v>1351</v>
      </c>
      <c r="B478" t="s">
        <v>1352</v>
      </c>
      <c r="C478" t="s">
        <v>1353</v>
      </c>
      <c r="D478" t="s">
        <v>2269</v>
      </c>
      <c r="E478" t="s">
        <v>82</v>
      </c>
      <c r="F478" t="s">
        <v>1925</v>
      </c>
      <c r="J478">
        <v>1</v>
      </c>
      <c r="K478">
        <v>1</v>
      </c>
      <c r="L478">
        <v>0</v>
      </c>
      <c r="M478" t="s">
        <v>3400</v>
      </c>
    </row>
    <row r="479" spans="1:13" x14ac:dyDescent="0.25">
      <c r="A479" t="s">
        <v>1354</v>
      </c>
      <c r="B479" t="s">
        <v>1355</v>
      </c>
      <c r="C479" t="s">
        <v>1356</v>
      </c>
      <c r="D479" t="s">
        <v>2270</v>
      </c>
      <c r="E479" t="s">
        <v>82</v>
      </c>
      <c r="F479" t="s">
        <v>2250</v>
      </c>
      <c r="I479" t="s">
        <v>22</v>
      </c>
      <c r="J479">
        <v>1</v>
      </c>
      <c r="K479">
        <v>1</v>
      </c>
      <c r="L479">
        <v>0</v>
      </c>
      <c r="M479" t="s">
        <v>3401</v>
      </c>
    </row>
    <row r="480" spans="1:13" x14ac:dyDescent="0.25">
      <c r="A480" t="s">
        <v>1357</v>
      </c>
      <c r="B480" t="s">
        <v>1358</v>
      </c>
      <c r="C480" t="s">
        <v>1359</v>
      </c>
      <c r="D480" t="s">
        <v>2271</v>
      </c>
      <c r="E480" t="s">
        <v>82</v>
      </c>
      <c r="F480" t="s">
        <v>2250</v>
      </c>
      <c r="J480">
        <v>1</v>
      </c>
      <c r="K480">
        <v>1</v>
      </c>
      <c r="L480">
        <v>0</v>
      </c>
      <c r="M480" t="s">
        <v>3402</v>
      </c>
    </row>
    <row r="481" spans="1:13" x14ac:dyDescent="0.25">
      <c r="A481" t="s">
        <v>1360</v>
      </c>
      <c r="B481" t="s">
        <v>1361</v>
      </c>
      <c r="C481" t="s">
        <v>1362</v>
      </c>
      <c r="D481" t="s">
        <v>2272</v>
      </c>
      <c r="E481" t="s">
        <v>82</v>
      </c>
      <c r="F481" t="s">
        <v>2250</v>
      </c>
      <c r="I481" t="s">
        <v>8</v>
      </c>
      <c r="J481">
        <v>1</v>
      </c>
      <c r="K481">
        <v>1</v>
      </c>
      <c r="L481">
        <v>0</v>
      </c>
      <c r="M481" t="s">
        <v>3403</v>
      </c>
    </row>
    <row r="482" spans="1:13" x14ac:dyDescent="0.25">
      <c r="A482" t="s">
        <v>1363</v>
      </c>
      <c r="B482" t="s">
        <v>1364</v>
      </c>
      <c r="C482" t="s">
        <v>1365</v>
      </c>
      <c r="D482" t="s">
        <v>2273</v>
      </c>
      <c r="E482" t="s">
        <v>82</v>
      </c>
      <c r="F482" t="s">
        <v>2250</v>
      </c>
      <c r="J482">
        <v>1</v>
      </c>
      <c r="K482">
        <v>1</v>
      </c>
      <c r="L482">
        <v>0</v>
      </c>
      <c r="M482" t="s">
        <v>3404</v>
      </c>
    </row>
    <row r="483" spans="1:13" x14ac:dyDescent="0.25">
      <c r="A483" t="s">
        <v>1366</v>
      </c>
      <c r="B483" t="s">
        <v>1367</v>
      </c>
      <c r="C483" t="s">
        <v>1368</v>
      </c>
      <c r="D483" t="s">
        <v>2274</v>
      </c>
      <c r="E483" t="s">
        <v>82</v>
      </c>
      <c r="F483" t="s">
        <v>1925</v>
      </c>
      <c r="J483">
        <v>1</v>
      </c>
      <c r="K483">
        <v>1</v>
      </c>
      <c r="L483">
        <v>0</v>
      </c>
      <c r="M483" t="s">
        <v>3405</v>
      </c>
    </row>
    <row r="484" spans="1:13" x14ac:dyDescent="0.25">
      <c r="A484" t="s">
        <v>1369</v>
      </c>
      <c r="B484" t="s">
        <v>1370</v>
      </c>
      <c r="C484" t="s">
        <v>1371</v>
      </c>
      <c r="D484" t="s">
        <v>2275</v>
      </c>
      <c r="E484" t="s">
        <v>82</v>
      </c>
      <c r="F484" t="s">
        <v>2250</v>
      </c>
      <c r="J484">
        <v>1</v>
      </c>
      <c r="K484">
        <v>1</v>
      </c>
      <c r="L484">
        <v>0</v>
      </c>
      <c r="M484" t="s">
        <v>3406</v>
      </c>
    </row>
    <row r="485" spans="1:13" x14ac:dyDescent="0.25">
      <c r="A485" t="s">
        <v>1372</v>
      </c>
      <c r="B485" t="s">
        <v>1373</v>
      </c>
      <c r="C485" t="s">
        <v>1374</v>
      </c>
      <c r="D485" t="s">
        <v>2276</v>
      </c>
      <c r="E485" t="s">
        <v>82</v>
      </c>
      <c r="F485" t="s">
        <v>1925</v>
      </c>
      <c r="J485">
        <v>1</v>
      </c>
      <c r="K485">
        <v>1</v>
      </c>
      <c r="L485">
        <v>0</v>
      </c>
      <c r="M485" t="s">
        <v>3407</v>
      </c>
    </row>
    <row r="486" spans="1:13" x14ac:dyDescent="0.25">
      <c r="A486" t="s">
        <v>1375</v>
      </c>
      <c r="B486" t="s">
        <v>1376</v>
      </c>
      <c r="C486" t="s">
        <v>1377</v>
      </c>
      <c r="D486" t="s">
        <v>2277</v>
      </c>
      <c r="E486" t="s">
        <v>82</v>
      </c>
      <c r="F486" t="s">
        <v>1925</v>
      </c>
      <c r="J486">
        <v>1</v>
      </c>
      <c r="K486">
        <v>1</v>
      </c>
      <c r="L486">
        <v>0</v>
      </c>
      <c r="M486" t="s">
        <v>3408</v>
      </c>
    </row>
    <row r="487" spans="1:13" x14ac:dyDescent="0.25">
      <c r="A487" t="s">
        <v>1378</v>
      </c>
      <c r="B487" t="s">
        <v>1379</v>
      </c>
      <c r="C487" t="s">
        <v>1380</v>
      </c>
      <c r="D487" t="s">
        <v>2278</v>
      </c>
      <c r="E487" t="s">
        <v>82</v>
      </c>
      <c r="F487" t="s">
        <v>2250</v>
      </c>
      <c r="I487" t="s">
        <v>22</v>
      </c>
      <c r="J487">
        <v>1</v>
      </c>
      <c r="K487">
        <v>1</v>
      </c>
      <c r="L487">
        <v>0</v>
      </c>
      <c r="M487" t="s">
        <v>3409</v>
      </c>
    </row>
    <row r="488" spans="1:13" x14ac:dyDescent="0.25">
      <c r="A488" t="s">
        <v>1381</v>
      </c>
      <c r="B488" t="s">
        <v>1382</v>
      </c>
      <c r="C488" t="s">
        <v>1383</v>
      </c>
      <c r="D488" t="s">
        <v>2279</v>
      </c>
      <c r="E488" t="s">
        <v>82</v>
      </c>
      <c r="F488" t="s">
        <v>2250</v>
      </c>
      <c r="J488">
        <v>1</v>
      </c>
      <c r="K488">
        <v>1</v>
      </c>
      <c r="L488">
        <v>0</v>
      </c>
      <c r="M488" t="s">
        <v>3410</v>
      </c>
    </row>
    <row r="489" spans="1:13" x14ac:dyDescent="0.25">
      <c r="A489" t="s">
        <v>1384</v>
      </c>
      <c r="B489" t="s">
        <v>1385</v>
      </c>
      <c r="C489" t="s">
        <v>1386</v>
      </c>
      <c r="D489" t="s">
        <v>2280</v>
      </c>
      <c r="E489" t="s">
        <v>82</v>
      </c>
      <c r="F489" t="s">
        <v>2250</v>
      </c>
      <c r="J489">
        <v>1</v>
      </c>
      <c r="K489">
        <v>1</v>
      </c>
      <c r="L489">
        <v>0</v>
      </c>
      <c r="M489" t="s">
        <v>3411</v>
      </c>
    </row>
    <row r="490" spans="1:13" x14ac:dyDescent="0.25">
      <c r="A490" t="s">
        <v>1387</v>
      </c>
      <c r="B490" t="s">
        <v>1388</v>
      </c>
      <c r="C490" t="s">
        <v>1389</v>
      </c>
      <c r="D490" t="s">
        <v>2281</v>
      </c>
      <c r="E490" t="s">
        <v>82</v>
      </c>
      <c r="F490" t="s">
        <v>2250</v>
      </c>
      <c r="J490">
        <v>1</v>
      </c>
      <c r="K490">
        <v>1</v>
      </c>
      <c r="L490">
        <v>0</v>
      </c>
      <c r="M490" t="s">
        <v>3412</v>
      </c>
    </row>
    <row r="491" spans="1:13" x14ac:dyDescent="0.25">
      <c r="A491" t="s">
        <v>2884</v>
      </c>
      <c r="B491" t="s">
        <v>1390</v>
      </c>
      <c r="C491" t="s">
        <v>1391</v>
      </c>
      <c r="D491" t="s">
        <v>2282</v>
      </c>
      <c r="E491" t="s">
        <v>111</v>
      </c>
      <c r="F491" t="s">
        <v>2283</v>
      </c>
      <c r="J491">
        <v>1</v>
      </c>
      <c r="K491">
        <v>1</v>
      </c>
      <c r="L491">
        <v>0</v>
      </c>
      <c r="M491" t="s">
        <v>3413</v>
      </c>
    </row>
    <row r="492" spans="1:13" x14ac:dyDescent="0.25">
      <c r="A492" t="s">
        <v>1392</v>
      </c>
      <c r="B492" t="s">
        <v>1393</v>
      </c>
      <c r="C492" t="s">
        <v>1394</v>
      </c>
      <c r="D492" t="s">
        <v>2284</v>
      </c>
      <c r="E492" t="s">
        <v>3566</v>
      </c>
      <c r="F492" t="s">
        <v>2283</v>
      </c>
      <c r="J492">
        <v>1</v>
      </c>
      <c r="K492">
        <v>1</v>
      </c>
      <c r="L492">
        <v>0</v>
      </c>
      <c r="M492" t="s">
        <v>3414</v>
      </c>
    </row>
    <row r="493" spans="1:13" x14ac:dyDescent="0.25">
      <c r="A493" t="s">
        <v>1395</v>
      </c>
      <c r="B493" t="s">
        <v>1396</v>
      </c>
      <c r="C493" t="s">
        <v>1397</v>
      </c>
      <c r="D493" t="s">
        <v>2285</v>
      </c>
      <c r="E493" t="s">
        <v>111</v>
      </c>
      <c r="J493">
        <v>1</v>
      </c>
      <c r="K493">
        <v>1</v>
      </c>
      <c r="L493">
        <v>0</v>
      </c>
      <c r="M493" t="s">
        <v>3415</v>
      </c>
    </row>
    <row r="494" spans="1:13" x14ac:dyDescent="0.25">
      <c r="A494" t="s">
        <v>2885</v>
      </c>
      <c r="B494" t="s">
        <v>1398</v>
      </c>
      <c r="C494" t="s">
        <v>1399</v>
      </c>
      <c r="D494" t="s">
        <v>2286</v>
      </c>
      <c r="E494" t="s">
        <v>3566</v>
      </c>
      <c r="F494" t="s">
        <v>1751</v>
      </c>
      <c r="J494">
        <v>1</v>
      </c>
      <c r="M494" t="s">
        <v>3416</v>
      </c>
    </row>
    <row r="495" spans="1:13" x14ac:dyDescent="0.25">
      <c r="A495" t="s">
        <v>1400</v>
      </c>
      <c r="B495" t="s">
        <v>1401</v>
      </c>
      <c r="C495" t="s">
        <v>1402</v>
      </c>
      <c r="D495" t="s">
        <v>2287</v>
      </c>
      <c r="E495" t="s">
        <v>111</v>
      </c>
      <c r="J495">
        <v>1</v>
      </c>
      <c r="K495">
        <v>1</v>
      </c>
      <c r="L495">
        <v>0</v>
      </c>
      <c r="M495" t="s">
        <v>3417</v>
      </c>
    </row>
    <row r="496" spans="1:13" x14ac:dyDescent="0.25">
      <c r="A496" t="s">
        <v>1403</v>
      </c>
      <c r="B496" t="s">
        <v>1404</v>
      </c>
      <c r="C496" t="s">
        <v>1405</v>
      </c>
      <c r="D496" t="s">
        <v>2288</v>
      </c>
      <c r="E496" t="s">
        <v>111</v>
      </c>
      <c r="J496">
        <v>1</v>
      </c>
      <c r="M496" t="s">
        <v>3418</v>
      </c>
    </row>
    <row r="497" spans="1:13" x14ac:dyDescent="0.25">
      <c r="A497" t="s">
        <v>1406</v>
      </c>
      <c r="B497" t="s">
        <v>1407</v>
      </c>
      <c r="C497" t="s">
        <v>1408</v>
      </c>
      <c r="D497" t="s">
        <v>2289</v>
      </c>
      <c r="E497" t="s">
        <v>111</v>
      </c>
      <c r="J497">
        <v>1</v>
      </c>
      <c r="K497">
        <v>1</v>
      </c>
      <c r="L497">
        <v>0</v>
      </c>
      <c r="M497" t="s">
        <v>3419</v>
      </c>
    </row>
    <row r="498" spans="1:13" x14ac:dyDescent="0.25">
      <c r="A498" t="s">
        <v>1409</v>
      </c>
      <c r="B498" t="s">
        <v>1410</v>
      </c>
      <c r="C498" t="s">
        <v>1411</v>
      </c>
      <c r="D498" t="s">
        <v>2290</v>
      </c>
      <c r="E498" t="s">
        <v>3566</v>
      </c>
      <c r="J498">
        <v>1</v>
      </c>
      <c r="K498">
        <v>1</v>
      </c>
      <c r="L498">
        <v>0</v>
      </c>
      <c r="M498" t="s">
        <v>3420</v>
      </c>
    </row>
    <row r="499" spans="1:13" x14ac:dyDescent="0.25">
      <c r="A499" t="s">
        <v>1412</v>
      </c>
      <c r="B499" t="s">
        <v>1413</v>
      </c>
      <c r="C499" t="s">
        <v>1414</v>
      </c>
      <c r="D499" t="s">
        <v>2291</v>
      </c>
      <c r="E499" t="s">
        <v>111</v>
      </c>
      <c r="J499">
        <v>1</v>
      </c>
      <c r="K499">
        <v>1</v>
      </c>
      <c r="L499">
        <v>0</v>
      </c>
      <c r="M499" t="s">
        <v>3421</v>
      </c>
    </row>
    <row r="500" spans="1:13" x14ac:dyDescent="0.25">
      <c r="A500" t="s">
        <v>1415</v>
      </c>
      <c r="B500" t="s">
        <v>1416</v>
      </c>
      <c r="C500" t="s">
        <v>1417</v>
      </c>
      <c r="D500" t="s">
        <v>2292</v>
      </c>
      <c r="E500" t="s">
        <v>111</v>
      </c>
      <c r="J500">
        <v>1</v>
      </c>
      <c r="K500">
        <v>1</v>
      </c>
      <c r="L500">
        <v>0</v>
      </c>
      <c r="M500" t="s">
        <v>3422</v>
      </c>
    </row>
    <row r="501" spans="1:13" x14ac:dyDescent="0.25">
      <c r="A501" t="s">
        <v>1418</v>
      </c>
      <c r="B501" t="s">
        <v>1419</v>
      </c>
      <c r="C501" t="s">
        <v>1420</v>
      </c>
      <c r="D501" t="s">
        <v>2293</v>
      </c>
      <c r="E501" t="s">
        <v>111</v>
      </c>
      <c r="J501">
        <v>1</v>
      </c>
      <c r="K501">
        <v>1</v>
      </c>
      <c r="L501">
        <v>0</v>
      </c>
      <c r="M501" t="s">
        <v>3423</v>
      </c>
    </row>
    <row r="502" spans="1:13" x14ac:dyDescent="0.25">
      <c r="A502" t="s">
        <v>1421</v>
      </c>
      <c r="B502" t="s">
        <v>1422</v>
      </c>
      <c r="C502" t="s">
        <v>1423</v>
      </c>
      <c r="D502" t="s">
        <v>2294</v>
      </c>
      <c r="E502" t="s">
        <v>3566</v>
      </c>
      <c r="J502">
        <v>1</v>
      </c>
      <c r="K502">
        <v>1</v>
      </c>
      <c r="L502">
        <v>1</v>
      </c>
      <c r="M502" t="s">
        <v>3424</v>
      </c>
    </row>
    <row r="503" spans="1:13" x14ac:dyDescent="0.25">
      <c r="A503" t="s">
        <v>1424</v>
      </c>
      <c r="B503" t="s">
        <v>1425</v>
      </c>
      <c r="C503" t="s">
        <v>1426</v>
      </c>
      <c r="D503" t="s">
        <v>2295</v>
      </c>
      <c r="E503" t="s">
        <v>3566</v>
      </c>
      <c r="J503">
        <v>1</v>
      </c>
      <c r="K503">
        <v>1</v>
      </c>
      <c r="L503">
        <v>0</v>
      </c>
      <c r="M503" t="s">
        <v>3425</v>
      </c>
    </row>
    <row r="504" spans="1:13" x14ac:dyDescent="0.25">
      <c r="A504" t="s">
        <v>1427</v>
      </c>
      <c r="B504" t="s">
        <v>1428</v>
      </c>
      <c r="C504" t="s">
        <v>1429</v>
      </c>
      <c r="D504" t="s">
        <v>2296</v>
      </c>
      <c r="E504" t="s">
        <v>82</v>
      </c>
      <c r="J504">
        <v>1</v>
      </c>
      <c r="K504">
        <v>1</v>
      </c>
      <c r="L504">
        <v>0</v>
      </c>
      <c r="M504" t="s">
        <v>3426</v>
      </c>
    </row>
    <row r="505" spans="1:13" x14ac:dyDescent="0.25">
      <c r="A505" t="s">
        <v>1430</v>
      </c>
      <c r="B505" t="s">
        <v>1431</v>
      </c>
      <c r="C505" t="s">
        <v>1432</v>
      </c>
      <c r="D505" t="s">
        <v>2297</v>
      </c>
      <c r="E505" t="s">
        <v>82</v>
      </c>
      <c r="I505" t="s">
        <v>90</v>
      </c>
      <c r="J505">
        <v>1</v>
      </c>
      <c r="K505">
        <v>1</v>
      </c>
      <c r="L505">
        <v>0</v>
      </c>
      <c r="M505" t="s">
        <v>3427</v>
      </c>
    </row>
    <row r="506" spans="1:13" x14ac:dyDescent="0.25">
      <c r="A506" t="s">
        <v>1433</v>
      </c>
      <c r="B506" t="s">
        <v>1434</v>
      </c>
      <c r="C506" t="s">
        <v>1435</v>
      </c>
      <c r="D506" t="s">
        <v>2298</v>
      </c>
      <c r="E506" t="s">
        <v>82</v>
      </c>
      <c r="I506" t="s">
        <v>22</v>
      </c>
      <c r="J506">
        <v>1</v>
      </c>
      <c r="K506">
        <v>1</v>
      </c>
      <c r="L506">
        <v>0</v>
      </c>
      <c r="M506" t="s">
        <v>3428</v>
      </c>
    </row>
    <row r="507" spans="1:13" x14ac:dyDescent="0.25">
      <c r="A507" t="s">
        <v>1436</v>
      </c>
      <c r="B507" t="s">
        <v>1437</v>
      </c>
      <c r="C507" t="s">
        <v>1438</v>
      </c>
      <c r="D507" t="s">
        <v>2299</v>
      </c>
      <c r="E507" t="s">
        <v>82</v>
      </c>
      <c r="I507" t="s">
        <v>22</v>
      </c>
      <c r="J507">
        <v>1</v>
      </c>
      <c r="K507">
        <v>1</v>
      </c>
      <c r="L507">
        <v>0</v>
      </c>
      <c r="M507" t="s">
        <v>3429</v>
      </c>
    </row>
    <row r="508" spans="1:13" x14ac:dyDescent="0.25">
      <c r="A508" t="s">
        <v>1439</v>
      </c>
      <c r="B508" t="s">
        <v>1440</v>
      </c>
      <c r="C508" t="s">
        <v>1441</v>
      </c>
      <c r="D508" t="s">
        <v>2300</v>
      </c>
      <c r="E508" t="s">
        <v>82</v>
      </c>
      <c r="I508" t="s">
        <v>22</v>
      </c>
      <c r="J508">
        <v>1</v>
      </c>
      <c r="K508">
        <v>1</v>
      </c>
      <c r="L508">
        <v>0</v>
      </c>
      <c r="M508" t="s">
        <v>3430</v>
      </c>
    </row>
    <row r="509" spans="1:13" x14ac:dyDescent="0.25">
      <c r="A509" t="s">
        <v>2886</v>
      </c>
      <c r="B509" t="s">
        <v>1442</v>
      </c>
      <c r="C509" t="s">
        <v>1443</v>
      </c>
      <c r="D509" t="s">
        <v>2301</v>
      </c>
      <c r="E509" t="s">
        <v>3566</v>
      </c>
      <c r="F509" t="s">
        <v>1751</v>
      </c>
      <c r="J509">
        <v>1</v>
      </c>
      <c r="M509" t="s">
        <v>3431</v>
      </c>
    </row>
    <row r="510" spans="1:13" x14ac:dyDescent="0.25">
      <c r="A510" t="s">
        <v>1444</v>
      </c>
      <c r="B510" t="s">
        <v>1445</v>
      </c>
      <c r="C510" t="s">
        <v>1446</v>
      </c>
      <c r="D510" t="s">
        <v>2302</v>
      </c>
      <c r="E510" t="s">
        <v>82</v>
      </c>
      <c r="J510">
        <v>1</v>
      </c>
      <c r="K510">
        <v>1</v>
      </c>
      <c r="L510">
        <v>0</v>
      </c>
      <c r="M510" t="s">
        <v>3432</v>
      </c>
    </row>
    <row r="511" spans="1:13" x14ac:dyDescent="0.25">
      <c r="A511" t="s">
        <v>1447</v>
      </c>
      <c r="B511" t="s">
        <v>1448</v>
      </c>
      <c r="C511" t="s">
        <v>1449</v>
      </c>
      <c r="D511" t="s">
        <v>2303</v>
      </c>
      <c r="E511" t="s">
        <v>111</v>
      </c>
      <c r="J511">
        <v>1</v>
      </c>
      <c r="K511">
        <v>1</v>
      </c>
      <c r="L511">
        <v>0</v>
      </c>
      <c r="M511" t="s">
        <v>3433</v>
      </c>
    </row>
    <row r="512" spans="1:13" x14ac:dyDescent="0.25">
      <c r="A512" t="s">
        <v>1450</v>
      </c>
      <c r="B512" t="s">
        <v>1451</v>
      </c>
      <c r="C512" t="s">
        <v>1452</v>
      </c>
      <c r="D512" t="s">
        <v>2304</v>
      </c>
      <c r="E512" t="s">
        <v>3566</v>
      </c>
      <c r="J512">
        <v>1</v>
      </c>
      <c r="K512">
        <v>1</v>
      </c>
      <c r="L512">
        <v>1</v>
      </c>
      <c r="M512" t="s">
        <v>3434</v>
      </c>
    </row>
    <row r="513" spans="1:13" x14ac:dyDescent="0.25">
      <c r="A513" t="s">
        <v>1453</v>
      </c>
      <c r="B513" t="s">
        <v>1454</v>
      </c>
      <c r="C513" t="s">
        <v>1455</v>
      </c>
      <c r="D513" t="s">
        <v>2305</v>
      </c>
      <c r="E513" t="s">
        <v>111</v>
      </c>
      <c r="J513">
        <v>1</v>
      </c>
      <c r="K513">
        <v>1</v>
      </c>
      <c r="L513">
        <v>0</v>
      </c>
      <c r="M513" t="s">
        <v>3435</v>
      </c>
    </row>
    <row r="514" spans="1:13" x14ac:dyDescent="0.25">
      <c r="A514" t="s">
        <v>1456</v>
      </c>
      <c r="B514" t="s">
        <v>1457</v>
      </c>
      <c r="C514" t="s">
        <v>1458</v>
      </c>
      <c r="D514" t="s">
        <v>2306</v>
      </c>
      <c r="E514" t="s">
        <v>3566</v>
      </c>
      <c r="J514">
        <v>1</v>
      </c>
      <c r="K514">
        <v>1</v>
      </c>
      <c r="L514">
        <v>0</v>
      </c>
      <c r="M514" t="s">
        <v>3436</v>
      </c>
    </row>
    <row r="515" spans="1:13" x14ac:dyDescent="0.25">
      <c r="A515" t="s">
        <v>1459</v>
      </c>
      <c r="B515" t="s">
        <v>1460</v>
      </c>
      <c r="C515" t="s">
        <v>1461</v>
      </c>
      <c r="D515" t="s">
        <v>2307</v>
      </c>
      <c r="E515" t="s">
        <v>3566</v>
      </c>
      <c r="F515" t="s">
        <v>1877</v>
      </c>
      <c r="J515">
        <v>1</v>
      </c>
      <c r="K515">
        <v>1</v>
      </c>
      <c r="L515">
        <v>0</v>
      </c>
      <c r="M515" t="s">
        <v>3437</v>
      </c>
    </row>
    <row r="516" spans="1:13" x14ac:dyDescent="0.25">
      <c r="A516" t="s">
        <v>1462</v>
      </c>
      <c r="B516" t="s">
        <v>1463</v>
      </c>
      <c r="C516" t="s">
        <v>1464</v>
      </c>
      <c r="D516" t="s">
        <v>2308</v>
      </c>
      <c r="E516" t="s">
        <v>82</v>
      </c>
      <c r="F516" t="s">
        <v>1877</v>
      </c>
      <c r="J516">
        <v>1</v>
      </c>
      <c r="K516">
        <v>1</v>
      </c>
      <c r="L516">
        <v>0</v>
      </c>
      <c r="M516" t="s">
        <v>3438</v>
      </c>
    </row>
    <row r="517" spans="1:13" x14ac:dyDescent="0.25">
      <c r="A517" t="s">
        <v>1465</v>
      </c>
      <c r="B517" t="s">
        <v>1466</v>
      </c>
      <c r="C517" t="s">
        <v>1467</v>
      </c>
      <c r="D517" t="s">
        <v>2309</v>
      </c>
      <c r="E517" t="s">
        <v>111</v>
      </c>
      <c r="F517" t="s">
        <v>1940</v>
      </c>
      <c r="J517">
        <v>1</v>
      </c>
      <c r="K517">
        <v>1</v>
      </c>
      <c r="L517">
        <v>0</v>
      </c>
      <c r="M517" t="s">
        <v>3439</v>
      </c>
    </row>
    <row r="518" spans="1:13" x14ac:dyDescent="0.25">
      <c r="A518" t="s">
        <v>1468</v>
      </c>
      <c r="B518" t="s">
        <v>1469</v>
      </c>
      <c r="C518" t="s">
        <v>1470</v>
      </c>
      <c r="D518" t="s">
        <v>2310</v>
      </c>
      <c r="E518" t="s">
        <v>111</v>
      </c>
      <c r="J518">
        <v>1</v>
      </c>
      <c r="K518">
        <v>1</v>
      </c>
      <c r="L518">
        <v>0</v>
      </c>
      <c r="M518" t="s">
        <v>3440</v>
      </c>
    </row>
    <row r="519" spans="1:13" x14ac:dyDescent="0.25">
      <c r="A519" t="s">
        <v>1471</v>
      </c>
      <c r="B519" t="s">
        <v>1472</v>
      </c>
      <c r="C519" t="s">
        <v>1473</v>
      </c>
      <c r="D519" t="s">
        <v>2311</v>
      </c>
      <c r="E519" t="s">
        <v>3566</v>
      </c>
      <c r="F519" t="s">
        <v>656</v>
      </c>
      <c r="J519">
        <v>1</v>
      </c>
      <c r="K519">
        <v>1</v>
      </c>
      <c r="L519">
        <v>0</v>
      </c>
      <c r="M519" t="s">
        <v>3441</v>
      </c>
    </row>
    <row r="520" spans="1:13" x14ac:dyDescent="0.25">
      <c r="A520" t="s">
        <v>1474</v>
      </c>
      <c r="B520" t="s">
        <v>1475</v>
      </c>
      <c r="C520" t="s">
        <v>1476</v>
      </c>
      <c r="D520" t="s">
        <v>2312</v>
      </c>
      <c r="E520" t="s">
        <v>111</v>
      </c>
      <c r="F520" t="s">
        <v>656</v>
      </c>
      <c r="J520">
        <v>1</v>
      </c>
      <c r="K520">
        <v>1</v>
      </c>
      <c r="L520">
        <v>0</v>
      </c>
      <c r="M520" t="s">
        <v>3442</v>
      </c>
    </row>
    <row r="521" spans="1:13" x14ac:dyDescent="0.25">
      <c r="A521" t="s">
        <v>1477</v>
      </c>
      <c r="B521" t="s">
        <v>1478</v>
      </c>
      <c r="C521" t="s">
        <v>1479</v>
      </c>
      <c r="D521" t="s">
        <v>2313</v>
      </c>
      <c r="E521" t="s">
        <v>111</v>
      </c>
      <c r="F521" t="s">
        <v>1940</v>
      </c>
      <c r="J521">
        <v>1</v>
      </c>
      <c r="K521">
        <v>1</v>
      </c>
      <c r="L521">
        <v>0</v>
      </c>
      <c r="M521" t="s">
        <v>3443</v>
      </c>
    </row>
    <row r="522" spans="1:13" x14ac:dyDescent="0.25">
      <c r="A522" t="s">
        <v>2887</v>
      </c>
      <c r="B522" t="s">
        <v>1480</v>
      </c>
      <c r="C522" t="s">
        <v>1481</v>
      </c>
      <c r="D522" t="s">
        <v>2314</v>
      </c>
      <c r="E522" t="s">
        <v>3566</v>
      </c>
      <c r="F522" t="s">
        <v>1751</v>
      </c>
      <c r="J522">
        <v>1</v>
      </c>
      <c r="M522" t="s">
        <v>3444</v>
      </c>
    </row>
    <row r="523" spans="1:13" x14ac:dyDescent="0.25">
      <c r="A523" t="s">
        <v>1482</v>
      </c>
      <c r="B523" t="s">
        <v>1483</v>
      </c>
      <c r="C523" t="s">
        <v>1484</v>
      </c>
      <c r="D523" t="s">
        <v>2315</v>
      </c>
      <c r="E523" t="s">
        <v>3566</v>
      </c>
      <c r="J523">
        <v>1</v>
      </c>
      <c r="K523">
        <v>1</v>
      </c>
      <c r="L523">
        <v>0</v>
      </c>
      <c r="M523" t="s">
        <v>3445</v>
      </c>
    </row>
    <row r="524" spans="1:13" x14ac:dyDescent="0.25">
      <c r="A524" t="s">
        <v>1485</v>
      </c>
      <c r="B524" t="s">
        <v>1486</v>
      </c>
      <c r="C524" t="s">
        <v>1487</v>
      </c>
      <c r="D524" t="s">
        <v>2316</v>
      </c>
      <c r="E524" t="s">
        <v>111</v>
      </c>
      <c r="J524">
        <v>1</v>
      </c>
      <c r="K524">
        <v>1</v>
      </c>
      <c r="L524">
        <v>0</v>
      </c>
      <c r="M524" t="s">
        <v>3446</v>
      </c>
    </row>
    <row r="525" spans="1:13" x14ac:dyDescent="0.25">
      <c r="A525" t="s">
        <v>1488</v>
      </c>
      <c r="B525" t="s">
        <v>1489</v>
      </c>
      <c r="C525" t="s">
        <v>1490</v>
      </c>
      <c r="D525" t="s">
        <v>2317</v>
      </c>
      <c r="E525" t="s">
        <v>111</v>
      </c>
      <c r="J525">
        <v>1</v>
      </c>
      <c r="K525">
        <v>1</v>
      </c>
      <c r="L525">
        <v>0</v>
      </c>
      <c r="M525" t="s">
        <v>3447</v>
      </c>
    </row>
    <row r="526" spans="1:13" x14ac:dyDescent="0.25">
      <c r="A526" t="s">
        <v>1491</v>
      </c>
      <c r="B526" t="s">
        <v>1492</v>
      </c>
      <c r="C526" t="s">
        <v>1493</v>
      </c>
      <c r="D526" t="s">
        <v>2318</v>
      </c>
      <c r="E526" t="s">
        <v>111</v>
      </c>
      <c r="F526" t="s">
        <v>656</v>
      </c>
      <c r="J526">
        <v>1</v>
      </c>
      <c r="K526">
        <v>1</v>
      </c>
      <c r="L526">
        <v>0</v>
      </c>
      <c r="M526" t="s">
        <v>3448</v>
      </c>
    </row>
    <row r="527" spans="1:13" x14ac:dyDescent="0.25">
      <c r="A527" t="s">
        <v>1494</v>
      </c>
      <c r="B527" t="s">
        <v>1495</v>
      </c>
      <c r="C527" t="s">
        <v>1496</v>
      </c>
      <c r="D527" t="s">
        <v>2319</v>
      </c>
      <c r="E527" t="s">
        <v>3566</v>
      </c>
      <c r="F527" t="s">
        <v>38</v>
      </c>
      <c r="G527" t="s">
        <v>1777</v>
      </c>
      <c r="J527">
        <v>1</v>
      </c>
      <c r="K527">
        <v>1</v>
      </c>
      <c r="L527">
        <v>1</v>
      </c>
      <c r="M527" t="s">
        <v>3449</v>
      </c>
    </row>
    <row r="528" spans="1:13" x14ac:dyDescent="0.25">
      <c r="A528" t="s">
        <v>1497</v>
      </c>
      <c r="B528" t="s">
        <v>1498</v>
      </c>
      <c r="C528" t="s">
        <v>1499</v>
      </c>
      <c r="D528" t="s">
        <v>2320</v>
      </c>
      <c r="E528" t="s">
        <v>3566</v>
      </c>
      <c r="F528" t="s">
        <v>2321</v>
      </c>
      <c r="J528">
        <v>1</v>
      </c>
      <c r="M528" t="s">
        <v>3450</v>
      </c>
    </row>
    <row r="529" spans="1:13" x14ac:dyDescent="0.25">
      <c r="A529" t="s">
        <v>1500</v>
      </c>
      <c r="B529" t="s">
        <v>1501</v>
      </c>
      <c r="C529" t="s">
        <v>1502</v>
      </c>
      <c r="D529" t="s">
        <v>2322</v>
      </c>
      <c r="E529" t="s">
        <v>3566</v>
      </c>
      <c r="F529" t="s">
        <v>2321</v>
      </c>
      <c r="J529">
        <v>1</v>
      </c>
      <c r="M529" t="s">
        <v>3451</v>
      </c>
    </row>
    <row r="530" spans="1:13" x14ac:dyDescent="0.25">
      <c r="A530" t="s">
        <v>1503</v>
      </c>
      <c r="B530" t="s">
        <v>1504</v>
      </c>
      <c r="C530" t="s">
        <v>1505</v>
      </c>
      <c r="D530" t="s">
        <v>2323</v>
      </c>
      <c r="E530" t="s">
        <v>3566</v>
      </c>
      <c r="F530" t="s">
        <v>2321</v>
      </c>
      <c r="J530">
        <v>1</v>
      </c>
      <c r="M530" t="s">
        <v>3452</v>
      </c>
    </row>
    <row r="531" spans="1:13" x14ac:dyDescent="0.25">
      <c r="A531" t="s">
        <v>1506</v>
      </c>
      <c r="B531" t="s">
        <v>1507</v>
      </c>
      <c r="C531" t="s">
        <v>1508</v>
      </c>
      <c r="D531" t="s">
        <v>2324</v>
      </c>
      <c r="E531" t="s">
        <v>3566</v>
      </c>
      <c r="F531" t="s">
        <v>2321</v>
      </c>
      <c r="J531">
        <v>1</v>
      </c>
      <c r="M531" t="s">
        <v>3453</v>
      </c>
    </row>
    <row r="532" spans="1:13" x14ac:dyDescent="0.25">
      <c r="A532" t="s">
        <v>1509</v>
      </c>
      <c r="B532" t="s">
        <v>1510</v>
      </c>
      <c r="C532" t="s">
        <v>1511</v>
      </c>
      <c r="D532" t="s">
        <v>2325</v>
      </c>
      <c r="E532" t="s">
        <v>3566</v>
      </c>
      <c r="F532" t="s">
        <v>2321</v>
      </c>
      <c r="J532">
        <v>1</v>
      </c>
      <c r="M532" t="s">
        <v>3454</v>
      </c>
    </row>
    <row r="533" spans="1:13" x14ac:dyDescent="0.25">
      <c r="A533" t="s">
        <v>1512</v>
      </c>
      <c r="B533" t="s">
        <v>1513</v>
      </c>
      <c r="C533" t="s">
        <v>1514</v>
      </c>
      <c r="D533" t="s">
        <v>2326</v>
      </c>
      <c r="E533" t="s">
        <v>3566</v>
      </c>
      <c r="F533" t="s">
        <v>2321</v>
      </c>
      <c r="J533">
        <v>1</v>
      </c>
      <c r="M533" t="s">
        <v>3455</v>
      </c>
    </row>
    <row r="534" spans="1:13" x14ac:dyDescent="0.25">
      <c r="A534" t="s">
        <v>1515</v>
      </c>
      <c r="B534" t="s">
        <v>1516</v>
      </c>
      <c r="C534" t="s">
        <v>1517</v>
      </c>
      <c r="D534" t="s">
        <v>2327</v>
      </c>
      <c r="E534" t="s">
        <v>3566</v>
      </c>
      <c r="F534" t="s">
        <v>2321</v>
      </c>
      <c r="J534">
        <v>1</v>
      </c>
      <c r="M534" t="s">
        <v>3456</v>
      </c>
    </row>
    <row r="535" spans="1:13" x14ac:dyDescent="0.25">
      <c r="A535" t="s">
        <v>1518</v>
      </c>
      <c r="B535" t="s">
        <v>1519</v>
      </c>
      <c r="C535" t="s">
        <v>1520</v>
      </c>
      <c r="D535" t="s">
        <v>2328</v>
      </c>
      <c r="E535" t="s">
        <v>3566</v>
      </c>
      <c r="F535" t="s">
        <v>2321</v>
      </c>
      <c r="J535">
        <v>1</v>
      </c>
      <c r="M535" t="s">
        <v>3457</v>
      </c>
    </row>
    <row r="536" spans="1:13" x14ac:dyDescent="0.25">
      <c r="A536" t="s">
        <v>1521</v>
      </c>
      <c r="B536" t="s">
        <v>1522</v>
      </c>
      <c r="C536" t="s">
        <v>1523</v>
      </c>
      <c r="D536" t="s">
        <v>2329</v>
      </c>
      <c r="E536" t="s">
        <v>3566</v>
      </c>
      <c r="F536" t="s">
        <v>2321</v>
      </c>
      <c r="J536">
        <v>1</v>
      </c>
      <c r="M536" t="s">
        <v>3458</v>
      </c>
    </row>
    <row r="537" spans="1:13" x14ac:dyDescent="0.25">
      <c r="A537" t="s">
        <v>1524</v>
      </c>
      <c r="B537" t="s">
        <v>1525</v>
      </c>
      <c r="C537" t="s">
        <v>1526</v>
      </c>
      <c r="D537" t="s">
        <v>2330</v>
      </c>
      <c r="E537" t="s">
        <v>3566</v>
      </c>
      <c r="F537" t="s">
        <v>2321</v>
      </c>
      <c r="J537">
        <v>1</v>
      </c>
      <c r="M537" t="s">
        <v>3459</v>
      </c>
    </row>
    <row r="538" spans="1:13" x14ac:dyDescent="0.25">
      <c r="A538" t="s">
        <v>1527</v>
      </c>
      <c r="B538" t="s">
        <v>1528</v>
      </c>
      <c r="C538" t="s">
        <v>1529</v>
      </c>
      <c r="D538" t="s">
        <v>2331</v>
      </c>
      <c r="E538" t="s">
        <v>119</v>
      </c>
      <c r="F538" t="s">
        <v>1809</v>
      </c>
      <c r="J538">
        <v>1</v>
      </c>
      <c r="K538">
        <v>1</v>
      </c>
      <c r="L538">
        <v>1</v>
      </c>
      <c r="M538" t="s">
        <v>3460</v>
      </c>
    </row>
    <row r="539" spans="1:13" x14ac:dyDescent="0.25">
      <c r="A539" t="s">
        <v>1530</v>
      </c>
      <c r="B539" t="s">
        <v>1531</v>
      </c>
      <c r="C539" t="s">
        <v>1532</v>
      </c>
      <c r="D539" t="s">
        <v>2332</v>
      </c>
      <c r="E539" t="s">
        <v>3566</v>
      </c>
      <c r="F539" t="s">
        <v>2333</v>
      </c>
      <c r="J539">
        <v>1</v>
      </c>
      <c r="K539">
        <v>1</v>
      </c>
      <c r="L539">
        <v>0</v>
      </c>
      <c r="M539" t="s">
        <v>3461</v>
      </c>
    </row>
    <row r="540" spans="1:13" x14ac:dyDescent="0.25">
      <c r="A540" t="s">
        <v>1533</v>
      </c>
      <c r="B540" t="s">
        <v>1534</v>
      </c>
      <c r="C540" t="s">
        <v>1535</v>
      </c>
      <c r="D540" t="s">
        <v>2334</v>
      </c>
      <c r="E540" t="s">
        <v>3566</v>
      </c>
      <c r="F540" t="s">
        <v>2333</v>
      </c>
      <c r="J540">
        <v>1</v>
      </c>
      <c r="M540" t="s">
        <v>3462</v>
      </c>
    </row>
    <row r="541" spans="1:13" x14ac:dyDescent="0.25">
      <c r="A541" t="s">
        <v>1536</v>
      </c>
      <c r="B541" t="s">
        <v>1537</v>
      </c>
      <c r="C541" t="s">
        <v>1538</v>
      </c>
      <c r="D541" t="s">
        <v>2335</v>
      </c>
      <c r="E541" t="s">
        <v>3566</v>
      </c>
      <c r="F541" t="s">
        <v>2333</v>
      </c>
      <c r="J541">
        <v>1</v>
      </c>
      <c r="M541" t="s">
        <v>3463</v>
      </c>
    </row>
    <row r="542" spans="1:13" x14ac:dyDescent="0.25">
      <c r="A542" t="s">
        <v>1539</v>
      </c>
      <c r="B542" t="s">
        <v>1540</v>
      </c>
      <c r="C542" t="s">
        <v>1541</v>
      </c>
      <c r="D542" t="s">
        <v>2336</v>
      </c>
      <c r="E542" t="s">
        <v>104</v>
      </c>
      <c r="J542">
        <v>1</v>
      </c>
      <c r="K542">
        <v>1</v>
      </c>
      <c r="L542">
        <v>0</v>
      </c>
      <c r="M542" t="s">
        <v>3464</v>
      </c>
    </row>
    <row r="543" spans="1:13" x14ac:dyDescent="0.25">
      <c r="A543" t="s">
        <v>1542</v>
      </c>
      <c r="B543" t="s">
        <v>1543</v>
      </c>
      <c r="C543" t="s">
        <v>1544</v>
      </c>
      <c r="D543" t="s">
        <v>2337</v>
      </c>
      <c r="E543" t="s">
        <v>7</v>
      </c>
      <c r="F543" t="s">
        <v>1837</v>
      </c>
      <c r="I543" t="s">
        <v>90</v>
      </c>
      <c r="J543">
        <v>1</v>
      </c>
      <c r="K543">
        <v>1</v>
      </c>
      <c r="L543">
        <v>0</v>
      </c>
      <c r="M543" t="s">
        <v>3465</v>
      </c>
    </row>
    <row r="544" spans="1:13" x14ac:dyDescent="0.25">
      <c r="A544" t="s">
        <v>1545</v>
      </c>
      <c r="B544" t="s">
        <v>1546</v>
      </c>
      <c r="C544" t="s">
        <v>1547</v>
      </c>
      <c r="D544" t="s">
        <v>2338</v>
      </c>
      <c r="E544" t="s">
        <v>3566</v>
      </c>
      <c r="F544" t="s">
        <v>1781</v>
      </c>
      <c r="J544">
        <v>1</v>
      </c>
      <c r="K544">
        <v>1</v>
      </c>
      <c r="L544">
        <v>1</v>
      </c>
      <c r="M544" t="s">
        <v>3466</v>
      </c>
    </row>
    <row r="545" spans="1:13" x14ac:dyDescent="0.25">
      <c r="A545" t="s">
        <v>1548</v>
      </c>
      <c r="B545" t="s">
        <v>1549</v>
      </c>
      <c r="C545" t="s">
        <v>1550</v>
      </c>
      <c r="D545" t="s">
        <v>2339</v>
      </c>
      <c r="E545" t="s">
        <v>104</v>
      </c>
      <c r="F545" t="s">
        <v>104</v>
      </c>
      <c r="J545">
        <v>1</v>
      </c>
      <c r="K545">
        <v>1</v>
      </c>
      <c r="L545">
        <v>0</v>
      </c>
      <c r="M545" t="s">
        <v>3467</v>
      </c>
    </row>
    <row r="546" spans="1:13" x14ac:dyDescent="0.25">
      <c r="A546" t="s">
        <v>1551</v>
      </c>
      <c r="B546" t="s">
        <v>1552</v>
      </c>
      <c r="C546" t="s">
        <v>1553</v>
      </c>
      <c r="D546" t="s">
        <v>2340</v>
      </c>
      <c r="E546" t="s">
        <v>104</v>
      </c>
      <c r="I546" t="s">
        <v>290</v>
      </c>
      <c r="J546">
        <v>1</v>
      </c>
      <c r="K546">
        <v>1</v>
      </c>
      <c r="L546">
        <v>0</v>
      </c>
      <c r="M546" t="s">
        <v>3468</v>
      </c>
    </row>
    <row r="547" spans="1:13" x14ac:dyDescent="0.25">
      <c r="A547" t="s">
        <v>1554</v>
      </c>
      <c r="B547" t="s">
        <v>1555</v>
      </c>
      <c r="C547" t="s">
        <v>1556</v>
      </c>
      <c r="D547" t="s">
        <v>2341</v>
      </c>
      <c r="E547" t="s">
        <v>104</v>
      </c>
      <c r="J547">
        <v>1</v>
      </c>
      <c r="K547">
        <v>1</v>
      </c>
      <c r="L547">
        <v>0</v>
      </c>
      <c r="M547" t="s">
        <v>3469</v>
      </c>
    </row>
    <row r="548" spans="1:13" x14ac:dyDescent="0.25">
      <c r="A548" t="s">
        <v>2888</v>
      </c>
      <c r="B548" t="s">
        <v>1557</v>
      </c>
      <c r="C548" t="s">
        <v>1558</v>
      </c>
      <c r="D548" t="s">
        <v>2342</v>
      </c>
      <c r="E548" t="s">
        <v>89</v>
      </c>
      <c r="F548" t="s">
        <v>1788</v>
      </c>
      <c r="I548" t="s">
        <v>8</v>
      </c>
      <c r="J548">
        <v>1</v>
      </c>
      <c r="K548">
        <v>1</v>
      </c>
      <c r="L548">
        <v>0</v>
      </c>
      <c r="M548" t="s">
        <v>3470</v>
      </c>
    </row>
    <row r="549" spans="1:13" x14ac:dyDescent="0.25">
      <c r="A549" t="s">
        <v>1559</v>
      </c>
      <c r="B549" t="s">
        <v>1560</v>
      </c>
      <c r="C549" t="s">
        <v>1561</v>
      </c>
      <c r="D549" t="s">
        <v>2343</v>
      </c>
      <c r="E549" t="s">
        <v>111</v>
      </c>
      <c r="J549">
        <v>1</v>
      </c>
      <c r="M549" t="s">
        <v>3471</v>
      </c>
    </row>
    <row r="550" spans="1:13" x14ac:dyDescent="0.25">
      <c r="A550" t="s">
        <v>1562</v>
      </c>
      <c r="B550" t="s">
        <v>1563</v>
      </c>
      <c r="C550" t="s">
        <v>1564</v>
      </c>
      <c r="D550" t="s">
        <v>2344</v>
      </c>
      <c r="E550" t="s">
        <v>21</v>
      </c>
      <c r="F550" t="s">
        <v>21</v>
      </c>
      <c r="J550">
        <v>1</v>
      </c>
      <c r="M550" t="s">
        <v>3472</v>
      </c>
    </row>
    <row r="551" spans="1:13" x14ac:dyDescent="0.25">
      <c r="A551" t="s">
        <v>343</v>
      </c>
      <c r="B551" t="s">
        <v>1565</v>
      </c>
      <c r="C551" t="s">
        <v>1566</v>
      </c>
      <c r="D551" t="s">
        <v>2345</v>
      </c>
      <c r="E551" t="s">
        <v>104</v>
      </c>
      <c r="F551" t="s">
        <v>1935</v>
      </c>
      <c r="J551">
        <v>1</v>
      </c>
      <c r="K551">
        <v>1</v>
      </c>
      <c r="L551">
        <v>0</v>
      </c>
      <c r="M551" t="s">
        <v>3473</v>
      </c>
    </row>
    <row r="552" spans="1:13" x14ac:dyDescent="0.25">
      <c r="A552" t="s">
        <v>1567</v>
      </c>
      <c r="B552" t="s">
        <v>1568</v>
      </c>
      <c r="C552" t="s">
        <v>1569</v>
      </c>
      <c r="D552" t="s">
        <v>2346</v>
      </c>
      <c r="E552" t="s">
        <v>21</v>
      </c>
      <c r="F552" t="s">
        <v>1962</v>
      </c>
      <c r="J552">
        <v>1</v>
      </c>
      <c r="K552">
        <v>1</v>
      </c>
      <c r="L552">
        <v>0</v>
      </c>
      <c r="M552" t="s">
        <v>3474</v>
      </c>
    </row>
    <row r="553" spans="1:13" x14ac:dyDescent="0.25">
      <c r="A553" t="s">
        <v>1570</v>
      </c>
      <c r="B553" t="s">
        <v>1571</v>
      </c>
      <c r="C553" t="s">
        <v>1572</v>
      </c>
      <c r="D553" t="s">
        <v>2347</v>
      </c>
      <c r="E553" t="s">
        <v>111</v>
      </c>
      <c r="F553" t="s">
        <v>656</v>
      </c>
      <c r="J553">
        <v>1</v>
      </c>
      <c r="K553">
        <v>1</v>
      </c>
      <c r="L553">
        <v>0</v>
      </c>
      <c r="M553" t="s">
        <v>3475</v>
      </c>
    </row>
    <row r="554" spans="1:13" x14ac:dyDescent="0.25">
      <c r="A554" t="s">
        <v>1573</v>
      </c>
      <c r="B554" t="s">
        <v>1574</v>
      </c>
      <c r="C554" t="s">
        <v>1575</v>
      </c>
      <c r="D554" t="s">
        <v>2348</v>
      </c>
      <c r="E554" t="s">
        <v>38</v>
      </c>
      <c r="F554" t="s">
        <v>38</v>
      </c>
      <c r="I554" t="s">
        <v>22</v>
      </c>
      <c r="J554">
        <v>1</v>
      </c>
      <c r="K554">
        <v>1</v>
      </c>
      <c r="L554">
        <v>0</v>
      </c>
      <c r="M554" t="s">
        <v>3476</v>
      </c>
    </row>
    <row r="555" spans="1:13" x14ac:dyDescent="0.25">
      <c r="A555" t="s">
        <v>2889</v>
      </c>
      <c r="B555" t="s">
        <v>1576</v>
      </c>
      <c r="C555" t="s">
        <v>1577</v>
      </c>
      <c r="D555" t="s">
        <v>2349</v>
      </c>
      <c r="E555" t="s">
        <v>3566</v>
      </c>
      <c r="F555" t="s">
        <v>1781</v>
      </c>
      <c r="J555">
        <v>1</v>
      </c>
      <c r="K555">
        <v>1</v>
      </c>
      <c r="L555">
        <v>1</v>
      </c>
      <c r="M555" t="s">
        <v>3477</v>
      </c>
    </row>
    <row r="556" spans="1:13" x14ac:dyDescent="0.25">
      <c r="A556" t="s">
        <v>1578</v>
      </c>
      <c r="B556" t="s">
        <v>1579</v>
      </c>
      <c r="C556" t="s">
        <v>1580</v>
      </c>
      <c r="D556" t="s">
        <v>2350</v>
      </c>
      <c r="E556" t="s">
        <v>3566</v>
      </c>
      <c r="F556" t="s">
        <v>1809</v>
      </c>
      <c r="J556">
        <v>1</v>
      </c>
      <c r="K556">
        <v>1</v>
      </c>
      <c r="L556">
        <v>1</v>
      </c>
      <c r="M556" t="s">
        <v>3478</v>
      </c>
    </row>
    <row r="557" spans="1:13" x14ac:dyDescent="0.25">
      <c r="A557" t="s">
        <v>1581</v>
      </c>
      <c r="B557" t="s">
        <v>1582</v>
      </c>
      <c r="C557" t="s">
        <v>1583</v>
      </c>
      <c r="D557" t="s">
        <v>2351</v>
      </c>
      <c r="E557" t="s">
        <v>3566</v>
      </c>
      <c r="F557" t="s">
        <v>1804</v>
      </c>
      <c r="J557">
        <v>1</v>
      </c>
      <c r="K557">
        <v>1</v>
      </c>
      <c r="L557">
        <v>0</v>
      </c>
      <c r="M557" t="s">
        <v>3479</v>
      </c>
    </row>
    <row r="558" spans="1:13" x14ac:dyDescent="0.25">
      <c r="A558" t="s">
        <v>1584</v>
      </c>
      <c r="B558" t="s">
        <v>1585</v>
      </c>
      <c r="C558" t="s">
        <v>1586</v>
      </c>
      <c r="D558" t="s">
        <v>2352</v>
      </c>
      <c r="E558" t="s">
        <v>38</v>
      </c>
      <c r="F558" t="s">
        <v>38</v>
      </c>
      <c r="I558" t="s">
        <v>22</v>
      </c>
      <c r="J558">
        <v>1</v>
      </c>
      <c r="K558">
        <v>1</v>
      </c>
      <c r="L558">
        <v>0</v>
      </c>
      <c r="M558" t="s">
        <v>3480</v>
      </c>
    </row>
    <row r="559" spans="1:13" x14ac:dyDescent="0.25">
      <c r="A559" t="s">
        <v>1587</v>
      </c>
      <c r="B559" t="s">
        <v>1588</v>
      </c>
      <c r="C559" t="s">
        <v>1589</v>
      </c>
      <c r="D559" t="s">
        <v>2353</v>
      </c>
      <c r="E559" t="s">
        <v>38</v>
      </c>
      <c r="F559" t="s">
        <v>38</v>
      </c>
      <c r="I559" t="s">
        <v>22</v>
      </c>
      <c r="J559">
        <v>1</v>
      </c>
      <c r="K559">
        <v>1</v>
      </c>
      <c r="L559">
        <v>0</v>
      </c>
      <c r="M559" t="s">
        <v>3481</v>
      </c>
    </row>
    <row r="560" spans="1:13" x14ac:dyDescent="0.25">
      <c r="A560" t="s">
        <v>1590</v>
      </c>
      <c r="B560" t="s">
        <v>1591</v>
      </c>
      <c r="C560" t="s">
        <v>1592</v>
      </c>
      <c r="D560" t="s">
        <v>2354</v>
      </c>
      <c r="E560" t="s">
        <v>38</v>
      </c>
      <c r="F560" t="s">
        <v>38</v>
      </c>
      <c r="I560" t="s">
        <v>22</v>
      </c>
      <c r="J560">
        <v>1</v>
      </c>
      <c r="K560">
        <v>1</v>
      </c>
      <c r="L560">
        <v>0</v>
      </c>
      <c r="M560" t="s">
        <v>3482</v>
      </c>
    </row>
    <row r="561" spans="1:13" x14ac:dyDescent="0.25">
      <c r="A561" t="s">
        <v>1593</v>
      </c>
      <c r="B561" t="s">
        <v>1594</v>
      </c>
      <c r="C561" t="s">
        <v>1595</v>
      </c>
      <c r="D561" t="s">
        <v>2355</v>
      </c>
      <c r="E561" t="s">
        <v>104</v>
      </c>
      <c r="F561" t="s">
        <v>104</v>
      </c>
      <c r="J561">
        <v>1</v>
      </c>
      <c r="K561">
        <v>1</v>
      </c>
      <c r="L561">
        <v>0</v>
      </c>
      <c r="M561" t="s">
        <v>3483</v>
      </c>
    </row>
    <row r="562" spans="1:13" x14ac:dyDescent="0.25">
      <c r="A562" t="s">
        <v>1596</v>
      </c>
      <c r="B562" t="s">
        <v>1597</v>
      </c>
      <c r="C562" t="s">
        <v>1598</v>
      </c>
      <c r="D562" t="s">
        <v>2356</v>
      </c>
      <c r="E562" t="s">
        <v>3566</v>
      </c>
      <c r="F562" t="s">
        <v>2357</v>
      </c>
      <c r="J562">
        <v>1</v>
      </c>
      <c r="L562">
        <v>1</v>
      </c>
      <c r="M562" t="s">
        <v>3484</v>
      </c>
    </row>
    <row r="563" spans="1:13" x14ac:dyDescent="0.25">
      <c r="A563" t="s">
        <v>1599</v>
      </c>
      <c r="B563" t="s">
        <v>1600</v>
      </c>
      <c r="C563" t="s">
        <v>1601</v>
      </c>
      <c r="D563" t="s">
        <v>2358</v>
      </c>
      <c r="E563" t="s">
        <v>3566</v>
      </c>
      <c r="F563" t="s">
        <v>2357</v>
      </c>
      <c r="J563">
        <v>1</v>
      </c>
      <c r="L563">
        <v>1</v>
      </c>
      <c r="M563" t="s">
        <v>3485</v>
      </c>
    </row>
    <row r="564" spans="1:13" x14ac:dyDescent="0.25">
      <c r="A564" t="s">
        <v>1602</v>
      </c>
      <c r="B564" t="s">
        <v>1603</v>
      </c>
      <c r="C564" t="s">
        <v>1604</v>
      </c>
      <c r="D564" t="s">
        <v>2359</v>
      </c>
      <c r="E564" t="s">
        <v>3566</v>
      </c>
      <c r="F564" t="s">
        <v>2357</v>
      </c>
      <c r="J564">
        <v>1</v>
      </c>
      <c r="L564">
        <v>1</v>
      </c>
      <c r="M564" t="s">
        <v>3486</v>
      </c>
    </row>
    <row r="565" spans="1:13" x14ac:dyDescent="0.25">
      <c r="A565" t="s">
        <v>1605</v>
      </c>
      <c r="B565" t="s">
        <v>1606</v>
      </c>
      <c r="C565" t="s">
        <v>1607</v>
      </c>
      <c r="D565" t="s">
        <v>2360</v>
      </c>
      <c r="E565" t="s">
        <v>3566</v>
      </c>
      <c r="F565" t="s">
        <v>2357</v>
      </c>
      <c r="J565">
        <v>1</v>
      </c>
      <c r="L565">
        <v>1</v>
      </c>
      <c r="M565" t="s">
        <v>3487</v>
      </c>
    </row>
    <row r="566" spans="1:13" x14ac:dyDescent="0.25">
      <c r="A566" t="s">
        <v>1608</v>
      </c>
      <c r="B566" t="s">
        <v>1609</v>
      </c>
      <c r="C566" t="s">
        <v>1610</v>
      </c>
      <c r="D566" t="s">
        <v>2361</v>
      </c>
      <c r="E566" t="s">
        <v>3566</v>
      </c>
      <c r="F566" t="s">
        <v>2357</v>
      </c>
      <c r="J566">
        <v>1</v>
      </c>
      <c r="L566">
        <v>1</v>
      </c>
      <c r="M566" t="s">
        <v>3488</v>
      </c>
    </row>
    <row r="567" spans="1:13" x14ac:dyDescent="0.25">
      <c r="A567" t="s">
        <v>1611</v>
      </c>
      <c r="B567" t="s">
        <v>1612</v>
      </c>
      <c r="C567" t="s">
        <v>1613</v>
      </c>
      <c r="D567" t="s">
        <v>2362</v>
      </c>
      <c r="E567" t="s">
        <v>3566</v>
      </c>
      <c r="F567" t="s">
        <v>1783</v>
      </c>
      <c r="J567">
        <v>1</v>
      </c>
      <c r="L567">
        <v>1</v>
      </c>
      <c r="M567" t="s">
        <v>3489</v>
      </c>
    </row>
    <row r="568" spans="1:13" x14ac:dyDescent="0.25">
      <c r="A568" t="s">
        <v>1614</v>
      </c>
      <c r="B568" t="s">
        <v>1615</v>
      </c>
      <c r="C568" t="s">
        <v>1616</v>
      </c>
      <c r="D568" t="s">
        <v>2363</v>
      </c>
      <c r="E568" t="s">
        <v>3566</v>
      </c>
      <c r="F568" t="s">
        <v>2357</v>
      </c>
      <c r="J568">
        <v>1</v>
      </c>
      <c r="L568">
        <v>1</v>
      </c>
      <c r="M568" t="s">
        <v>3490</v>
      </c>
    </row>
    <row r="569" spans="1:13" x14ac:dyDescent="0.25">
      <c r="A569" t="s">
        <v>1617</v>
      </c>
      <c r="B569" t="s">
        <v>1618</v>
      </c>
      <c r="C569" t="s">
        <v>1619</v>
      </c>
      <c r="D569" t="s">
        <v>2364</v>
      </c>
      <c r="E569" t="s">
        <v>3566</v>
      </c>
      <c r="F569" t="s">
        <v>2357</v>
      </c>
      <c r="J569">
        <v>1</v>
      </c>
      <c r="L569">
        <v>1</v>
      </c>
      <c r="M569" t="s">
        <v>3491</v>
      </c>
    </row>
    <row r="570" spans="1:13" x14ac:dyDescent="0.25">
      <c r="A570" t="s">
        <v>1620</v>
      </c>
      <c r="B570" t="s">
        <v>1621</v>
      </c>
      <c r="C570" t="s">
        <v>1622</v>
      </c>
      <c r="D570" t="s">
        <v>2365</v>
      </c>
      <c r="E570" t="s">
        <v>3566</v>
      </c>
      <c r="F570" t="s">
        <v>1783</v>
      </c>
      <c r="J570">
        <v>1</v>
      </c>
      <c r="L570">
        <v>1</v>
      </c>
      <c r="M570" t="s">
        <v>3492</v>
      </c>
    </row>
    <row r="571" spans="1:13" x14ac:dyDescent="0.25">
      <c r="A571" t="s">
        <v>1623</v>
      </c>
      <c r="B571" t="s">
        <v>1624</v>
      </c>
      <c r="C571" t="s">
        <v>1625</v>
      </c>
      <c r="D571" t="s">
        <v>2366</v>
      </c>
      <c r="E571" t="s">
        <v>3566</v>
      </c>
      <c r="F571" t="s">
        <v>1783</v>
      </c>
      <c r="J571">
        <v>1</v>
      </c>
      <c r="K571">
        <v>1</v>
      </c>
      <c r="L571">
        <v>1</v>
      </c>
      <c r="M571" t="s">
        <v>3493</v>
      </c>
    </row>
    <row r="572" spans="1:13" x14ac:dyDescent="0.25">
      <c r="A572" t="s">
        <v>1626</v>
      </c>
      <c r="B572" t="s">
        <v>1627</v>
      </c>
      <c r="C572" t="s">
        <v>1628</v>
      </c>
      <c r="D572" t="s">
        <v>2367</v>
      </c>
      <c r="E572" t="s">
        <v>3566</v>
      </c>
      <c r="F572" t="s">
        <v>2357</v>
      </c>
      <c r="J572">
        <v>1</v>
      </c>
      <c r="L572">
        <v>1</v>
      </c>
      <c r="M572" t="s">
        <v>3494</v>
      </c>
    </row>
    <row r="573" spans="1:13" x14ac:dyDescent="0.25">
      <c r="A573" t="s">
        <v>1629</v>
      </c>
      <c r="B573" t="s">
        <v>1630</v>
      </c>
      <c r="C573" t="s">
        <v>1631</v>
      </c>
      <c r="D573" t="s">
        <v>2368</v>
      </c>
      <c r="E573" t="s">
        <v>3566</v>
      </c>
      <c r="F573" t="s">
        <v>2357</v>
      </c>
      <c r="J573">
        <v>1</v>
      </c>
      <c r="L573">
        <v>1</v>
      </c>
      <c r="M573" t="s">
        <v>3495</v>
      </c>
    </row>
    <row r="574" spans="1:13" x14ac:dyDescent="0.25">
      <c r="A574" t="s">
        <v>1632</v>
      </c>
      <c r="B574" t="s">
        <v>1633</v>
      </c>
      <c r="C574" t="s">
        <v>1634</v>
      </c>
      <c r="D574" t="s">
        <v>2369</v>
      </c>
      <c r="E574" t="s">
        <v>3566</v>
      </c>
      <c r="F574" t="s">
        <v>1783</v>
      </c>
      <c r="J574">
        <v>1</v>
      </c>
      <c r="L574">
        <v>1</v>
      </c>
      <c r="M574" t="s">
        <v>3496</v>
      </c>
    </row>
    <row r="575" spans="1:13" x14ac:dyDescent="0.25">
      <c r="A575" t="s">
        <v>1635</v>
      </c>
      <c r="B575" t="s">
        <v>1636</v>
      </c>
      <c r="C575" t="s">
        <v>1637</v>
      </c>
      <c r="D575" t="s">
        <v>2370</v>
      </c>
      <c r="E575" t="s">
        <v>3566</v>
      </c>
      <c r="F575" t="s">
        <v>1783</v>
      </c>
      <c r="J575">
        <v>1</v>
      </c>
      <c r="L575">
        <v>1</v>
      </c>
      <c r="M575" t="s">
        <v>3497</v>
      </c>
    </row>
    <row r="576" spans="1:13" x14ac:dyDescent="0.25">
      <c r="A576" t="s">
        <v>1638</v>
      </c>
      <c r="B576" t="s">
        <v>1639</v>
      </c>
      <c r="C576" t="s">
        <v>1640</v>
      </c>
      <c r="D576" t="s">
        <v>2371</v>
      </c>
      <c r="E576" t="s">
        <v>3566</v>
      </c>
      <c r="F576" t="s">
        <v>2357</v>
      </c>
      <c r="J576">
        <v>1</v>
      </c>
      <c r="K576">
        <v>1</v>
      </c>
      <c r="L576">
        <v>1</v>
      </c>
      <c r="M576" t="s">
        <v>3498</v>
      </c>
    </row>
    <row r="577" spans="1:13" x14ac:dyDescent="0.25">
      <c r="A577" t="s">
        <v>1641</v>
      </c>
      <c r="B577" t="s">
        <v>1642</v>
      </c>
      <c r="C577" t="s">
        <v>1643</v>
      </c>
      <c r="D577" t="s">
        <v>2372</v>
      </c>
      <c r="E577" t="s">
        <v>3566</v>
      </c>
      <c r="F577" t="s">
        <v>1783</v>
      </c>
      <c r="J577">
        <v>1</v>
      </c>
      <c r="L577">
        <v>1</v>
      </c>
      <c r="M577" t="s">
        <v>3499</v>
      </c>
    </row>
    <row r="578" spans="1:13" x14ac:dyDescent="0.25">
      <c r="A578" t="s">
        <v>1644</v>
      </c>
      <c r="B578" t="s">
        <v>1645</v>
      </c>
      <c r="C578" t="s">
        <v>1646</v>
      </c>
      <c r="D578" t="s">
        <v>2373</v>
      </c>
      <c r="E578" t="s">
        <v>3566</v>
      </c>
      <c r="F578" t="s">
        <v>2357</v>
      </c>
      <c r="J578">
        <v>1</v>
      </c>
      <c r="L578">
        <v>1</v>
      </c>
      <c r="M578" t="s">
        <v>3500</v>
      </c>
    </row>
    <row r="579" spans="1:13" x14ac:dyDescent="0.25">
      <c r="A579" t="s">
        <v>1647</v>
      </c>
      <c r="B579" t="s">
        <v>1648</v>
      </c>
      <c r="C579" t="s">
        <v>1649</v>
      </c>
      <c r="D579" t="s">
        <v>2374</v>
      </c>
      <c r="E579" t="s">
        <v>3566</v>
      </c>
      <c r="F579" t="s">
        <v>1804</v>
      </c>
      <c r="J579">
        <v>1</v>
      </c>
      <c r="K579">
        <v>1</v>
      </c>
      <c r="L579">
        <v>0</v>
      </c>
      <c r="M579" t="s">
        <v>3501</v>
      </c>
    </row>
    <row r="580" spans="1:13" x14ac:dyDescent="0.25">
      <c r="A580" t="s">
        <v>1650</v>
      </c>
      <c r="B580" t="s">
        <v>1651</v>
      </c>
      <c r="C580" t="s">
        <v>1652</v>
      </c>
      <c r="D580" t="s">
        <v>2375</v>
      </c>
      <c r="E580" t="s">
        <v>3566</v>
      </c>
      <c r="F580" t="s">
        <v>1814</v>
      </c>
      <c r="J580">
        <v>1</v>
      </c>
      <c r="K580">
        <v>1</v>
      </c>
      <c r="L580">
        <v>1</v>
      </c>
      <c r="M580" t="s">
        <v>3502</v>
      </c>
    </row>
    <row r="581" spans="1:13" x14ac:dyDescent="0.25">
      <c r="A581" t="s">
        <v>1653</v>
      </c>
      <c r="B581" t="s">
        <v>1654</v>
      </c>
      <c r="C581" t="s">
        <v>1655</v>
      </c>
      <c r="D581" t="s">
        <v>2376</v>
      </c>
      <c r="E581" t="s">
        <v>3566</v>
      </c>
      <c r="F581" t="s">
        <v>1817</v>
      </c>
      <c r="G581" t="s">
        <v>1818</v>
      </c>
      <c r="J581">
        <v>1</v>
      </c>
      <c r="K581">
        <v>1</v>
      </c>
      <c r="L581">
        <v>1</v>
      </c>
      <c r="M581" t="s">
        <v>3503</v>
      </c>
    </row>
    <row r="582" spans="1:13" x14ac:dyDescent="0.25">
      <c r="A582" t="s">
        <v>1656</v>
      </c>
      <c r="B582" t="s">
        <v>1657</v>
      </c>
      <c r="C582" t="s">
        <v>1658</v>
      </c>
      <c r="D582" t="s">
        <v>2377</v>
      </c>
      <c r="E582" t="s">
        <v>111</v>
      </c>
      <c r="J582">
        <v>1</v>
      </c>
      <c r="K582">
        <v>1</v>
      </c>
      <c r="L582">
        <v>0</v>
      </c>
      <c r="M582" t="s">
        <v>3504</v>
      </c>
    </row>
    <row r="583" spans="1:13" x14ac:dyDescent="0.25">
      <c r="A583" t="s">
        <v>1659</v>
      </c>
      <c r="B583" t="s">
        <v>1660</v>
      </c>
      <c r="C583" t="s">
        <v>1661</v>
      </c>
      <c r="D583" t="s">
        <v>2378</v>
      </c>
      <c r="E583" t="s">
        <v>104</v>
      </c>
      <c r="F583" t="s">
        <v>104</v>
      </c>
      <c r="J583">
        <v>1</v>
      </c>
      <c r="K583">
        <v>1</v>
      </c>
      <c r="L583">
        <v>0</v>
      </c>
      <c r="M583" t="s">
        <v>3505</v>
      </c>
    </row>
    <row r="584" spans="1:13" x14ac:dyDescent="0.25">
      <c r="A584" t="s">
        <v>1662</v>
      </c>
      <c r="B584" t="s">
        <v>1663</v>
      </c>
      <c r="C584" t="s">
        <v>1664</v>
      </c>
      <c r="D584" t="s">
        <v>2379</v>
      </c>
      <c r="E584" t="s">
        <v>104</v>
      </c>
      <c r="J584">
        <v>1</v>
      </c>
      <c r="K584">
        <v>1</v>
      </c>
      <c r="L584">
        <v>0</v>
      </c>
      <c r="M584" t="s">
        <v>3506</v>
      </c>
    </row>
    <row r="585" spans="1:13" x14ac:dyDescent="0.25">
      <c r="A585" t="s">
        <v>1665</v>
      </c>
      <c r="B585" t="s">
        <v>1666</v>
      </c>
      <c r="C585" t="s">
        <v>1667</v>
      </c>
      <c r="D585" t="s">
        <v>2380</v>
      </c>
      <c r="E585" t="s">
        <v>104</v>
      </c>
      <c r="J585">
        <v>1</v>
      </c>
      <c r="K585">
        <v>1</v>
      </c>
      <c r="L585">
        <v>0</v>
      </c>
      <c r="M585" t="s">
        <v>3507</v>
      </c>
    </row>
    <row r="586" spans="1:13" x14ac:dyDescent="0.25">
      <c r="A586" t="s">
        <v>1668</v>
      </c>
      <c r="B586" t="s">
        <v>1669</v>
      </c>
      <c r="C586" t="s">
        <v>1670</v>
      </c>
      <c r="D586" t="s">
        <v>2381</v>
      </c>
      <c r="E586" t="s">
        <v>104</v>
      </c>
      <c r="F586" t="s">
        <v>104</v>
      </c>
      <c r="J586">
        <v>1</v>
      </c>
      <c r="K586">
        <v>1</v>
      </c>
      <c r="L586">
        <v>0</v>
      </c>
      <c r="M586" t="s">
        <v>3508</v>
      </c>
    </row>
    <row r="587" spans="1:13" x14ac:dyDescent="0.25">
      <c r="A587" t="s">
        <v>1671</v>
      </c>
      <c r="B587" t="s">
        <v>1672</v>
      </c>
      <c r="C587" t="s">
        <v>1673</v>
      </c>
      <c r="D587" t="s">
        <v>2382</v>
      </c>
      <c r="E587" t="s">
        <v>104</v>
      </c>
      <c r="J587">
        <v>1</v>
      </c>
      <c r="K587">
        <v>1</v>
      </c>
      <c r="L587">
        <v>0</v>
      </c>
      <c r="M587" t="s">
        <v>3509</v>
      </c>
    </row>
    <row r="588" spans="1:13" x14ac:dyDescent="0.25">
      <c r="A588" t="s">
        <v>1674</v>
      </c>
      <c r="B588" t="s">
        <v>1675</v>
      </c>
      <c r="C588" t="s">
        <v>1676</v>
      </c>
      <c r="D588" t="s">
        <v>2383</v>
      </c>
      <c r="E588" t="s">
        <v>104</v>
      </c>
      <c r="J588">
        <v>1</v>
      </c>
      <c r="K588">
        <v>1</v>
      </c>
      <c r="L588">
        <v>0</v>
      </c>
      <c r="M588" t="s">
        <v>3510</v>
      </c>
    </row>
    <row r="589" spans="1:13" x14ac:dyDescent="0.25">
      <c r="A589" t="s">
        <v>1677</v>
      </c>
      <c r="B589" t="s">
        <v>1678</v>
      </c>
      <c r="C589" t="s">
        <v>1679</v>
      </c>
      <c r="D589" t="s">
        <v>2384</v>
      </c>
      <c r="E589" t="s">
        <v>21</v>
      </c>
      <c r="F589" t="s">
        <v>2106</v>
      </c>
      <c r="J589">
        <v>1</v>
      </c>
      <c r="K589">
        <v>1</v>
      </c>
      <c r="L589">
        <v>0</v>
      </c>
      <c r="M589" t="s">
        <v>3511</v>
      </c>
    </row>
    <row r="590" spans="1:13" x14ac:dyDescent="0.25">
      <c r="A590" t="s">
        <v>1680</v>
      </c>
      <c r="B590" t="s">
        <v>1681</v>
      </c>
      <c r="C590" t="s">
        <v>1682</v>
      </c>
      <c r="D590" t="s">
        <v>2385</v>
      </c>
      <c r="E590" t="s">
        <v>3566</v>
      </c>
      <c r="J590">
        <v>1</v>
      </c>
      <c r="M590" t="s">
        <v>3512</v>
      </c>
    </row>
    <row r="591" spans="1:13" x14ac:dyDescent="0.25">
      <c r="A591" t="s">
        <v>1683</v>
      </c>
      <c r="B591" t="s">
        <v>1684</v>
      </c>
      <c r="C591" t="s">
        <v>1685</v>
      </c>
      <c r="D591" t="s">
        <v>2386</v>
      </c>
      <c r="E591" t="s">
        <v>3566</v>
      </c>
      <c r="F591" t="s">
        <v>1781</v>
      </c>
      <c r="J591">
        <v>1</v>
      </c>
      <c r="K591">
        <v>1</v>
      </c>
      <c r="L591">
        <v>0</v>
      </c>
      <c r="M591" t="s">
        <v>3513</v>
      </c>
    </row>
    <row r="592" spans="1:13" x14ac:dyDescent="0.25">
      <c r="A592" t="s">
        <v>1686</v>
      </c>
      <c r="B592" t="s">
        <v>1687</v>
      </c>
      <c r="C592" t="s">
        <v>1688</v>
      </c>
      <c r="D592" t="s">
        <v>2387</v>
      </c>
      <c r="E592" t="s">
        <v>3566</v>
      </c>
      <c r="J592">
        <v>1</v>
      </c>
      <c r="K592">
        <v>1</v>
      </c>
      <c r="L592">
        <v>0</v>
      </c>
      <c r="M592" t="s">
        <v>3514</v>
      </c>
    </row>
    <row r="593" spans="1:13" x14ac:dyDescent="0.25">
      <c r="A593" t="s">
        <v>1689</v>
      </c>
      <c r="B593" t="s">
        <v>1690</v>
      </c>
      <c r="C593" t="s">
        <v>1691</v>
      </c>
      <c r="D593" t="s">
        <v>2388</v>
      </c>
      <c r="E593" t="s">
        <v>111</v>
      </c>
      <c r="J593">
        <v>1</v>
      </c>
      <c r="K593">
        <v>1</v>
      </c>
      <c r="L593">
        <v>0</v>
      </c>
      <c r="M593" t="s">
        <v>3515</v>
      </c>
    </row>
    <row r="594" spans="1:13" x14ac:dyDescent="0.25">
      <c r="A594" t="s">
        <v>1692</v>
      </c>
      <c r="B594" t="s">
        <v>1693</v>
      </c>
      <c r="C594" t="s">
        <v>1694</v>
      </c>
      <c r="D594" t="s">
        <v>2389</v>
      </c>
      <c r="E594" t="s">
        <v>111</v>
      </c>
      <c r="J594">
        <v>1</v>
      </c>
      <c r="M594" t="s">
        <v>3516</v>
      </c>
    </row>
    <row r="595" spans="1:13" x14ac:dyDescent="0.25">
      <c r="A595" t="s">
        <v>1695</v>
      </c>
      <c r="B595" t="s">
        <v>1696</v>
      </c>
      <c r="C595" t="s">
        <v>1697</v>
      </c>
      <c r="D595" t="s">
        <v>2390</v>
      </c>
      <c r="E595" t="s">
        <v>3566</v>
      </c>
      <c r="J595">
        <v>1</v>
      </c>
      <c r="M595" t="s">
        <v>3517</v>
      </c>
    </row>
    <row r="596" spans="1:13" x14ac:dyDescent="0.25">
      <c r="A596" t="s">
        <v>1698</v>
      </c>
      <c r="B596" t="s">
        <v>1699</v>
      </c>
      <c r="C596" t="s">
        <v>1700</v>
      </c>
      <c r="D596" t="s">
        <v>2391</v>
      </c>
      <c r="E596" t="s">
        <v>111</v>
      </c>
      <c r="J596">
        <v>1</v>
      </c>
      <c r="M596" t="s">
        <v>3518</v>
      </c>
    </row>
    <row r="597" spans="1:13" x14ac:dyDescent="0.25">
      <c r="A597" t="s">
        <v>1701</v>
      </c>
      <c r="B597" t="s">
        <v>1702</v>
      </c>
      <c r="C597" t="s">
        <v>1703</v>
      </c>
      <c r="D597" t="s">
        <v>2392</v>
      </c>
      <c r="E597" t="s">
        <v>3566</v>
      </c>
      <c r="J597">
        <v>1</v>
      </c>
      <c r="M597" t="s">
        <v>3519</v>
      </c>
    </row>
    <row r="598" spans="1:13" x14ac:dyDescent="0.25">
      <c r="A598" t="s">
        <v>1704</v>
      </c>
      <c r="B598" t="s">
        <v>1705</v>
      </c>
      <c r="C598" t="s">
        <v>1706</v>
      </c>
      <c r="D598" t="s">
        <v>2393</v>
      </c>
      <c r="E598" t="s">
        <v>3566</v>
      </c>
      <c r="F598" t="s">
        <v>2106</v>
      </c>
      <c r="J598">
        <v>1</v>
      </c>
      <c r="K598">
        <v>1</v>
      </c>
      <c r="L598">
        <v>0</v>
      </c>
      <c r="M598" t="s">
        <v>3520</v>
      </c>
    </row>
    <row r="599" spans="1:13" x14ac:dyDescent="0.25">
      <c r="A599" t="s">
        <v>1707</v>
      </c>
      <c r="B599" t="s">
        <v>1708</v>
      </c>
      <c r="C599" t="s">
        <v>1709</v>
      </c>
      <c r="D599" t="s">
        <v>2394</v>
      </c>
      <c r="E599" t="s">
        <v>111</v>
      </c>
      <c r="F599" t="s">
        <v>2395</v>
      </c>
      <c r="J599">
        <v>1</v>
      </c>
      <c r="K599">
        <v>1</v>
      </c>
      <c r="L599">
        <v>0</v>
      </c>
      <c r="M599" t="s">
        <v>3521</v>
      </c>
    </row>
    <row r="600" spans="1:13" x14ac:dyDescent="0.25">
      <c r="A600" t="s">
        <v>1710</v>
      </c>
      <c r="B600" t="s">
        <v>1711</v>
      </c>
      <c r="C600" t="s">
        <v>1712</v>
      </c>
      <c r="D600" t="s">
        <v>2396</v>
      </c>
      <c r="E600" t="s">
        <v>111</v>
      </c>
      <c r="F600" t="s">
        <v>2395</v>
      </c>
      <c r="J600">
        <v>1</v>
      </c>
      <c r="K600">
        <v>1</v>
      </c>
      <c r="L600">
        <v>0</v>
      </c>
      <c r="M600" t="s">
        <v>3522</v>
      </c>
    </row>
    <row r="601" spans="1:13" x14ac:dyDescent="0.25">
      <c r="A601" t="s">
        <v>1713</v>
      </c>
      <c r="B601" t="s">
        <v>1714</v>
      </c>
      <c r="C601" t="s">
        <v>1715</v>
      </c>
      <c r="D601" t="s">
        <v>2397</v>
      </c>
      <c r="E601" t="s">
        <v>111</v>
      </c>
      <c r="F601" t="s">
        <v>2395</v>
      </c>
      <c r="J601">
        <v>1</v>
      </c>
      <c r="K601">
        <v>1</v>
      </c>
      <c r="L601">
        <v>0</v>
      </c>
      <c r="M601" t="s">
        <v>3523</v>
      </c>
    </row>
    <row r="602" spans="1:13" x14ac:dyDescent="0.25">
      <c r="A602" t="s">
        <v>2890</v>
      </c>
      <c r="B602" t="s">
        <v>1716</v>
      </c>
      <c r="C602" t="s">
        <v>1717</v>
      </c>
      <c r="D602" t="s">
        <v>2398</v>
      </c>
      <c r="E602" t="s">
        <v>3566</v>
      </c>
      <c r="F602" t="s">
        <v>1751</v>
      </c>
      <c r="J602">
        <v>1</v>
      </c>
      <c r="K602">
        <v>1</v>
      </c>
      <c r="L602">
        <v>0</v>
      </c>
      <c r="M602" t="s">
        <v>3524</v>
      </c>
    </row>
    <row r="603" spans="1:13" x14ac:dyDescent="0.25">
      <c r="A603" t="s">
        <v>1718</v>
      </c>
      <c r="B603" t="s">
        <v>1719</v>
      </c>
      <c r="C603" t="s">
        <v>1720</v>
      </c>
      <c r="D603" t="s">
        <v>2399</v>
      </c>
      <c r="E603" t="s">
        <v>3566</v>
      </c>
      <c r="F603" t="s">
        <v>1804</v>
      </c>
      <c r="G603" t="s">
        <v>1777</v>
      </c>
      <c r="J603">
        <v>1</v>
      </c>
      <c r="K603">
        <v>1</v>
      </c>
      <c r="L603">
        <v>1</v>
      </c>
      <c r="M603" t="s">
        <v>3525</v>
      </c>
    </row>
    <row r="604" spans="1:13" x14ac:dyDescent="0.25">
      <c r="A604" t="s">
        <v>2529</v>
      </c>
      <c r="B604" t="s">
        <v>2530</v>
      </c>
      <c r="C604" t="s">
        <v>2531</v>
      </c>
      <c r="D604" t="s">
        <v>2532</v>
      </c>
      <c r="E604" t="s">
        <v>21</v>
      </c>
      <c r="F604" t="s">
        <v>2891</v>
      </c>
      <c r="J604">
        <v>1</v>
      </c>
      <c r="K604">
        <v>1</v>
      </c>
      <c r="L604">
        <v>1</v>
      </c>
      <c r="M604" t="s">
        <v>3526</v>
      </c>
    </row>
    <row r="605" spans="1:13" x14ac:dyDescent="0.25">
      <c r="A605" t="s">
        <v>2533</v>
      </c>
      <c r="B605" t="s">
        <v>2534</v>
      </c>
      <c r="C605" t="s">
        <v>2535</v>
      </c>
      <c r="D605" t="s">
        <v>2536</v>
      </c>
      <c r="E605" t="s">
        <v>3566</v>
      </c>
      <c r="F605" t="s">
        <v>38</v>
      </c>
      <c r="G605" t="s">
        <v>1777</v>
      </c>
      <c r="J605">
        <v>1</v>
      </c>
      <c r="K605">
        <v>1</v>
      </c>
      <c r="L605">
        <v>1</v>
      </c>
      <c r="M605" t="s">
        <v>3527</v>
      </c>
    </row>
    <row r="606" spans="1:13" x14ac:dyDescent="0.25">
      <c r="A606" t="s">
        <v>2892</v>
      </c>
      <c r="B606" t="s">
        <v>2537</v>
      </c>
      <c r="C606" t="s">
        <v>2538</v>
      </c>
      <c r="D606" t="s">
        <v>2539</v>
      </c>
      <c r="E606" t="s">
        <v>21</v>
      </c>
      <c r="F606" t="s">
        <v>1943</v>
      </c>
      <c r="J606">
        <v>1</v>
      </c>
      <c r="K606">
        <v>1</v>
      </c>
      <c r="L606">
        <v>0</v>
      </c>
      <c r="M606" t="s">
        <v>3528</v>
      </c>
    </row>
    <row r="607" spans="1:13" x14ac:dyDescent="0.25">
      <c r="A607" t="s">
        <v>2540</v>
      </c>
      <c r="B607" t="s">
        <v>2541</v>
      </c>
      <c r="C607" t="s">
        <v>2542</v>
      </c>
      <c r="D607" t="s">
        <v>2543</v>
      </c>
      <c r="E607" t="s">
        <v>3566</v>
      </c>
      <c r="F607" t="s">
        <v>38</v>
      </c>
      <c r="G607" t="s">
        <v>1777</v>
      </c>
      <c r="J607">
        <v>1</v>
      </c>
      <c r="K607">
        <v>1</v>
      </c>
      <c r="L607">
        <v>1</v>
      </c>
      <c r="M607" t="s">
        <v>3529</v>
      </c>
    </row>
    <row r="608" spans="1:13" x14ac:dyDescent="0.25">
      <c r="A608" t="s">
        <v>2544</v>
      </c>
      <c r="B608" t="s">
        <v>2545</v>
      </c>
      <c r="C608" t="s">
        <v>2546</v>
      </c>
      <c r="D608" t="s">
        <v>2547</v>
      </c>
      <c r="E608" t="s">
        <v>3566</v>
      </c>
      <c r="F608" t="s">
        <v>2891</v>
      </c>
      <c r="J608">
        <v>1</v>
      </c>
      <c r="K608">
        <v>1</v>
      </c>
      <c r="L608">
        <v>0</v>
      </c>
      <c r="M608" t="s">
        <v>3530</v>
      </c>
    </row>
    <row r="609" spans="1:13" x14ac:dyDescent="0.25">
      <c r="A609" t="s">
        <v>2548</v>
      </c>
      <c r="B609" t="s">
        <v>2549</v>
      </c>
      <c r="C609" t="s">
        <v>2550</v>
      </c>
      <c r="D609" t="s">
        <v>2551</v>
      </c>
      <c r="E609" t="s">
        <v>3566</v>
      </c>
      <c r="F609" t="s">
        <v>1799</v>
      </c>
      <c r="G609" t="s">
        <v>1800</v>
      </c>
      <c r="I609" t="s">
        <v>22</v>
      </c>
      <c r="J609">
        <v>1</v>
      </c>
      <c r="K609">
        <v>1</v>
      </c>
      <c r="L609">
        <v>1</v>
      </c>
      <c r="M609" t="s">
        <v>3531</v>
      </c>
    </row>
    <row r="610" spans="1:13" x14ac:dyDescent="0.25">
      <c r="A610" t="s">
        <v>2552</v>
      </c>
      <c r="B610" t="s">
        <v>2553</v>
      </c>
      <c r="C610" t="s">
        <v>2554</v>
      </c>
      <c r="D610" t="s">
        <v>2555</v>
      </c>
      <c r="E610" t="s">
        <v>3566</v>
      </c>
      <c r="F610" t="s">
        <v>38</v>
      </c>
      <c r="J610">
        <v>1</v>
      </c>
      <c r="K610">
        <v>1</v>
      </c>
      <c r="L610">
        <v>0</v>
      </c>
      <c r="M610" t="s">
        <v>3532</v>
      </c>
    </row>
    <row r="611" spans="1:13" x14ac:dyDescent="0.25">
      <c r="A611" t="s">
        <v>2556</v>
      </c>
      <c r="B611" t="s">
        <v>2557</v>
      </c>
      <c r="C611" t="s">
        <v>2558</v>
      </c>
      <c r="D611" t="s">
        <v>2559</v>
      </c>
      <c r="E611" t="s">
        <v>3566</v>
      </c>
      <c r="F611" t="s">
        <v>1770</v>
      </c>
      <c r="J611">
        <v>1</v>
      </c>
      <c r="K611">
        <v>1</v>
      </c>
      <c r="L611">
        <v>1</v>
      </c>
      <c r="M611" t="s">
        <v>3533</v>
      </c>
    </row>
    <row r="612" spans="1:13" x14ac:dyDescent="0.25">
      <c r="A612" t="s">
        <v>2560</v>
      </c>
      <c r="B612" t="s">
        <v>2561</v>
      </c>
      <c r="C612" t="s">
        <v>2562</v>
      </c>
      <c r="D612" t="s">
        <v>2563</v>
      </c>
      <c r="E612" t="s">
        <v>3566</v>
      </c>
      <c r="F612" t="s">
        <v>1770</v>
      </c>
      <c r="J612">
        <v>1</v>
      </c>
      <c r="K612">
        <v>1</v>
      </c>
      <c r="L612">
        <v>1</v>
      </c>
      <c r="M612" t="s">
        <v>3534</v>
      </c>
    </row>
    <row r="613" spans="1:13" x14ac:dyDescent="0.25">
      <c r="A613" t="s">
        <v>2564</v>
      </c>
      <c r="B613" t="s">
        <v>2565</v>
      </c>
      <c r="C613" t="s">
        <v>2566</v>
      </c>
      <c r="D613" t="s">
        <v>2567</v>
      </c>
      <c r="E613" t="s">
        <v>3566</v>
      </c>
      <c r="F613" t="s">
        <v>1770</v>
      </c>
      <c r="J613">
        <v>1</v>
      </c>
      <c r="K613">
        <v>1</v>
      </c>
      <c r="L613">
        <v>1</v>
      </c>
      <c r="M613" t="s">
        <v>3535</v>
      </c>
    </row>
    <row r="614" spans="1:13" x14ac:dyDescent="0.25">
      <c r="A614" t="s">
        <v>2893</v>
      </c>
      <c r="B614" t="s">
        <v>2894</v>
      </c>
      <c r="D614" t="s">
        <v>2895</v>
      </c>
      <c r="E614" t="s">
        <v>3566</v>
      </c>
      <c r="F614" t="s">
        <v>1770</v>
      </c>
      <c r="J614">
        <v>1</v>
      </c>
      <c r="K614">
        <v>1</v>
      </c>
      <c r="L614">
        <v>0</v>
      </c>
      <c r="M614" t="s">
        <v>3536</v>
      </c>
    </row>
    <row r="615" spans="1:13" x14ac:dyDescent="0.25">
      <c r="A615" t="s">
        <v>2896</v>
      </c>
      <c r="B615" t="s">
        <v>2897</v>
      </c>
      <c r="C615" t="s">
        <v>2898</v>
      </c>
      <c r="D615" t="s">
        <v>2899</v>
      </c>
      <c r="E615" t="s">
        <v>3566</v>
      </c>
      <c r="F615" t="s">
        <v>223</v>
      </c>
      <c r="J615">
        <v>1</v>
      </c>
      <c r="K615">
        <v>1</v>
      </c>
      <c r="L615">
        <v>0</v>
      </c>
      <c r="M615" t="s">
        <v>3537</v>
      </c>
    </row>
    <row r="616" spans="1:13" x14ac:dyDescent="0.25">
      <c r="A616" t="s">
        <v>2901</v>
      </c>
      <c r="B616" t="s">
        <v>2902</v>
      </c>
      <c r="C616" t="s">
        <v>2903</v>
      </c>
      <c r="D616" t="s">
        <v>2904</v>
      </c>
      <c r="E616" t="s">
        <v>42</v>
      </c>
      <c r="F616" t="s">
        <v>1799</v>
      </c>
      <c r="G616" t="s">
        <v>1800</v>
      </c>
      <c r="I616" t="s">
        <v>90</v>
      </c>
      <c r="J616">
        <v>1</v>
      </c>
      <c r="K616">
        <v>1</v>
      </c>
      <c r="L616">
        <v>1</v>
      </c>
      <c r="M616" t="s">
        <v>3539</v>
      </c>
    </row>
    <row r="617" spans="1:13" x14ac:dyDescent="0.25">
      <c r="A617" t="s">
        <v>2905</v>
      </c>
      <c r="B617" t="s">
        <v>2906</v>
      </c>
      <c r="C617" t="s">
        <v>2907</v>
      </c>
      <c r="D617" t="s">
        <v>2908</v>
      </c>
      <c r="E617" t="s">
        <v>21</v>
      </c>
      <c r="F617" t="s">
        <v>1770</v>
      </c>
      <c r="I617" t="s">
        <v>22</v>
      </c>
      <c r="J617">
        <v>1</v>
      </c>
      <c r="K617">
        <v>1</v>
      </c>
      <c r="L617">
        <v>1</v>
      </c>
      <c r="M617" t="s">
        <v>3540</v>
      </c>
    </row>
    <row r="618" spans="1:13" x14ac:dyDescent="0.25">
      <c r="A618" t="s">
        <v>2909</v>
      </c>
      <c r="B618" t="s">
        <v>2910</v>
      </c>
      <c r="C618" t="s">
        <v>2911</v>
      </c>
      <c r="D618" t="s">
        <v>2912</v>
      </c>
      <c r="E618" t="s">
        <v>3566</v>
      </c>
      <c r="F618" t="s">
        <v>223</v>
      </c>
      <c r="J618">
        <v>1</v>
      </c>
      <c r="K618">
        <v>1</v>
      </c>
      <c r="L618">
        <v>0</v>
      </c>
      <c r="M618" t="s">
        <v>3541</v>
      </c>
    </row>
    <row r="619" spans="1:13" x14ac:dyDescent="0.25">
      <c r="A619" t="s">
        <v>2913</v>
      </c>
      <c r="B619" t="s">
        <v>2914</v>
      </c>
      <c r="C619" t="s">
        <v>2915</v>
      </c>
      <c r="D619" t="s">
        <v>2916</v>
      </c>
      <c r="E619" t="s">
        <v>82</v>
      </c>
      <c r="F619" t="s">
        <v>2250</v>
      </c>
      <c r="I619" t="s">
        <v>8</v>
      </c>
      <c r="J619">
        <v>1</v>
      </c>
      <c r="K619">
        <v>1</v>
      </c>
      <c r="L619">
        <v>0</v>
      </c>
      <c r="M619" t="s">
        <v>3542</v>
      </c>
    </row>
    <row r="620" spans="1:13" x14ac:dyDescent="0.25">
      <c r="A620" t="s">
        <v>3543</v>
      </c>
      <c r="B620" t="s">
        <v>3544</v>
      </c>
      <c r="C620" t="s">
        <v>3545</v>
      </c>
      <c r="D620" t="s">
        <v>3546</v>
      </c>
      <c r="E620" t="s">
        <v>3566</v>
      </c>
      <c r="F620" t="s">
        <v>1804</v>
      </c>
      <c r="G620" t="s">
        <v>1818</v>
      </c>
      <c r="J620">
        <v>1</v>
      </c>
      <c r="K620">
        <v>1</v>
      </c>
      <c r="L620">
        <v>1</v>
      </c>
      <c r="M620" t="s">
        <v>3547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ECC6A6-6326-41B4-889F-150779C443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Components &amp; Wiki v1</vt:lpstr>
      <vt:lpstr>Components Usage</vt:lpstr>
      <vt:lpstr>Component Testing</vt:lpstr>
      <vt:lpstr>Components Data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Whitlock</dc:creator>
  <cp:lastModifiedBy>Ben Rowland</cp:lastModifiedBy>
  <dcterms:created xsi:type="dcterms:W3CDTF">2021-07-30T08:42:10Z</dcterms:created>
  <dcterms:modified xsi:type="dcterms:W3CDTF">2024-06-03T13:36:11Z</dcterms:modified>
</cp:coreProperties>
</file>